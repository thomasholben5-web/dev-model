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Proforma" sheetId="2" state="visible" r:id="rId2"/>
    <sheet name="Inputs" sheetId="3" state="visible" r:id="rId3"/>
    <sheet name="UnitMatrix" sheetId="4" state="visible" r:id="rId4"/>
    <sheet name="Budget" sheetId="5" state="visible" r:id="rId5"/>
    <sheet name="Timeline" sheetId="6" state="visible" r:id="rId6"/>
    <sheet name="DevSpend" sheetId="7" state="visible" r:id="rId7"/>
    <sheet name="ConLoan" sheetId="8" state="visible" r:id="rId8"/>
    <sheet name="LeaseUp" sheetId="9" state="visible" r:id="rId9"/>
    <sheet name="Operating" sheetId="10" state="visible" r:id="rId10"/>
    <sheet name="PermLoan" sheetId="11" state="visible" r:id="rId11"/>
    <sheet name="Disposition" sheetId="12" state="visible" r:id="rId12"/>
    <sheet name="CashFlow" sheetId="13" state="visible" r:id="rId13"/>
    <sheet name="Returns" sheetId="14" state="visible" r:id="rId14"/>
    <sheet name="Diagnostics" sheetId="15" state="visible" r:id="rId15"/>
  </sheets>
  <definedNames>
    <definedName name="ActivePayoff">Disposition!$C$18</definedName>
    <definedName name="AssessedValueStab">Operating!$C$56</definedName>
    <definedName name="AssetMgmtFeePct">Inputs!$C$117</definedName>
    <definedName name="AvgUnitSF">UnitMatrix!$C$19</definedName>
    <definedName name="BadDebtPct">Inputs!$C$96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rokerCostPct">Inputs!$C$91</definedName>
    <definedName name="BudgetHard">Budget!$J$36</definedName>
    <definedName name="BudgetLand">Budget!$J$34</definedName>
    <definedName name="BudgetSoft">Budget!$J$35</definedName>
    <definedName name="BudgetTDCref">Budget!$J$39</definedName>
    <definedName name="BuildableSF">UnitMatrix!$C$18</definedName>
    <definedName name="CapAdjAging">Inputs!$C$19</definedName>
    <definedName name="CapAdjLocation">Inputs!$C$17</definedName>
    <definedName name="CapAdjSize">Inputs!$C$18</definedName>
    <definedName name="CapReservePerUnit">Inputs!$C$115</definedName>
    <definedName name="Chk_ConBalEnd">ConLoan!$C$47</definedName>
    <definedName name="Chk_CostCurve">DevSpend!$D$42</definedName>
    <definedName name="Chk_DebtDraws">ConLoan!$C$44</definedName>
    <definedName name="Chk_DevFeeCurve">DevSpend!$D$43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ity">Inputs!$C$7</definedName>
    <definedName name="ConcessionsPct">Inputs!$C$97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ermMonths">Inputs!$C$62</definedName>
    <definedName name="ConLoanTotal">ConLoan!$C$37</definedName>
    <definedName name="ConMaturity">Timeline!$C$18</definedName>
    <definedName name="ConMinDebtYield">Inputs!$C$67</definedName>
    <definedName name="ConMinDSCR">Inputs!$C$68</definedName>
    <definedName name="ConOtherCosts">Inputs!$C$66</definedName>
    <definedName name="ConPayoffBal">ConLoan!$C$38</definedName>
    <definedName name="ConPayoffMonth">Timeline!$C$25</definedName>
    <definedName name="ConPoints">ConLoan!$C$9</definedName>
    <definedName name="ConPointsPct">Inputs!$C$65</definedName>
    <definedName name="ConRate">Inputs!$C$63</definedName>
    <definedName name="ConRealizedLTC">ConLoan!$C$18</definedName>
    <definedName name="ConStart">Timeline!$C$17</definedName>
    <definedName name="ConTaxTotal">DevSpend!$D$39</definedName>
    <definedName name="DebtShare">ConLoan!$C$12</definedName>
    <definedName name="DebtYieldStab">Returns!$C$25</definedName>
    <definedName name="DeliverStart">Timeline!$C$19</definedName>
    <definedName name="DevFee">Budget!$J$38</definedName>
    <definedName name="DevFeePctDirect">Inputs!$C$85</definedName>
    <definedName name="DevFeeThirdPartySplit">Inputs!$C$86</definedName>
    <definedName name="DevSpreadBps">Returns!$C$22</definedName>
    <definedName name="DevSpreadPct">Returns!$C$21</definedName>
    <definedName name="DirectCosts">Budget!$J$37</definedName>
    <definedName name="DispoEffTaxRate">Operating!$C$55</definedName>
    <definedName name="DispoMonth">Timeline!$C$21</definedName>
    <definedName name="DispoTaxRatePct">Inputs!$C$53</definedName>
    <definedName name="EfficiencyRatio">Inputs!$C$43</definedName>
    <definedName name="EffTaxRateOnValue">Operating!$C$54</definedName>
    <definedName name="EntryCapRate">Inputs!$C$16</definedName>
    <definedName name="EquityBudget">ConLoan!$C$13</definedName>
    <definedName name="EquityTotal">ConLoan!$C$40</definedName>
    <definedName name="ExistingStructureCost">Inputs!$C$44</definedName>
    <definedName name="ExitCapResidential">Inputs!$C$20</definedName>
    <definedName name="ExitCapRetail">Inputs!$C$21</definedName>
    <definedName name="ExitValue">Disposition!$C$10</definedName>
    <definedName name="ExpAdminPerUnit">Inputs!$C$112</definedName>
    <definedName name="ExpAdvertisingPerUnit">Inputs!$C$113</definedName>
    <definedName name="ExpContractPerUnit">Inputs!$C$111</definedName>
    <definedName name="ExpInsurancePerUnit">Inputs!$C$106</definedName>
    <definedName name="ExpPayrollPerUnit">Inputs!$C$108</definedName>
    <definedName name="ExpRMPerUnit">Inputs!$C$109</definedName>
    <definedName name="ExpTurnoverPerUnit">Inputs!$C$110</definedName>
    <definedName name="ExpUtilitiesPerUnit">Inputs!$C$107</definedName>
    <definedName name="FARRatio">Inputs!$C$42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Acres">Inputs!$C$40</definedName>
    <definedName name="GrossSale">Disposition!$C$13</definedName>
    <definedName name="GrowthExpense">Inputs!$C$24</definedName>
    <definedName name="GrowthLowIncRent">Inputs!$C$23</definedName>
    <definedName name="GrowthOther">Inputs!$C$27</definedName>
    <definedName name="GrowthRent">Inputs!$C$22</definedName>
    <definedName name="GrowthStartDate">Inputs!$C$28</definedName>
    <definedName name="GrowthStartMonth">Timeline!$C$22</definedName>
    <definedName name="GrowthTax">Inputs!$C$26</definedName>
    <definedName name="GrowthUtility">Inputs!$C$25</definedName>
    <definedName name="HoldPeriodMonths">Inputs!$C$15</definedName>
    <definedName name="InceptionDate">Inputs!$C$12</definedName>
    <definedName name="InterestReserveAccrued">ConLoan!$C$35</definedName>
    <definedName name="InterestReserveFunded">ConLoan!$C$36</definedName>
    <definedName name="InvestmentType">Inputs!$C$5</definedName>
    <definedName name="LandCost">Inputs!$C$39</definedName>
    <definedName name="LeaseUpElevationPct">Inputs!$C$35</definedName>
    <definedName name="LeaseUpRampPct">Inputs!$C$34</definedName>
    <definedName name="LenderReqReserveOverride">Inputs!$C$69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cation">Inputs!$C$11</definedName>
    <definedName name="LossToLeasePct">Inputs!$C$98</definedName>
    <definedName name="LowUnits">UnitMatrix!$C$16</definedName>
    <definedName name="LTC_Realized">ConLoan!$C$41</definedName>
    <definedName name="Market">Inputs!$C$9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gmtFeePct">Inputs!$C$114</definedName>
    <definedName name="MilestoneEnd">Timeline!$E$4:$E$14</definedName>
    <definedName name="MilestoneNames">Timeline!$B$4:$B$14</definedName>
    <definedName name="MilestoneStart">Timeline!$C$4:$C$14</definedName>
    <definedName name="ModelUnits">Inputs!$C$99</definedName>
    <definedName name="MortConst">PermLoan!$C$6</definedName>
    <definedName name="MS_1st_Unit_Delivery_End">Timeline!$E$10</definedName>
    <definedName name="MS_1st_Unit_Delivery_Start">Timeline!$C$10</definedName>
    <definedName name="MS_Construction_End">Timeline!$E$9</definedName>
    <definedName name="MS_Construction_Start">Timeline!$C$9</definedName>
    <definedName name="MS_Disposition_End">Timeline!$E$14</definedName>
    <definedName name="MS_Disposition_Start">Timeline!$C$14</definedName>
    <definedName name="MS_Due_Diligence_End">Timeline!$E$5</definedName>
    <definedName name="MS_Due_Diligence_Start">Timeline!$C$5</definedName>
    <definedName name="MS_Entitlement_End">Timeline!$E$6</definedName>
    <definedName name="MS_Entitlement_Start">Timeline!$C$6</definedName>
    <definedName name="MS_Initial_Closing_End">Timeline!$E$8</definedName>
    <definedName name="MS_Initial_Closing_Start">Timeline!$C$8</definedName>
    <definedName name="MS_Lease_Up_End">Timeline!$E$11</definedName>
    <definedName name="MS_Lease_Up_Start">Timeline!$C$11</definedName>
    <definedName name="MS_Open_Escrow_End">Timeline!$E$4</definedName>
    <definedName name="MS_Open_Escrow_Start">Timeline!$C$4</definedName>
    <definedName name="MS_Pre_Construction_End">Timeline!$E$7</definedName>
    <definedName name="MS_Pre_Construction_Start">Timeline!$C$7</definedName>
    <definedName name="MS_Recapitalization_Refinance_End">Timeline!$E$13</definedName>
    <definedName name="MS_Recapitalization_Refinance_Start">Timeline!$C$13</definedName>
    <definedName name="MS_Stabilization_End">Timeline!$E$12</definedName>
    <definedName name="MS_Stabilization_Start">Timeline!$C$12</definedName>
    <definedName name="NetAcres">Inputs!$C$41</definedName>
    <definedName name="NetSale">Disposition!$C$19</definedName>
    <definedName name="NetSaleUnlev">Disposition!$C$20</definedName>
    <definedName name="NRSF">UnitMatrix!$C$17</definedName>
    <definedName name="OpReserve">Operating!$C$51</definedName>
    <definedName name="OpReserveCoverage">Inputs!$C$58</definedName>
    <definedName name="OpReserveMinMonths">Inputs!$C$59</definedName>
    <definedName name="OtherIncPerUnitMo">Inputs!$C$103</definedName>
    <definedName name="ParkingPerUnitMo">Inputs!$C$100</definedName>
    <definedName name="PeakShort">Operating!$C$50</definedName>
    <definedName name="PermAmortMonths">Inputs!$C$76</definedName>
    <definedName name="PermDSCRtest">PermLoan!$C$20</definedName>
    <definedName name="PermDYtest">PermLoan!$C$19</definedName>
    <definedName name="PermIOMonths">Inputs!$C$75</definedName>
    <definedName name="PermLoan">PermLoan!$C$12</definedName>
    <definedName name="PermLTVtest">PermLoan!$C$18</definedName>
    <definedName name="PermMaxLTV">Inputs!$C$72</definedName>
    <definedName name="PermMinDebtYield">Inputs!$C$79</definedName>
    <definedName name="PermMinDSCR">Inputs!$C$80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PointsPct">Inputs!$C$78</definedName>
    <definedName name="PermRate">Inputs!$C$73</definedName>
    <definedName name="PermSized">PermLoan!$C$10</definedName>
    <definedName name="PermTermMonths">Inputs!$C$74</definedName>
    <definedName name="ProductType">Inputs!$C$10</definedName>
    <definedName name="PropertyName">Inputs!$C$6</definedName>
    <definedName name="RecourseFee">ConLoan!$C$10</definedName>
    <definedName name="RecourseFeePct">Inputs!$C$88</definedName>
    <definedName name="RefiCashOut">PermLoan!$C$14</definedName>
    <definedName name="RefiFlag">Timeline!$C$23</definedName>
    <definedName name="RefiMonth">Timeline!$C$24</definedName>
    <definedName name="RefiMonthOverride">Inputs!$C$82</definedName>
    <definedName name="RetailIncomeMo">Inputs!$C$101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alesTaxPct">Inputs!$C$92</definedName>
    <definedName name="SponsorDispoFee">Disposition!$C$16</definedName>
    <definedName name="SponsorDispoFeePct">Inputs!$C$87</definedName>
    <definedName name="StabilizedOccupancy">Inputs!$C$36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e">Inputs!$C$8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rgetLTC">Inputs!$C$57</definedName>
    <definedName name="TaxAssessmentPct">Inputs!$C$48</definedName>
    <definedName name="TaxLevyPct">Inputs!$C$47</definedName>
    <definedName name="TaxPrepPerUnit">Inputs!$C$116</definedName>
    <definedName name="TaxProration">Disposition!$C$17</definedName>
    <definedName name="TaxProrationMonths">Inputs!$C$93</definedName>
    <definedName name="TaxValueAdjFactor">Inputs!$C$49</definedName>
    <definedName name="TaxYear1">Operating!$C$57</definedName>
    <definedName name="TaxYear1Override">Inputs!$C$51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itsDeliveredPerMo">Inputs!$C$32</definedName>
    <definedName name="UnitsLeasedPerMo">Inputs!$C$33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UtilReimbPerUnitMo">Inputs!$C$102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DeliveryLagMonths">'Inputs'!$C$120</definedName>
    <definedName name="Dur_OpenEscrow">'Inputs'!$C$121</definedName>
    <definedName name="Dur_DueDiligence">'Inputs'!$C$122</definedName>
    <definedName name="Dur_Entitlement">'Inputs'!$C$123</definedName>
    <definedName name="Dur_PreConstruction">'Inputs'!$C$124</definedName>
    <definedName name="Dur_InitialClosing">'Inputs'!$C$125</definedName>
    <definedName name="Dur_Construction">'Inputs'!$C$126</definedName>
    <definedName name="Dur_FirstUnitDelivery">'Inputs'!$C$127</definedName>
    <definedName name="Dur_Stabilization">'Inputs'!$C$128</definedName>
    <definedName name="Dur_Recap">'Inputs'!$C$129</definedName>
    <definedName name="Dur_Disposition">'Inputs'!$C$130</definedName>
    <definedName name="StaticTaxYear1">'Operating'!$C$77</definedName>
    <definedName name="TaxOpStartMonth">'Timeline'!$C$45</definedName>
    <definedName name="ErrorsFound">'Diagnostics'!$C$38</definedName>
    <definedName name="WarningsFound">'Diagnostics'!$C$39</definedName>
    <definedName name="LeaseUpIncomeOffset">'Inputs'!$F$31</definedName>
    <definedName name="TaxMethodValue">'Inputs'!$F$50</definedName>
    <definedName name="ReassessOnSale">'Inputs'!$F$52</definedName>
    <definedName name="FundingOrderPari">'Inputs'!$F$56</definedName>
    <definedName name="ConActual360">'Inputs'!$F$64</definedName>
    <definedName name="PermActual360">'Inputs'!$F$77</definedName>
    <definedName name="NoCashOut">'Inputs'!$F$81</definedName>
    <definedName name="TaxCapitalizeLeaseUp">'Inputs'!$F$135</definedName>
    <definedName name="InputSanityWarnings">'Inputs'!$E$142</definedName>
    <definedName name="SanityFlags">'Inputs'!$C$148</definedName>
  </definedNames>
  <calcPr calcId="191029" fullCalcOnLoad="1" iterate="1"/>
</workbook>
</file>

<file path=xl/styles.xml><?xml version="1.0" encoding="utf-8"?>
<styleSheet xmlns="http://schemas.openxmlformats.org/spreadsheetml/2006/main">
  <numFmts count="17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  <font>
      <name val="Calibri"/>
      <color rgb="FF006100"/>
      <sz val="9"/>
    </font>
    <font>
      <name val="Calibri"/>
      <i val="1"/>
      <color rgb="FF595959"/>
      <sz val="9"/>
    </font>
    <font>
      <name val="Calibri"/>
      <b val="1"/>
      <color rgb="FF9C6500"/>
      <sz val="10"/>
    </font>
  </fonts>
  <fills count="1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</borders>
  <cellStyleXfs count="1">
    <xf numFmtId="0" fontId="0" fillId="0" borderId="0"/>
  </cellStyleXfs>
  <cellXfs count="3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21" fillId="0" borderId="5" applyAlignment="1" pivotButton="0" quotePrefix="0" xfId="0">
      <alignment horizontal="left"/>
    </xf>
    <xf numFmtId="3" fontId="19" fillId="3" borderId="1" applyAlignment="1" pivotButton="0" quotePrefix="0" xfId="0">
      <alignment horizontal="left"/>
    </xf>
    <xf numFmtId="3" fontId="20" fillId="0" borderId="0" applyAlignment="1" pivotButton="0" quotePrefix="0" xfId="0">
      <alignment horizontal="center"/>
    </xf>
    <xf numFmtId="0" fontId="21" fillId="0" borderId="7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3" fontId="19" fillId="3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right"/>
    </xf>
  </cellXfs>
  <cellStyles count="1">
    <cellStyle name="Normal" xfId="0" builtinId="0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/>
  </sheetPr>
  <dimension ref="B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30" customWidth="1" style="97" min="2" max="2"/>
    <col width="18" customWidth="1" style="97" min="3" max="3"/>
    <col width="6" customWidth="1" style="97" min="4" max="4"/>
    <col width="30" customWidth="1" style="97" min="5" max="5"/>
    <col width="18" customWidth="1" style="97" min="6" max="6"/>
  </cols>
  <sheetData>
    <row r="1" ht="21" customHeight="1" s="97">
      <c r="B1" s="1" t="inlineStr">
        <is>
          <t>Multifamily Development Model — Dashboard</t>
        </is>
      </c>
    </row>
    <row r="2">
      <c r="B2" s="33">
        <f>""&amp;PropertyName&amp;"  •  "&amp;City&amp;", "&amp;State&amp;"  •  "&amp;ProductType&amp;"  •  "&amp;InvestmentType&amp;"  ("&amp;Location&amp;")"</f>
        <v/>
      </c>
    </row>
    <row r="4">
      <c r="B4" s="34" t="inlineStr">
        <is>
          <t>Deal Snapshot</t>
        </is>
      </c>
      <c r="C4" s="35" t="n"/>
      <c r="E4" s="34" t="inlineStr">
        <is>
          <t>Key Returns</t>
        </is>
      </c>
      <c r="F4" s="35" t="n"/>
    </row>
    <row r="5">
      <c r="B5" s="36" t="inlineStr">
        <is>
          <t>Total Units</t>
        </is>
      </c>
      <c r="C5" s="37">
        <f>TotalUnits</f>
        <v/>
      </c>
      <c r="E5" s="36" t="inlineStr">
        <is>
          <t>Levered IRR (net)</t>
        </is>
      </c>
      <c r="F5" s="42">
        <f>LevIRR</f>
        <v/>
      </c>
    </row>
    <row r="6">
      <c r="B6" s="36" t="inlineStr">
        <is>
          <t>Net Rentable SF</t>
        </is>
      </c>
      <c r="C6" s="37">
        <f>NRSF</f>
        <v/>
      </c>
      <c r="E6" s="36" t="inlineStr">
        <is>
          <t>Levered IRR (gross)</t>
        </is>
      </c>
      <c r="F6" s="42">
        <f>LevIRRgross</f>
        <v/>
      </c>
    </row>
    <row r="7">
      <c r="B7" s="36" t="inlineStr">
        <is>
          <t>Hold Period (months)</t>
        </is>
      </c>
      <c r="C7" s="176">
        <f>HoldPeriodMonths</f>
        <v/>
      </c>
      <c r="E7" s="36" t="inlineStr">
        <is>
          <t>Unlevered IRR (net)</t>
        </is>
      </c>
      <c r="F7" s="42">
        <f>UnlevIRR</f>
        <v/>
      </c>
    </row>
    <row r="8">
      <c r="B8" s="36" t="inlineStr">
        <is>
          <t>Refi or Sell</t>
        </is>
      </c>
      <c r="C8" s="39">
        <f>IF(RefiFlag=1,"Refinance then hold","Sell during construction")</f>
        <v/>
      </c>
      <c r="E8" s="36" t="inlineStr">
        <is>
          <t>Levered MOIC (net)</t>
        </is>
      </c>
      <c r="F8" s="177">
        <f>LevMOIC</f>
        <v/>
      </c>
    </row>
    <row r="9">
      <c r="B9" s="36" t="inlineStr">
        <is>
          <t>Construction Maturity (mo)</t>
        </is>
      </c>
      <c r="C9" s="176">
        <f>ConMaturity</f>
        <v/>
      </c>
      <c r="E9" s="36" t="inlineStr">
        <is>
          <t>Unlevered MOIC (net)</t>
        </is>
      </c>
      <c r="F9" s="177">
        <f>UnlevMOIC</f>
        <v/>
      </c>
    </row>
    <row r="10">
      <c r="B10" s="36" t="inlineStr">
        <is>
          <t>Refi Month</t>
        </is>
      </c>
      <c r="C10" s="176">
        <f>RefiMonth</f>
        <v/>
      </c>
      <c r="E10" s="36" t="inlineStr">
        <is>
          <t>Static Unlevered IRR</t>
        </is>
      </c>
      <c r="F10" s="42">
        <f>StaticUnlevIRR</f>
        <v/>
      </c>
    </row>
    <row r="11">
      <c r="B11" s="40" t="inlineStr">
        <is>
          <t>Disposition Month</t>
        </is>
      </c>
      <c r="C11" s="178">
        <f>DispoMonth</f>
        <v/>
      </c>
      <c r="E11" s="40" t="inlineStr">
        <is>
          <t>Static Unlevered MOIC</t>
        </is>
      </c>
      <c r="F11" s="179">
        <f>StaticUnlevMOIC</f>
        <v/>
      </c>
    </row>
    <row r="13">
      <c r="B13" s="34" t="inlineStr">
        <is>
          <t>Development Metrics</t>
        </is>
      </c>
      <c r="C13" s="35" t="n"/>
      <c r="E13" s="34" t="inlineStr">
        <is>
          <t>Sources &amp; Uses</t>
        </is>
      </c>
      <c r="F13" s="35" t="n"/>
    </row>
    <row r="14">
      <c r="B14" s="36" t="inlineStr">
        <is>
          <t>Yield on Cost (stab)</t>
        </is>
      </c>
      <c r="C14" s="45">
        <f>YieldOnCost</f>
        <v/>
      </c>
      <c r="E14" s="36" t="inlineStr">
        <is>
          <t>Land</t>
        </is>
      </c>
      <c r="F14" s="180">
        <f>BudgetLand</f>
        <v/>
      </c>
    </row>
    <row r="15">
      <c r="B15" s="36" t="inlineStr">
        <is>
          <t>Development Spread</t>
        </is>
      </c>
      <c r="C15" s="181">
        <f>DevSpreadBps</f>
        <v/>
      </c>
      <c r="E15" s="36" t="inlineStr">
        <is>
          <t>Soft Costs</t>
        </is>
      </c>
      <c r="F15" s="180">
        <f>BudgetSoft</f>
        <v/>
      </c>
    </row>
    <row r="16">
      <c r="B16" s="36" t="inlineStr">
        <is>
          <t>Return on Cost (current)</t>
        </is>
      </c>
      <c r="C16" s="45">
        <f>ROCcurrent</f>
        <v/>
      </c>
      <c r="E16" s="36" t="inlineStr">
        <is>
          <t>Hard Costs</t>
        </is>
      </c>
      <c r="F16" s="180">
        <f>BudgetHard</f>
        <v/>
      </c>
    </row>
    <row r="17">
      <c r="B17" s="36" t="inlineStr">
        <is>
          <t>Return on Cost (stab)</t>
        </is>
      </c>
      <c r="C17" s="45">
        <f>ROCstab</f>
        <v/>
      </c>
      <c r="E17" s="36" t="inlineStr">
        <is>
          <t>Development Fee</t>
        </is>
      </c>
      <c r="F17" s="180">
        <f>DevFee</f>
        <v/>
      </c>
    </row>
    <row r="18">
      <c r="B18" s="36" t="inlineStr">
        <is>
          <t>Debt Yield (stab)</t>
        </is>
      </c>
      <c r="C18" s="45">
        <f>DebtYieldStab</f>
        <v/>
      </c>
      <c r="E18" s="36" t="inlineStr">
        <is>
          <t>Financing Costs</t>
        </is>
      </c>
      <c r="F18" s="180">
        <f>ConPoints+RecourseFee+ConOtherCosts</f>
        <v/>
      </c>
    </row>
    <row r="19">
      <c r="B19" s="36" t="inlineStr">
        <is>
          <t>TDC</t>
        </is>
      </c>
      <c r="C19" s="180">
        <f>TDC_Total</f>
        <v/>
      </c>
      <c r="E19" s="36" t="inlineStr">
        <is>
          <t>Interest Reserve</t>
        </is>
      </c>
      <c r="F19" s="180">
        <f>InterestReserveFunded</f>
        <v/>
      </c>
    </row>
    <row r="20">
      <c r="B20" s="36" t="inlineStr">
        <is>
          <t>TDC / Unit</t>
        </is>
      </c>
      <c r="C20" s="182">
        <f>TDCperUnit</f>
        <v/>
      </c>
      <c r="E20" s="36" t="inlineStr">
        <is>
          <t>Operating Reserve</t>
        </is>
      </c>
      <c r="F20" s="180">
        <f>OpReserve</f>
        <v/>
      </c>
    </row>
    <row r="21">
      <c r="B21" s="36" t="inlineStr">
        <is>
          <t>TDC / NRSF</t>
        </is>
      </c>
      <c r="C21" s="182">
        <f>TDCperSF</f>
        <v/>
      </c>
      <c r="E21" s="50" t="inlineStr">
        <is>
          <t>Total Uses (TDC)</t>
        </is>
      </c>
      <c r="F21" s="183">
        <f>TDC_Total</f>
        <v/>
      </c>
    </row>
    <row r="22">
      <c r="B22" s="36" t="inlineStr">
        <is>
          <t>Exit Value</t>
        </is>
      </c>
      <c r="C22" s="180">
        <f>ExitValue</f>
        <v/>
      </c>
      <c r="E22" s="52" t="n"/>
      <c r="F22" s="53" t="n"/>
    </row>
    <row r="23">
      <c r="B23" s="40" t="inlineStr">
        <is>
          <t>Exit Basis / Unit</t>
        </is>
      </c>
      <c r="C23" s="184">
        <f>BasisPerUnitExit</f>
        <v/>
      </c>
      <c r="E23" s="36" t="inlineStr">
        <is>
          <t>Construction Loan</t>
        </is>
      </c>
      <c r="F23" s="180">
        <f>ConLoanTotal</f>
        <v/>
      </c>
    </row>
    <row r="24">
      <c r="E24" s="36" t="inlineStr">
        <is>
          <t>Equity</t>
        </is>
      </c>
      <c r="F24" s="180">
        <f>EquityTotal</f>
        <v/>
      </c>
    </row>
    <row r="25">
      <c r="B25" s="34" t="inlineStr">
        <is>
          <t>Loan Sizing &amp; Status</t>
        </is>
      </c>
      <c r="C25" s="35" t="n"/>
      <c r="E25" s="50" t="inlineStr">
        <is>
          <t>Total Sources</t>
        </is>
      </c>
      <c r="F25" s="183">
        <f>ConLoanTotal+EquityTotal</f>
        <v/>
      </c>
    </row>
    <row r="26">
      <c r="B26" s="36" t="inlineStr">
        <is>
          <t>Construction Loan</t>
        </is>
      </c>
      <c r="C26" s="180">
        <f>ConLoanTotal</f>
        <v/>
      </c>
      <c r="E26" s="40" t="inlineStr">
        <is>
          <t>Sources − Uses (check)</t>
        </is>
      </c>
      <c r="F26" s="185">
        <f>ConLoanTotal+EquityTotal-TDC_Total</f>
        <v/>
      </c>
    </row>
    <row r="27">
      <c r="B27" s="36" t="inlineStr">
        <is>
          <t>LTC (realized)</t>
        </is>
      </c>
      <c r="C27" s="45">
        <f>LTC_Realized</f>
        <v/>
      </c>
    </row>
    <row r="28">
      <c r="B28" s="36" t="inlineStr">
        <is>
          <t>Con Debt Yield Test</t>
        </is>
      </c>
      <c r="C28" s="45">
        <f>ConDYtest</f>
        <v/>
      </c>
    </row>
    <row r="29">
      <c r="B29" s="36" t="inlineStr">
        <is>
          <t>Con DSCR Test</t>
        </is>
      </c>
      <c r="C29" s="186">
        <f>ConDSCRtest</f>
        <v/>
      </c>
    </row>
    <row r="30">
      <c r="B30" s="36" t="inlineStr">
        <is>
          <t>Permanent Loan</t>
        </is>
      </c>
      <c r="C30" s="180">
        <f>PermLoan</f>
        <v/>
      </c>
    </row>
    <row r="31">
      <c r="B31" s="36" t="inlineStr">
        <is>
          <t>Perm LTV Test</t>
        </is>
      </c>
      <c r="C31" s="45">
        <f>PermLTVtest</f>
        <v/>
      </c>
    </row>
    <row r="32">
      <c r="B32" s="36" t="inlineStr">
        <is>
          <t>Perm DSCR Test</t>
        </is>
      </c>
      <c r="C32" s="186">
        <f>PermDSCRtest</f>
        <v/>
      </c>
    </row>
    <row r="33">
      <c r="B33" s="40" t="inlineStr">
        <is>
          <t>Refi Cash Distribution</t>
        </is>
      </c>
      <c r="C33" s="185">
        <f>RefiCashOut</f>
        <v/>
      </c>
    </row>
    <row r="34">
      <c r="E34" s="34" t="inlineStr">
        <is>
          <t>Validation</t>
        </is>
      </c>
      <c r="F34" s="35" t="n"/>
    </row>
    <row r="35">
      <c r="E35" s="50" t="inlineStr">
        <is>
          <t>Total Errors Found</t>
        </is>
      </c>
      <c r="F35" s="56">
        <f>ErrorsFound</f>
        <v/>
      </c>
    </row>
    <row r="36">
      <c r="E36" s="57" t="inlineStr">
        <is>
          <t>Model Status</t>
        </is>
      </c>
      <c r="F36" s="58">
        <f>IF(ErrorsFound=0,"ALL CHECKS PASS","REVIEW FAILURES")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B1:H47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4">
      <c r="B4" s="189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190" t="inlineStr">
        <is>
          <t>Total Units</t>
        </is>
      </c>
      <c r="C5" s="191">
        <f>TotalUnits</f>
        <v/>
      </c>
      <c r="E5" s="190" t="inlineStr">
        <is>
          <t>Occupied Units (stab)</t>
        </is>
      </c>
      <c r="F5" s="191">
        <f>StabLeasedTarget</f>
        <v/>
      </c>
    </row>
    <row r="6">
      <c r="B6" s="190" t="inlineStr">
        <is>
          <t>Net Rentable SF</t>
        </is>
      </c>
      <c r="C6" s="191">
        <f>NRSF</f>
        <v/>
      </c>
      <c r="E6" s="190" t="inlineStr">
        <is>
          <t>Stabilized Occupancy</t>
        </is>
      </c>
      <c r="F6" s="193">
        <f>StabilizedOccupancy</f>
        <v/>
      </c>
    </row>
    <row r="7">
      <c r="B7" s="190" t="inlineStr">
        <is>
          <t>Avg Unit SF</t>
        </is>
      </c>
      <c r="C7" s="191">
        <f>AvgUnitSF</f>
        <v/>
      </c>
      <c r="E7" s="190" t="inlineStr">
        <is>
          <t>Effective Tax Rate on Value</t>
        </is>
      </c>
      <c r="F7" s="278">
        <f>EffTaxRateOnValue</f>
        <v/>
      </c>
    </row>
    <row r="10">
      <c r="B10" s="195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189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190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190" t="inlineStr">
        <is>
          <t>Vacancy Loss</t>
        </is>
      </c>
      <c r="C13" s="193">
        <f>-(1-StabilizedOccupancy)</f>
        <v/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-G12*(1-StabilizedOccupancy)</f>
        <v/>
      </c>
      <c r="H13" s="281">
        <f>SUM(INDEX(Operating!$E$15:$NL$15,StabMonth):INDEX(Operating!$E$15:$NL$15,StabMonth+11))</f>
        <v/>
      </c>
    </row>
    <row r="14">
      <c r="B14" s="190" t="inlineStr">
        <is>
          <t>Gain / (Loss) to Lease</t>
        </is>
      </c>
      <c r="C14" s="193">
        <f>LossToLeasePct</f>
        <v/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-G12*LossToLeasePct</f>
        <v/>
      </c>
      <c r="H14" s="281">
        <f>SUM(INDEX(Operating!$E$16:$NL$16,StabMonth):INDEX(Operating!$E$16:$NL$16,StabMonth+11))</f>
        <v/>
      </c>
    </row>
    <row r="15">
      <c r="B15" s="190" t="inlineStr">
        <is>
          <t>Bad Debt</t>
        </is>
      </c>
      <c r="C15" s="193">
        <f>BadDebtPct</f>
        <v/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-G12*BadDebtPct</f>
        <v/>
      </c>
      <c r="H15" s="281">
        <f>SUM(INDEX(Operating!$E$17:$NL$17,StabMonth):INDEX(Operating!$E$17:$NL$17,StabMonth+11))</f>
        <v/>
      </c>
    </row>
    <row r="16">
      <c r="B16" s="190" t="inlineStr">
        <is>
          <t>Concessions</t>
        </is>
      </c>
      <c r="C16" s="193">
        <f>ConcessionsPct</f>
        <v/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-G12*ConcessionsPct</f>
        <v/>
      </c>
      <c r="H16" s="281">
        <f>SUM(INDEX(Operating!$E$18:$NL$18,StabMonth):INDEX(Operating!$E$18:$NL$18,StabMonth+11))</f>
        <v/>
      </c>
    </row>
    <row r="17">
      <c r="B17" s="190" t="inlineStr">
        <is>
          <t>Model / Down Units</t>
        </is>
      </c>
      <c r="C17" s="191">
        <f>ModelUnits</f>
        <v/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190" t="inlineStr">
        <is>
          <t>Parking &amp; Storage</t>
        </is>
      </c>
      <c r="C18" s="199">
        <f>ParkingPerUnitMo</f>
        <v/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190" t="inlineStr">
        <is>
          <t>Utility Reimbursement</t>
        </is>
      </c>
      <c r="C19" s="199">
        <f>UtilReimbPerUnitMo</f>
        <v/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190" t="inlineStr">
        <is>
          <t>Other Income</t>
        </is>
      </c>
      <c r="C20" s="199">
        <f>OtherIncPerUnitMo</f>
        <v/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190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189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190" t="inlineStr">
        <is>
          <t>Insurance</t>
        </is>
      </c>
      <c r="C24" s="199">
        <f>ExpInsurancePerUnit</f>
        <v/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190" t="inlineStr">
        <is>
          <t>Utilities</t>
        </is>
      </c>
      <c r="C25" s="199">
        <f>ExpUtilitiesPerUnit</f>
        <v/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190" t="inlineStr">
        <is>
          <t>Payroll</t>
        </is>
      </c>
      <c r="C26" s="199">
        <f>ExpPayrollPerUnit</f>
        <v/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190" t="inlineStr">
        <is>
          <t>Management Fee</t>
        </is>
      </c>
      <c r="C27" s="193">
        <f>MgmtFeePct</f>
        <v/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190" t="inlineStr">
        <is>
          <t>Repairs &amp; Maintenance</t>
        </is>
      </c>
      <c r="C28" s="199">
        <f>ExpRMPerUnit</f>
        <v/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190" t="inlineStr">
        <is>
          <t>Turnover</t>
        </is>
      </c>
      <c r="C29" s="199">
        <f>ExpTurnoverPerUnit</f>
        <v/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190" t="inlineStr">
        <is>
          <t>Contract Services</t>
        </is>
      </c>
      <c r="C30" s="199">
        <f>ExpContractPerUnit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190" t="inlineStr">
        <is>
          <t>Admin &amp; Legal</t>
        </is>
      </c>
      <c r="C31" s="199">
        <f>ExpAdminPerUnit</f>
        <v/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190" t="inlineStr">
        <is>
          <t>Advertising</t>
        </is>
      </c>
      <c r="C32" s="199">
        <f>ExpAdvertisingPerUnit</f>
        <v/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190" t="inlineStr">
        <is>
          <t>Property Taxes</t>
        </is>
      </c>
      <c r="C33" s="278">
        <f>EffTaxRateOnValue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IF(TaxYear1Override&gt;0,TaxYear1Override,(G22-SUM(G24:G32))/(EntryCapRate+EffTaxRateOnValue)*EffTaxRateOnValue)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189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190" t="inlineStr">
        <is>
          <t>Capital Reserves</t>
        </is>
      </c>
      <c r="C37" s="199">
        <f>CapReservePerUnit</f>
        <v/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190" t="inlineStr">
        <is>
          <t>Tax Prep &amp; Appraisal</t>
        </is>
      </c>
      <c r="C38" s="199">
        <f>TaxPrepPerUnit</f>
        <v/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190" t="inlineStr">
        <is>
          <t>Asset Management Fees</t>
        </is>
      </c>
      <c r="C39" s="193">
        <f>AssetMgmtFeePct</f>
        <v/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3">
      <c r="B43" s="190" t="inlineStr">
        <is>
          <t>Untrended Stabilized NOI before Property Tax</t>
        </is>
      </c>
      <c r="G43" s="280">
        <f>G22-SUM(G24:G32)</f>
        <v/>
      </c>
    </row>
    <row r="45">
      <c r="B45" s="189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190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190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B1:F148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34" customWidth="1" style="97" min="2" max="2"/>
    <col width="20.42578125" bestFit="1" customWidth="1" style="97" min="3" max="3"/>
    <col width="30" bestFit="1" customWidth="1" style="97" min="4" max="4"/>
    <col width="22" customWidth="1" style="97" min="5" max="5"/>
    <col width="10" customWidth="1" style="97" min="6" max="6"/>
  </cols>
  <sheetData>
    <row r="1" ht="21" customHeight="1" s="97">
      <c r="B1" s="1" t="inlineStr">
        <is>
          <t>Multifamily Development Model — Inputs</t>
        </is>
      </c>
    </row>
    <row r="2">
      <c r="B2" s="2" t="inlineStr">
        <is>
          <t>Blue = hard-keyed input.  Every value below is a workbook named range.</t>
        </is>
      </c>
    </row>
    <row r="4">
      <c r="B4" s="34" t="inlineStr">
        <is>
          <t>Property Details</t>
        </is>
      </c>
      <c r="C4" s="60" t="n"/>
      <c r="D4" s="35" t="n"/>
    </row>
    <row r="5">
      <c r="B5" s="36" t="inlineStr">
        <is>
          <t>Investment Type</t>
        </is>
      </c>
      <c r="C5" s="6" t="inlineStr">
        <is>
          <t>Ground-Up Development</t>
        </is>
      </c>
      <c r="D5" s="61" t="inlineStr">
        <is>
          <t>Investment type</t>
        </is>
      </c>
    </row>
    <row r="6">
      <c r="B6" s="36" t="inlineStr">
        <is>
          <t>Property Name</t>
        </is>
      </c>
      <c r="C6" s="6" t="inlineStr">
        <is>
          <t>The Verde</t>
        </is>
      </c>
      <c r="D6" s="61" t="inlineStr">
        <is>
          <t>Deal name</t>
        </is>
      </c>
    </row>
    <row r="7">
      <c r="B7" s="36" t="inlineStr">
        <is>
          <t>City</t>
        </is>
      </c>
      <c r="C7" s="6" t="inlineStr">
        <is>
          <t>Cottonwood</t>
        </is>
      </c>
      <c r="D7" s="53" t="n"/>
    </row>
    <row r="8">
      <c r="B8" s="36" t="inlineStr">
        <is>
          <t>State</t>
        </is>
      </c>
      <c r="C8" s="6" t="inlineStr">
        <is>
          <t>AZ</t>
        </is>
      </c>
      <c r="D8" s="53" t="n"/>
    </row>
    <row r="9">
      <c r="B9" s="36" t="inlineStr">
        <is>
          <t>Market</t>
        </is>
      </c>
      <c r="C9" s="6" t="inlineStr">
        <is>
          <t>Verde Valley</t>
        </is>
      </c>
      <c r="D9" s="61" t="inlineStr">
        <is>
          <t>MSA</t>
        </is>
      </c>
    </row>
    <row r="10">
      <c r="B10" s="36" t="inlineStr">
        <is>
          <t>Product Type</t>
        </is>
      </c>
      <c r="C10" s="6" t="inlineStr">
        <is>
          <t>Garden</t>
        </is>
      </c>
      <c r="D10" s="53" t="n"/>
    </row>
    <row r="11">
      <c r="B11" s="36" t="inlineStr">
        <is>
          <t>Location</t>
        </is>
      </c>
      <c r="C11" s="6" t="inlineStr">
        <is>
          <t>Suburban</t>
        </is>
      </c>
      <c r="D11" s="53" t="n"/>
    </row>
    <row r="12">
      <c r="B12" s="40" t="inlineStr">
        <is>
          <t>Open Escrow Date</t>
        </is>
      </c>
      <c r="C12" s="209" t="n">
        <v>46210</v>
      </c>
      <c r="D12" s="63" t="inlineStr">
        <is>
          <t>Model period 1 = this month</t>
        </is>
      </c>
    </row>
    <row r="14">
      <c r="B14" s="34" t="inlineStr">
        <is>
          <t>Investment Details</t>
        </is>
      </c>
      <c r="C14" s="60" t="n"/>
      <c r="D14" s="35" t="n"/>
    </row>
    <row r="15">
      <c r="B15" s="36" t="inlineStr">
        <is>
          <t>Hold Period Months</t>
        </is>
      </c>
      <c r="C15" s="210" t="n">
        <v>120</v>
      </c>
      <c r="D15" s="306" t="inlineStr">
        <is>
          <t>months, 1 to 360 · Disposition month (1-360 toggle)</t>
        </is>
      </c>
    </row>
    <row r="16">
      <c r="B16" s="36" t="inlineStr">
        <is>
          <t>Entry Cap Rate</t>
        </is>
      </c>
      <c r="C16" s="8" t="n">
        <v>0.0525</v>
      </c>
      <c r="D16" s="306" t="inlineStr">
        <is>
          <t>rate %, 0% to 25% · Market / entry cap rate</t>
        </is>
      </c>
    </row>
    <row r="17">
      <c r="B17" s="36" t="inlineStr">
        <is>
          <t>Cap Adj Location</t>
        </is>
      </c>
      <c r="C17" s="8" t="n">
        <v>0</v>
      </c>
      <c r="D17" s="306" t="inlineStr">
        <is>
          <t>± rate, -5% to 5% · Location adjustment (+/-)</t>
        </is>
      </c>
    </row>
    <row r="18">
      <c r="B18" s="36" t="inlineStr">
        <is>
          <t>Cap Adj Size</t>
        </is>
      </c>
      <c r="C18" s="8" t="n">
        <v>0</v>
      </c>
      <c r="D18" s="306" t="inlineStr">
        <is>
          <t>± rate, -5% to 5% · Size adjustment (+/-)</t>
        </is>
      </c>
    </row>
    <row r="19">
      <c r="B19" s="36" t="inlineStr">
        <is>
          <t>Cap Adj Aging</t>
        </is>
      </c>
      <c r="C19" s="8" t="n">
        <v>0</v>
      </c>
      <c r="D19" s="306" t="inlineStr">
        <is>
          <t>± rate, -5% to 5% · Aging adjustment (+/-)</t>
        </is>
      </c>
    </row>
    <row r="20">
      <c r="B20" s="36" t="inlineStr">
        <is>
          <t>Exit Cap Residential</t>
        </is>
      </c>
      <c r="C20" s="59">
        <f>EntryCapRate+CapAdjLocation+CapAdjSize+CapAdjAging</f>
        <v/>
      </c>
      <c r="D20" s="61" t="inlineStr">
        <is>
          <t>Exit cap - residential</t>
        </is>
      </c>
    </row>
    <row r="21">
      <c r="B21" s="36" t="inlineStr">
        <is>
          <t>Exit Cap Retail</t>
        </is>
      </c>
      <c r="C21" s="8" t="n">
        <v>0.065</v>
      </c>
      <c r="D21" s="306" t="inlineStr">
        <is>
          <t>rate %, 0% to 25% · Exit cap - retail</t>
        </is>
      </c>
    </row>
    <row r="22">
      <c r="B22" s="36" t="inlineStr">
        <is>
          <t>Growth Rent</t>
        </is>
      </c>
      <c r="C22" s="8" t="n">
        <v>0.03</v>
      </c>
      <c r="D22" s="306" t="inlineStr">
        <is>
          <t>annual %, -10% to 20% · Annual market-rent growth</t>
        </is>
      </c>
    </row>
    <row r="23">
      <c r="B23" s="36" t="inlineStr">
        <is>
          <t>Growth Low Inc Rent</t>
        </is>
      </c>
      <c r="C23" s="8" t="n">
        <v>0.03</v>
      </c>
      <c r="D23" s="306" t="inlineStr">
        <is>
          <t>annual %, -10% to 20% · Annual low-income-rent growth</t>
        </is>
      </c>
    </row>
    <row r="24">
      <c r="B24" s="36" t="inlineStr">
        <is>
          <t>Growth Expense</t>
        </is>
      </c>
      <c r="C24" s="8" t="n">
        <v>0.03</v>
      </c>
      <c r="D24" s="306" t="inlineStr">
        <is>
          <t>annual %, -10% to 20% · Annual expense growth</t>
        </is>
      </c>
    </row>
    <row r="25">
      <c r="B25" s="36" t="inlineStr">
        <is>
          <t>Growth Utility</t>
        </is>
      </c>
      <c r="C25" s="8" t="n">
        <v>0.03</v>
      </c>
      <c r="D25" s="306" t="inlineStr">
        <is>
          <t>annual %, -10% to 20% · Annual utility growth</t>
        </is>
      </c>
    </row>
    <row r="26">
      <c r="B26" s="36" t="inlineStr">
        <is>
          <t>Growth Tax</t>
        </is>
      </c>
      <c r="C26" s="8" t="n">
        <v>0.03</v>
      </c>
      <c r="D26" s="306" t="inlineStr">
        <is>
          <t>annual %, -10% to 20% · Annual tax growth</t>
        </is>
      </c>
    </row>
    <row r="27">
      <c r="B27" s="36" t="inlineStr">
        <is>
          <t>Growth Other</t>
        </is>
      </c>
      <c r="C27" s="8" t="n">
        <v>0.03</v>
      </c>
      <c r="D27" s="306" t="inlineStr">
        <is>
          <t>annual %, -10% to 20% · Annual other-income growth</t>
        </is>
      </c>
    </row>
    <row r="28">
      <c r="B28" s="40" t="inlineStr">
        <is>
          <t>Growth Start Date</t>
        </is>
      </c>
      <c r="C28" s="209">
        <f>EOMONTH(InceptionDate,1)</f>
        <v/>
      </c>
      <c r="D28" s="63" t="inlineStr">
        <is>
          <t>Date all growth trending begins (override)</t>
        </is>
      </c>
    </row>
    <row r="30">
      <c r="B30" s="34" t="inlineStr">
        <is>
          <t>Unit Delivery &amp; Lease-Up</t>
        </is>
      </c>
      <c r="C30" s="60" t="n"/>
      <c r="D30" s="35" t="n"/>
    </row>
    <row r="31">
      <c r="B31" s="36" t="inlineStr">
        <is>
          <t>Lease Up Income Offset</t>
        </is>
      </c>
      <c r="C31" s="307" t="inlineStr">
        <is>
          <t>Offset vs equity</t>
        </is>
      </c>
      <c r="D31" s="61" t="inlineStr">
        <is>
          <t>1=offset lease-up income vs equity, 0=no</t>
        </is>
      </c>
      <c r="F31" s="308">
        <f>IF(C31="Offset vs equity",1,0)</f>
        <v/>
      </c>
    </row>
    <row r="32">
      <c r="B32" s="36" t="inlineStr">
        <is>
          <t>Units Delivered Per Mo</t>
        </is>
      </c>
      <c r="C32" s="9" t="n">
        <v>24</v>
      </c>
      <c r="D32" s="306" t="inlineStr">
        <is>
          <t>units/mo, 1 to 1,000 · Units delivered per month</t>
        </is>
      </c>
    </row>
    <row r="33">
      <c r="B33" s="36" t="inlineStr">
        <is>
          <t>Units Leased Per Mo</t>
        </is>
      </c>
      <c r="C33" s="9" t="n">
        <v>18</v>
      </c>
      <c r="D33" s="306" t="inlineStr">
        <is>
          <t>units/mo, 1 to 1,000 · Units absorbed (leased) per month</t>
        </is>
      </c>
    </row>
    <row r="34">
      <c r="B34" s="36" t="inlineStr">
        <is>
          <t>Lease Up Ramp Pct</t>
        </is>
      </c>
      <c r="C34" s="211" t="n">
        <v>0.6</v>
      </c>
      <c r="D34" s="306" t="inlineStr">
        <is>
          <t>% of stab, 0% to 100% · Variable-opex ramp: % of stabilized during lease-up</t>
        </is>
      </c>
    </row>
    <row r="35">
      <c r="B35" s="36" t="inlineStr">
        <is>
          <t>Lease Up Elevation Pct</t>
        </is>
      </c>
      <c r="C35" s="211" t="n">
        <v>0.25</v>
      </c>
      <c r="D35" s="306" t="inlineStr">
        <is>
          <t>uplift %, 0% to 100% · Elevated-opex uplift over stabilized during lease-up</t>
        </is>
      </c>
    </row>
    <row r="36">
      <c r="B36" s="40" t="inlineStr">
        <is>
          <t>Stabilized Occupancy</t>
        </is>
      </c>
      <c r="C36" s="212" t="n">
        <v>0.9399999999999999</v>
      </c>
      <c r="D36" s="309" t="inlineStr">
        <is>
          <t>occupancy %, 50% to 100% · Physical occupancy at stabilization</t>
        </is>
      </c>
    </row>
    <row r="38">
      <c r="B38" s="34" t="inlineStr">
        <is>
          <t>Site Details</t>
        </is>
      </c>
      <c r="C38" s="60" t="n"/>
      <c r="D38" s="35" t="n"/>
    </row>
    <row r="39">
      <c r="B39" s="36" t="inlineStr">
        <is>
          <t>Land Cost</t>
        </is>
      </c>
      <c r="C39" s="213" t="n">
        <v>567000</v>
      </c>
      <c r="D39" s="306" t="inlineStr">
        <is>
          <t>$, $0+ · Total land cost</t>
        </is>
      </c>
    </row>
    <row r="40">
      <c r="B40" s="36" t="inlineStr">
        <is>
          <t>Gross Acres</t>
        </is>
      </c>
      <c r="C40" s="12" t="n">
        <v>3.65</v>
      </c>
      <c r="D40" s="306" t="inlineStr">
        <is>
          <t>acres, 0 to 10,000 · Gross site acres</t>
        </is>
      </c>
    </row>
    <row r="41">
      <c r="B41" s="36" t="inlineStr">
        <is>
          <t>Net Acres</t>
        </is>
      </c>
      <c r="C41" s="12">
        <f>+GrossAcres</f>
        <v/>
      </c>
      <c r="D41" s="61" t="inlineStr">
        <is>
          <t>Net developable acres</t>
        </is>
      </c>
    </row>
    <row r="42">
      <c r="B42" s="36" t="inlineStr">
        <is>
          <t>FARRatio</t>
        </is>
      </c>
      <c r="C42" s="12" t="n">
        <v>1.75</v>
      </c>
      <c r="D42" s="306" t="inlineStr">
        <is>
          <t>ratio, 0 to 20 · Floor-area ratio</t>
        </is>
      </c>
    </row>
    <row r="43">
      <c r="B43" s="36" t="inlineStr">
        <is>
          <t>Efficiency Ratio</t>
        </is>
      </c>
      <c r="C43" s="211" t="n">
        <v>0.85</v>
      </c>
      <c r="D43" s="306" t="inlineStr">
        <is>
          <t>NRSF/gross %, 50% to 100% · Net rentable / gross buildable</t>
        </is>
      </c>
    </row>
    <row r="44">
      <c r="B44" s="40" t="inlineStr">
        <is>
          <t>Existing Structure Cost</t>
        </is>
      </c>
      <c r="C44" s="214" t="n">
        <v>0</v>
      </c>
      <c r="D44" s="309" t="inlineStr">
        <is>
          <t>$, $0+ · Demo / existing structure</t>
        </is>
      </c>
    </row>
    <row r="46">
      <c r="B46" s="34" t="inlineStr">
        <is>
          <t>Property Taxes</t>
        </is>
      </c>
      <c r="C46" s="60" t="n"/>
      <c r="D46" s="35" t="n"/>
    </row>
    <row r="47">
      <c r="B47" s="36" t="inlineStr">
        <is>
          <t>Tax Levy Pct</t>
        </is>
      </c>
      <c r="C47" s="8" t="n">
        <v>0.0185</v>
      </c>
      <c r="D47" s="306" t="inlineStr">
        <is>
          <t>rate %, 0% to 25% · Levy / mill rate (% of assessed)</t>
        </is>
      </c>
    </row>
    <row r="48">
      <c r="B48" s="36" t="inlineStr">
        <is>
          <t>Tax Assessment Pct</t>
        </is>
      </c>
      <c r="C48" s="211" t="n">
        <v>0.1</v>
      </c>
      <c r="D48" s="306" t="inlineStr">
        <is>
          <t>assessment %, 0% to 100% · Assessment ratio (% of value)</t>
        </is>
      </c>
    </row>
    <row r="49">
      <c r="B49" s="36" t="inlineStr">
        <is>
          <t>Tax Value Adj Factor</t>
        </is>
      </c>
      <c r="C49" s="12" t="n">
        <v>0.5</v>
      </c>
      <c r="D49" s="306" t="inlineStr">
        <is>
          <t>factor, 0% to 100% · Value-adjustment / abatement factor (1.0 = full unabated tax)</t>
        </is>
      </c>
    </row>
    <row r="50">
      <c r="B50" s="36" t="inlineStr">
        <is>
          <t>Tax Method Value</t>
        </is>
      </c>
      <c r="C50" s="307" t="inlineStr">
        <is>
          <t>Value Approach</t>
        </is>
      </c>
      <c r="D50" s="61" t="inlineStr">
        <is>
          <t>Post-stab method: 1=value approach, 0=income approach</t>
        </is>
      </c>
      <c r="F50" s="308">
        <f>IF(C50="Value Approach",1,0)</f>
        <v/>
      </c>
    </row>
    <row r="51">
      <c r="B51" s="36" t="inlineStr">
        <is>
          <t>Tax Year1 Override</t>
        </is>
      </c>
      <c r="C51" s="213" t="n">
        <v>0</v>
      </c>
      <c r="D51" s="306" t="inlineStr">
        <is>
          <t>$ (0=auto), $0+ · Year-1 stabilized tax: 0=dynamic (stab value x rate), &gt;0=manual</t>
        </is>
      </c>
    </row>
    <row r="52">
      <c r="B52" s="36" t="inlineStr">
        <is>
          <t>Reassess On Sale</t>
        </is>
      </c>
      <c r="C52" s="307" t="inlineStr">
        <is>
          <t>No — in-place taxes</t>
        </is>
      </c>
      <c r="D52" s="61" t="inlineStr">
        <is>
          <t>1=reassess buyer taxes on sale value, 0=in-place</t>
        </is>
      </c>
      <c r="F52" s="308">
        <f>IF(C52="Yes — reassess at sale",1,0)</f>
        <v/>
      </c>
    </row>
    <row r="53">
      <c r="B53" s="40" t="inlineStr">
        <is>
          <t>Dispo Tax Rate Pct</t>
        </is>
      </c>
      <c r="C53" s="68" t="n">
        <v>0</v>
      </c>
      <c r="D53" s="309" t="inlineStr">
        <is>
          <t>rate % (0=auto), 0% to 25% · Buyer tax rate at sale: 0=use operating effective rate (consistent)</t>
        </is>
      </c>
    </row>
    <row r="55">
      <c r="B55" s="34" t="inlineStr">
        <is>
          <t>Capitalization &amp; Funding</t>
        </is>
      </c>
      <c r="C55" s="60" t="n"/>
      <c r="D55" s="35" t="n"/>
    </row>
    <row r="56">
      <c r="B56" s="36" t="inlineStr">
        <is>
          <t>Funding Order Pari</t>
        </is>
      </c>
      <c r="C56" s="307" t="inlineStr">
        <is>
          <t>Equity First</t>
        </is>
      </c>
      <c r="D56" s="61" t="inlineStr">
        <is>
          <t>1=pari-passu, 0=equity-first</t>
        </is>
      </c>
      <c r="F56" s="308">
        <f>IF(C56="Pari-Passu",1,0)</f>
        <v/>
      </c>
    </row>
    <row r="57">
      <c r="B57" s="36" t="inlineStr">
        <is>
          <t>Target LTC</t>
        </is>
      </c>
      <c r="C57" s="8" t="n">
        <v>0.65</v>
      </c>
      <c r="D57" s="306" t="inlineStr">
        <is>
          <t>LTC %, 0% to 90% · Target construction loan-to-cost</t>
        </is>
      </c>
    </row>
    <row r="58">
      <c r="B58" s="36" t="inlineStr">
        <is>
          <t>Op Reserve Coverage</t>
        </is>
      </c>
      <c r="C58" s="215" t="n">
        <v>1.1</v>
      </c>
      <c r="D58" s="306" t="inlineStr">
        <is>
          <t>x multiple, 1.00x to 3.00x · Operating reserve coverage multiple on peak shortfall</t>
        </is>
      </c>
    </row>
    <row r="59">
      <c r="B59" s="40" t="inlineStr">
        <is>
          <t>Op Reserve Min Months</t>
        </is>
      </c>
      <c r="C59" s="69" t="n">
        <v>3</v>
      </c>
      <c r="D59" s="309" t="inlineStr">
        <is>
          <t>months, 0 to 24 · Minimum months of stabilized opex floor for reserve</t>
        </is>
      </c>
    </row>
    <row r="61">
      <c r="B61" s="34" t="inlineStr">
        <is>
          <t>Construction Loan</t>
        </is>
      </c>
      <c r="C61" s="60" t="n"/>
      <c r="D61" s="35" t="n"/>
    </row>
    <row r="62">
      <c r="B62" s="36" t="inlineStr">
        <is>
          <t>Con Loan Term Months</t>
        </is>
      </c>
      <c r="C62" s="287" t="n">
        <v>36</v>
      </c>
      <c r="D62" s="306" t="inlineStr">
        <is>
          <t>months, 12 to 60 · Construction loan term</t>
        </is>
      </c>
    </row>
    <row r="63">
      <c r="B63" s="36" t="inlineStr">
        <is>
          <t>Con Rate</t>
        </is>
      </c>
      <c r="C63" s="8" t="n">
        <v>0.057</v>
      </c>
      <c r="D63" s="306" t="inlineStr">
        <is>
          <t>rate %, 0% to 25% · Construction interest rate (annual)</t>
        </is>
      </c>
    </row>
    <row r="64">
      <c r="B64" s="36" t="inlineStr">
        <is>
          <t>Con Actual360</t>
        </is>
      </c>
      <c r="C64" s="307" t="inlineStr">
        <is>
          <t>Actual/360</t>
        </is>
      </c>
      <c r="D64" s="61" t="inlineStr">
        <is>
          <t>1=Actual/360, 0=30/360</t>
        </is>
      </c>
      <c r="F64" s="308">
        <f>IF(C64="Actual/360",1,0)</f>
        <v/>
      </c>
    </row>
    <row r="65">
      <c r="B65" s="36" t="inlineStr">
        <is>
          <t>Con Points Pct</t>
        </is>
      </c>
      <c r="C65" s="8" t="n">
        <v>0.01</v>
      </c>
      <c r="D65" s="306" t="inlineStr">
        <is>
          <t>points %, 0% to 10% · Origination points</t>
        </is>
      </c>
    </row>
    <row r="66">
      <c r="B66" s="36" t="inlineStr">
        <is>
          <t>Con Other Costs</t>
        </is>
      </c>
      <c r="C66" s="213" t="n">
        <v>250000</v>
      </c>
      <c r="D66" s="306" t="inlineStr">
        <is>
          <t>$, $0+ · Other construction loan costs</t>
        </is>
      </c>
    </row>
    <row r="67">
      <c r="B67" s="36" t="inlineStr">
        <is>
          <t>Con Min Debt Yield</t>
        </is>
      </c>
      <c r="C67" s="8" t="n">
        <v>0.07000000000000001</v>
      </c>
      <c r="D67" s="306" t="inlineStr">
        <is>
          <t>rate %, 0% to 25% · Min stabilized debt yield (sizing)</t>
        </is>
      </c>
    </row>
    <row r="68">
      <c r="B68" s="36" t="inlineStr">
        <is>
          <t>Con Min DSCR</t>
        </is>
      </c>
      <c r="C68" s="215" t="n">
        <v>1.15</v>
      </c>
      <c r="D68" s="306" t="inlineStr">
        <is>
          <t>x, 1.00x to 2.00x · Min DSCR at target (sizing)</t>
        </is>
      </c>
    </row>
    <row r="69">
      <c r="B69" s="40" t="inlineStr">
        <is>
          <t>Lender Req Reserve Override</t>
        </is>
      </c>
      <c r="C69" s="214" t="n">
        <v>0</v>
      </c>
      <c r="D69" s="309" t="inlineStr">
        <is>
          <t>$ (0=auto), $0+ · If &gt;0, overrides computed interest reserve</t>
        </is>
      </c>
    </row>
    <row r="71">
      <c r="B71" s="34" t="inlineStr">
        <is>
          <t>Permanent Loan (Refinance)</t>
        </is>
      </c>
      <c r="C71" s="60" t="n"/>
      <c r="D71" s="35" t="n"/>
    </row>
    <row r="72">
      <c r="B72" s="36" t="inlineStr">
        <is>
          <t>Perm Max LTV</t>
        </is>
      </c>
      <c r="C72" s="8" t="n">
        <v>0.65</v>
      </c>
      <c r="D72" s="306" t="inlineStr">
        <is>
          <t>LTV %, 0% to 90% · Max permanent loan-to-value</t>
        </is>
      </c>
    </row>
    <row r="73">
      <c r="B73" s="36" t="inlineStr">
        <is>
          <t>Perm Rate</t>
        </is>
      </c>
      <c r="C73" s="8" t="n">
        <v>0.0625</v>
      </c>
      <c r="D73" s="306" t="inlineStr">
        <is>
          <t>rate %, 0% to 25% · Permanent interest rate (annual)</t>
        </is>
      </c>
    </row>
    <row r="74">
      <c r="B74" s="36" t="inlineStr">
        <is>
          <t>Perm Term Months</t>
        </is>
      </c>
      <c r="C74" s="210" t="n">
        <v>360</v>
      </c>
      <c r="D74" s="306" t="inlineStr">
        <is>
          <t>months, 60 to 480 · Permanent loan term</t>
        </is>
      </c>
    </row>
    <row r="75">
      <c r="B75" s="36" t="inlineStr">
        <is>
          <t>Perm IOMonths</t>
        </is>
      </c>
      <c r="C75" s="210" t="n">
        <v>24</v>
      </c>
      <c r="D75" s="306" t="inlineStr">
        <is>
          <t>months, 0 to 120 · Permanent interest-only period</t>
        </is>
      </c>
    </row>
    <row r="76">
      <c r="B76" s="36" t="inlineStr">
        <is>
          <t>Perm Amort Months</t>
        </is>
      </c>
      <c r="C76" s="210" t="n">
        <v>360</v>
      </c>
      <c r="D76" s="306" t="inlineStr">
        <is>
          <t>months, 60 to 480 · Permanent amortization period</t>
        </is>
      </c>
    </row>
    <row r="77">
      <c r="B77" s="36" t="inlineStr">
        <is>
          <t>Perm Actual360</t>
        </is>
      </c>
      <c r="C77" s="307" t="inlineStr">
        <is>
          <t>30/360</t>
        </is>
      </c>
      <c r="D77" s="61" t="inlineStr">
        <is>
          <t>1=Actual/360, 0=30/360</t>
        </is>
      </c>
      <c r="F77" s="308">
        <f>IF(C77="Actual/360",1,0)</f>
        <v/>
      </c>
    </row>
    <row r="78">
      <c r="B78" s="36" t="inlineStr">
        <is>
          <t>Perm Points Pct</t>
        </is>
      </c>
      <c r="C78" s="8" t="n">
        <v>0.0075</v>
      </c>
      <c r="D78" s="306" t="inlineStr">
        <is>
          <t>points %, 0% to 10% · Permanent loan points</t>
        </is>
      </c>
    </row>
    <row r="79">
      <c r="B79" s="36" t="inlineStr">
        <is>
          <t>Perm Min Debt Yield</t>
        </is>
      </c>
      <c r="C79" s="8" t="n">
        <v>0.08</v>
      </c>
      <c r="D79" s="306" t="inlineStr">
        <is>
          <t>rate %, 0% to 25% · Min debt yield at refi (sizing)</t>
        </is>
      </c>
    </row>
    <row r="80">
      <c r="B80" s="36" t="inlineStr">
        <is>
          <t>Perm Min DSCR</t>
        </is>
      </c>
      <c r="C80" s="215" t="n">
        <v>1.15</v>
      </c>
      <c r="D80" s="306" t="inlineStr">
        <is>
          <t>x, 1.00x to 2.00x · Min DSCR at refi (sizing)</t>
        </is>
      </c>
    </row>
    <row r="81">
      <c r="B81" s="36" t="inlineStr">
        <is>
          <t>No Cash Out</t>
        </is>
      </c>
      <c r="C81" s="307" t="inlineStr">
        <is>
          <t>Cash-Out Permitted</t>
        </is>
      </c>
      <c r="D81" s="61" t="inlineStr">
        <is>
          <t>1=size perm so net cash at refi = 0</t>
        </is>
      </c>
      <c r="F81" s="308">
        <f>IF(C81="No Cash-Out (solve LTV to zero)",1,0)</f>
        <v/>
      </c>
    </row>
    <row r="82">
      <c r="B82" s="40" t="inlineStr">
        <is>
          <t>Refi Month Override</t>
        </is>
      </c>
      <c r="C82" s="69" t="n">
        <v>0</v>
      </c>
      <c r="D82" s="309" t="inlineStr">
        <is>
          <t>month (0=auto), 0 to 360 · If &gt;0, override refi month (else = con maturity)</t>
        </is>
      </c>
    </row>
    <row r="84">
      <c r="B84" s="34" t="inlineStr">
        <is>
          <t>Sponsor Fees</t>
        </is>
      </c>
      <c r="C84" s="60" t="n"/>
      <c r="D84" s="35" t="n"/>
    </row>
    <row r="85">
      <c r="B85" s="36" t="inlineStr">
        <is>
          <t>Dev Fee Pct Direct</t>
        </is>
      </c>
      <c r="C85" s="8" t="n">
        <v>0</v>
      </c>
      <c r="D85" s="306" t="inlineStr">
        <is>
          <t>% of direct, 0% to 10% · Development fee % of direct costs</t>
        </is>
      </c>
    </row>
    <row r="86">
      <c r="B86" s="36" t="inlineStr">
        <is>
          <t>Dev Fee Third Party Split</t>
        </is>
      </c>
      <c r="C86" s="8" t="n">
        <v>0</v>
      </c>
      <c r="D86" s="306" t="inlineStr">
        <is>
          <t>split %, 0% to 100% · Portion of dev fee paid to 3rd party</t>
        </is>
      </c>
    </row>
    <row r="87">
      <c r="B87" s="36" t="inlineStr">
        <is>
          <t>Sponsor Dispo Fee Pct</t>
        </is>
      </c>
      <c r="C87" s="8" t="n">
        <v>0</v>
      </c>
      <c r="D87" s="306" t="inlineStr">
        <is>
          <t>% of sale, 0% to 10% · Sponsor disposition fee % of sale</t>
        </is>
      </c>
    </row>
    <row r="88">
      <c r="B88" s="40" t="inlineStr">
        <is>
          <t>Recourse Fee Pct</t>
        </is>
      </c>
      <c r="C88" s="68" t="n">
        <v>0</v>
      </c>
      <c r="D88" s="309" t="inlineStr">
        <is>
          <t>% of loan, 0% to 10% · Loan recourse / indemnity fee % of loan</t>
        </is>
      </c>
    </row>
    <row r="90">
      <c r="B90" s="34" t="inlineStr">
        <is>
          <t>Disposition &amp; Sale</t>
        </is>
      </c>
      <c r="C90" s="60" t="n"/>
      <c r="D90" s="35" t="n"/>
    </row>
    <row r="91">
      <c r="B91" s="36" t="inlineStr">
        <is>
          <t>Broker Cost Pct</t>
        </is>
      </c>
      <c r="C91" s="8" t="n">
        <v>0.01</v>
      </c>
      <c r="D91" s="306" t="inlineStr">
        <is>
          <t>% of sale, 0% to 10% · Broker / sale cost % of gross sale</t>
        </is>
      </c>
    </row>
    <row r="92">
      <c r="B92" s="36" t="inlineStr">
        <is>
          <t>Sales Tax Pct</t>
        </is>
      </c>
      <c r="C92" s="8" t="n">
        <v>0</v>
      </c>
      <c r="D92" s="306" t="inlineStr">
        <is>
          <t>% of sale, 0% to 10% · Transfer / sales tax % of gross sale</t>
        </is>
      </c>
    </row>
    <row r="93">
      <c r="B93" s="40" t="inlineStr">
        <is>
          <t>Tax Proration Months</t>
        </is>
      </c>
      <c r="C93" s="216" t="n">
        <v>2</v>
      </c>
      <c r="D93" s="309" t="inlineStr">
        <is>
          <t>months, 0 to 12 · Property-tax proration at sale (months)</t>
        </is>
      </c>
    </row>
    <row r="95">
      <c r="B95" s="34" t="inlineStr">
        <is>
          <t>Stabilized Revenue (other income)</t>
        </is>
      </c>
      <c r="C95" s="60" t="n"/>
      <c r="D95" s="35" t="n"/>
    </row>
    <row r="96">
      <c r="B96" s="36" t="inlineStr">
        <is>
          <t>Bad Debt Pct</t>
        </is>
      </c>
      <c r="C96" s="8" t="n">
        <v>0.005</v>
      </c>
      <c r="D96" s="306" t="inlineStr">
        <is>
          <t>% of GPR, 0% to 10% · Bad debt % of GPR</t>
        </is>
      </c>
    </row>
    <row r="97">
      <c r="B97" s="36" t="inlineStr">
        <is>
          <t>Concessions Pct</t>
        </is>
      </c>
      <c r="C97" s="8" t="n">
        <v>0</v>
      </c>
      <c r="D97" s="306" t="inlineStr">
        <is>
          <t>% of GPR, 0% to 10% · Concessions % of GPR</t>
        </is>
      </c>
    </row>
    <row r="98">
      <c r="B98" s="36" t="inlineStr">
        <is>
          <t>Loss To Lease Pct</t>
        </is>
      </c>
      <c r="C98" s="8" t="n">
        <v>0</v>
      </c>
      <c r="D98" s="306" t="inlineStr">
        <is>
          <t>% of GPR, 0% to 10% · Gain/loss-to-lease % of GPR</t>
        </is>
      </c>
    </row>
    <row r="99">
      <c r="B99" s="36" t="inlineStr">
        <is>
          <t>Model Units</t>
        </is>
      </c>
      <c r="C99" s="9" t="n">
        <v>1</v>
      </c>
      <c r="D99" s="306" t="inlineStr">
        <is>
          <t>units, 0 to 1,000 · Down / model units (non-revenue)</t>
        </is>
      </c>
    </row>
    <row r="100">
      <c r="B100" s="36" t="inlineStr">
        <is>
          <t>Parking Per Unit Mo</t>
        </is>
      </c>
      <c r="C100" s="213" t="n">
        <v>50</v>
      </c>
      <c r="D100" s="306" t="inlineStr">
        <is>
          <t>$/unit/mo, $0+ · Parking &amp; storage income $/unit/mo</t>
        </is>
      </c>
    </row>
    <row r="101">
      <c r="B101" s="36" t="inlineStr">
        <is>
          <t>Retail Income Mo</t>
        </is>
      </c>
      <c r="C101" s="213" t="n">
        <v>0</v>
      </c>
      <c r="D101" s="306" t="inlineStr">
        <is>
          <t>$/mo, $0+ · Retail income $/mo (stabilized)</t>
        </is>
      </c>
    </row>
    <row r="102">
      <c r="B102" s="36" t="inlineStr">
        <is>
          <t>Util Reimb Per Unit Mo</t>
        </is>
      </c>
      <c r="C102" s="213" t="n">
        <v>50</v>
      </c>
      <c r="D102" s="306" t="inlineStr">
        <is>
          <t>$/unit/mo, $0+ · Utility reimbursement $/unit/mo</t>
        </is>
      </c>
    </row>
    <row r="103">
      <c r="B103" s="40" t="inlineStr">
        <is>
          <t>Other Inc Per Unit Mo</t>
        </is>
      </c>
      <c r="C103" s="214" t="n">
        <v>50</v>
      </c>
      <c r="D103" s="309" t="inlineStr">
        <is>
          <t>$/unit/mo, $0+ · Other income $/unit/mo</t>
        </is>
      </c>
    </row>
    <row r="105">
      <c r="B105" s="34" t="inlineStr">
        <is>
          <t>Stabilized Operating Expenses (annual)</t>
        </is>
      </c>
      <c r="C105" s="60" t="n"/>
      <c r="D105" s="35" t="n"/>
    </row>
    <row r="106">
      <c r="B106" s="36" t="inlineStr">
        <is>
          <t>Exp Insurance Per Unit</t>
        </is>
      </c>
      <c r="C106" s="213" t="n">
        <v>500</v>
      </c>
      <c r="D106" s="306" t="inlineStr">
        <is>
          <t>$/unit/yr, $0+ · Insurance $/unit/yr</t>
        </is>
      </c>
    </row>
    <row r="107">
      <c r="B107" s="36" t="inlineStr">
        <is>
          <t>Exp Utilities Per Unit</t>
        </is>
      </c>
      <c r="C107" s="213" t="n">
        <v>1000</v>
      </c>
      <c r="D107" s="306" t="inlineStr">
        <is>
          <t>$/unit/yr, $0+ · Utilities $/unit/yr (variable)</t>
        </is>
      </c>
    </row>
    <row r="108">
      <c r="B108" s="36" t="inlineStr">
        <is>
          <t>Exp Payroll Per Unit</t>
        </is>
      </c>
      <c r="C108" s="213" t="n">
        <v>1544</v>
      </c>
      <c r="D108" s="306" t="inlineStr">
        <is>
          <t>$/unit/yr, $0+ · Payroll $/unit/yr (elevated in lease-up)</t>
        </is>
      </c>
    </row>
    <row r="109">
      <c r="B109" s="36" t="inlineStr">
        <is>
          <t>Exp RMPer Unit</t>
        </is>
      </c>
      <c r="C109" s="213" t="n">
        <v>365</v>
      </c>
      <c r="D109" s="306" t="inlineStr">
        <is>
          <t>$/unit/yr, $0+ · Repairs &amp; maintenance $/unit/yr (variable)</t>
        </is>
      </c>
    </row>
    <row r="110">
      <c r="B110" s="36" t="inlineStr">
        <is>
          <t>Exp Turnover Per Unit</t>
        </is>
      </c>
      <c r="C110" s="213" t="n">
        <v>335</v>
      </c>
      <c r="D110" s="306" t="inlineStr">
        <is>
          <t>$/unit/yr, $0+ · Turnover $/unit/yr (variable)</t>
        </is>
      </c>
    </row>
    <row r="111">
      <c r="B111" s="36" t="inlineStr">
        <is>
          <t>Exp Contract Per Unit</t>
        </is>
      </c>
      <c r="C111" s="213">
        <f>441+408</f>
        <v/>
      </c>
      <c r="D111" s="306" t="inlineStr">
        <is>
          <t>$/unit/yr, $0+ · Contract services $/unit/yr (variable)</t>
        </is>
      </c>
    </row>
    <row r="112">
      <c r="B112" s="36" t="inlineStr">
        <is>
          <t>Exp Admin Per Unit</t>
        </is>
      </c>
      <c r="C112" s="213" t="n">
        <v>478</v>
      </c>
      <c r="D112" s="306" t="inlineStr">
        <is>
          <t>$/unit/yr, $0+ · Admin &amp; legal $/unit/yr</t>
        </is>
      </c>
    </row>
    <row r="113">
      <c r="B113" s="36" t="inlineStr">
        <is>
          <t>Exp Advertising Per Unit</t>
        </is>
      </c>
      <c r="C113" s="213" t="n">
        <v>200</v>
      </c>
      <c r="D113" s="306" t="inlineStr">
        <is>
          <t>$/unit/yr, $0+ · Advertising $/unit/yr (elevated in lease-up)</t>
        </is>
      </c>
    </row>
    <row r="114">
      <c r="B114" s="36" t="inlineStr">
        <is>
          <t>Mgmt Fee Pct</t>
        </is>
      </c>
      <c r="C114" s="8" t="n">
        <v>0.034</v>
      </c>
      <c r="D114" s="306" t="inlineStr">
        <is>
          <t>% of EGI, 0% to 10% · Management fee % of EGI</t>
        </is>
      </c>
    </row>
    <row r="115">
      <c r="B115" s="36" t="inlineStr">
        <is>
          <t>Cap Reserve Per Unit</t>
        </is>
      </c>
      <c r="C115" s="213" t="n">
        <v>300</v>
      </c>
      <c r="D115" s="306" t="inlineStr">
        <is>
          <t>$/unit/yr, $0+ · Capital reserves $/unit/yr (below NOI)</t>
        </is>
      </c>
    </row>
    <row r="116">
      <c r="B116" s="36" t="inlineStr">
        <is>
          <t>Tax Prep Per Unit</t>
        </is>
      </c>
      <c r="C116" s="213" t="n">
        <v>0</v>
      </c>
      <c r="D116" s="306" t="inlineStr">
        <is>
          <t>$/unit/yr, $0+ · Tax prep $/unit/yr (below NOI)</t>
        </is>
      </c>
    </row>
    <row r="117">
      <c r="B117" s="40" t="inlineStr">
        <is>
          <t>Asset Mgmt Fee Pct</t>
        </is>
      </c>
      <c r="C117" s="68" t="n">
        <v>0.01</v>
      </c>
      <c r="D117" s="309" t="inlineStr">
        <is>
          <t>% of EGI, 0% to 10% · Asset mgmt fee % of EGI (below NOI)</t>
        </is>
      </c>
    </row>
    <row r="119">
      <c r="B119" s="189" t="inlineStr">
        <is>
          <t>Timing Milestone Durations (months)</t>
        </is>
      </c>
    </row>
    <row r="120">
      <c r="B120" s="190" t="inlineStr">
        <is>
          <t>DeliveryLagMonths</t>
        </is>
      </c>
      <c r="C120" s="288" t="n">
        <v>13</v>
      </c>
      <c r="D120" s="310" t="inlineStr">
        <is>
          <t>months, 1 to 120 · Months from construction start to 1st unit delivery</t>
        </is>
      </c>
    </row>
    <row r="121">
      <c r="B121" s="190" t="inlineStr">
        <is>
          <t>Dur_OpenEscrow</t>
        </is>
      </c>
      <c r="C121" s="288" t="n">
        <v>1</v>
      </c>
      <c r="D121" s="310" t="inlineStr">
        <is>
          <t>months, 1 to 120 · Open Escrow duration</t>
        </is>
      </c>
    </row>
    <row r="122">
      <c r="B122" s="190" t="inlineStr">
        <is>
          <t>Dur_DueDiligence</t>
        </is>
      </c>
      <c r="C122" s="288" t="n">
        <v>4</v>
      </c>
      <c r="D122" s="310" t="inlineStr">
        <is>
          <t>months, 1 to 120 · Due Diligence duration</t>
        </is>
      </c>
    </row>
    <row r="123">
      <c r="B123" s="190" t="inlineStr">
        <is>
          <t>Dur_Entitlement</t>
        </is>
      </c>
      <c r="C123" s="288" t="n">
        <v>5</v>
      </c>
      <c r="D123" s="310" t="inlineStr">
        <is>
          <t>months, 1 to 120 · Entitlement duration</t>
        </is>
      </c>
    </row>
    <row r="124">
      <c r="B124" s="190" t="inlineStr">
        <is>
          <t>Dur_PreConstruction</t>
        </is>
      </c>
      <c r="C124" s="288" t="n">
        <v>3</v>
      </c>
      <c r="D124" s="310" t="inlineStr">
        <is>
          <t>months, 1 to 120 · Pre-Construction duration</t>
        </is>
      </c>
    </row>
    <row r="125">
      <c r="B125" s="190" t="inlineStr">
        <is>
          <t>Dur_InitialClosing</t>
        </is>
      </c>
      <c r="C125" s="288" t="n">
        <v>1</v>
      </c>
      <c r="D125" s="310" t="inlineStr">
        <is>
          <t>months, 1 to 120 · Initial Closing duration</t>
        </is>
      </c>
    </row>
    <row r="126">
      <c r="B126" s="190" t="inlineStr">
        <is>
          <t>Dur_Construction</t>
        </is>
      </c>
      <c r="C126" s="288" t="n">
        <v>22</v>
      </c>
      <c r="D126" s="310" t="inlineStr">
        <is>
          <t>months, 1 to 120 · Construction duration</t>
        </is>
      </c>
    </row>
    <row r="127">
      <c r="B127" s="190" t="inlineStr">
        <is>
          <t>Dur_FirstUnitDelivery</t>
        </is>
      </c>
      <c r="C127" s="288" t="n">
        <v>1</v>
      </c>
      <c r="D127" s="310" t="inlineStr">
        <is>
          <t>months, 1 to 120 · 1st Unit Delivery duration</t>
        </is>
      </c>
    </row>
    <row r="128">
      <c r="B128" s="190" t="inlineStr">
        <is>
          <t>Dur_Stabilization</t>
        </is>
      </c>
      <c r="C128" s="288" t="n">
        <v>1</v>
      </c>
      <c r="D128" s="310" t="inlineStr">
        <is>
          <t>months, 1 to 120 · Stabilization duration</t>
        </is>
      </c>
    </row>
    <row r="129">
      <c r="B129" s="190" t="inlineStr">
        <is>
          <t>Dur_Recap</t>
        </is>
      </c>
      <c r="C129" s="288" t="n">
        <v>1</v>
      </c>
      <c r="D129" s="310" t="inlineStr">
        <is>
          <t>months, 1 to 120 · Recapitalization / Refinance duration</t>
        </is>
      </c>
    </row>
    <row r="130">
      <c r="B130" s="190" t="inlineStr">
        <is>
          <t>Dur_Disposition</t>
        </is>
      </c>
      <c r="C130" s="288" t="n">
        <v>1</v>
      </c>
      <c r="D130" s="310" t="inlineStr">
        <is>
          <t>months, 1 to 120 · Disposition duration</t>
        </is>
      </c>
    </row>
    <row r="132">
      <c r="B132" s="189" t="inlineStr">
        <is>
          <t>Property Tax — Derived (sanity check)</t>
        </is>
      </c>
    </row>
    <row r="133">
      <c r="B133" s="190" t="inlineStr">
        <is>
          <t>Effective Tax Rate on Value</t>
        </is>
      </c>
      <c r="C133" s="278">
        <f>TaxLevyPct*TaxAssessmentPct*TaxValueAdjFactor</f>
        <v/>
      </c>
      <c r="D133" s="289" t="inlineStr">
        <is>
          <t>Levy × assessment ratio × value-adj factor (no double count)</t>
        </is>
      </c>
    </row>
    <row r="134">
      <c r="B134" s="190" t="inlineStr">
        <is>
          <t>Stabilized Tax per Unit / Yr</t>
        </is>
      </c>
      <c r="C134" s="199">
        <f>IF(TotalUnits=0,0,StabTaxAnnual/TotalUnits)</f>
        <v/>
      </c>
      <c r="D134" s="289" t="inlineStr">
        <is>
          <t>Sanity-check band ≈ $800–$3,500 for many US multifamily markets</t>
        </is>
      </c>
    </row>
    <row r="135">
      <c r="B135" s="190" t="inlineStr">
        <is>
          <t>Capitalize Lease-Up Tax</t>
        </is>
      </c>
      <c r="C135" s="311" t="inlineStr">
        <is>
          <t>Capitalize in budget</t>
        </is>
      </c>
      <c r="D135" s="289" t="inlineStr">
        <is>
          <t>1=capitalize pre-stab tax in budget (default); 0=accrue as operating from delivery</t>
        </is>
      </c>
      <c r="F135" s="308">
        <f>IF(C135="Capitalize in budget",1,0)</f>
        <v/>
      </c>
    </row>
    <row r="137">
      <c r="B137" s="189" t="inlineStr">
        <is>
          <t>Site Density (derived)</t>
        </is>
      </c>
    </row>
    <row r="138">
      <c r="B138" s="190" t="inlineStr">
        <is>
          <t>Density (units / net acre)</t>
        </is>
      </c>
      <c r="C138" s="290">
        <f>IF(NetAcres=0,0,TotalUnits/NetAcres)</f>
        <v/>
      </c>
    </row>
    <row r="139">
      <c r="B139" s="190" t="inlineStr">
        <is>
          <t>Max Buildable SF by FAR</t>
        </is>
      </c>
      <c r="C139" s="191">
        <f>FARRatio*NetAcres*43560</f>
        <v/>
      </c>
      <c r="D139" s="289" t="inlineStr">
        <is>
          <t>FAR × net acres × 43,560 sf/acre</t>
        </is>
      </c>
    </row>
    <row r="141">
      <c r="B141" s="312" t="inlineStr">
        <is>
          <t>Input Sanity (soft warnings — review, not errors)</t>
        </is>
      </c>
      <c r="C141" s="155" t="n"/>
      <c r="D141" s="155" t="n"/>
      <c r="E141" s="155" t="n"/>
      <c r="F141" s="155" t="n"/>
    </row>
    <row r="142">
      <c r="B142" s="313" t="inlineStr">
        <is>
          <t>Construction term ≤ 48 months</t>
        </is>
      </c>
      <c r="C142" s="191">
        <f>ConLoanTermMonths</f>
        <v/>
      </c>
      <c r="E142" s="314">
        <f>IF(ConLoanTermMonths&lt;=48,"OK","CHECK")</f>
        <v/>
      </c>
    </row>
    <row r="143">
      <c r="B143" s="313" t="inlineStr">
        <is>
          <t>Stabilized tax / unit in $500–$4,000</t>
        </is>
      </c>
      <c r="C143" s="199">
        <f>IF(TotalUnits=0,0,StabTaxAnnual/TotalUnits)</f>
        <v/>
      </c>
      <c r="E143" s="314">
        <f>IF(AND(StabTaxAnnual/TotalUnits&gt;=500,StabTaxAnnual/TotalUnits&lt;=4000),"OK","CHECK")</f>
        <v/>
      </c>
    </row>
    <row r="144">
      <c r="B144" s="313" t="inlineStr">
        <is>
          <t>Absorption pace ≤ delivery pace</t>
        </is>
      </c>
      <c r="C144" s="191">
        <f>UnitsLeasedPerMo</f>
        <v/>
      </c>
      <c r="E144" s="314">
        <f>IF(UnitsLeasedPerMo&lt;=UnitsDeliveredPerMo,"OK","CHECK")</f>
        <v/>
      </c>
    </row>
    <row r="145">
      <c r="B145" s="313" t="inlineStr">
        <is>
          <t>Untrended YOC ≥ exit cap (positive spread)</t>
        </is>
      </c>
      <c r="C145" s="193">
        <f>YieldOnCost-ExitCapResidential</f>
        <v/>
      </c>
      <c r="E145" s="314">
        <f>IF(YieldOnCost&gt;=ExitCapResidential,"OK","CHECK")</f>
        <v/>
      </c>
    </row>
    <row r="146">
      <c r="B146" s="313" t="inlineStr">
        <is>
          <t>Stabilized occupancy 85%–98%</t>
        </is>
      </c>
      <c r="C146" s="315">
        <f>StabilizedOccupancy</f>
        <v/>
      </c>
      <c r="E146" s="314">
        <f>IF(AND(StabilizedOccupancy&gt;=0.85,StabilizedOccupancy&lt;=0.98),"OK","CHECK")</f>
        <v/>
      </c>
    </row>
    <row r="147">
      <c r="B147" s="313" t="inlineStr">
        <is>
          <t>Rent growth ≤ 5%</t>
        </is>
      </c>
      <c r="C147" s="193">
        <f>GrowthRent</f>
        <v/>
      </c>
      <c r="E147" s="314">
        <f>IF(GrowthRent&lt;=0.05,"OK","CHECK")</f>
        <v/>
      </c>
    </row>
    <row r="148">
      <c r="B148" s="313" t="inlineStr">
        <is>
          <t>Sanity checks flagged</t>
        </is>
      </c>
      <c r="C148" s="191">
        <f>COUNTIF(E142:E147,"CHECK")</f>
        <v/>
      </c>
    </row>
  </sheetData>
  <conditionalFormatting sqref="E142:E147">
    <cfRule type="cellIs" priority="1" operator="equal" dxfId="2">
      <formula>"CHECK"</formula>
    </cfRule>
  </conditionalFormatting>
  <dataValidations count="97">
    <dataValidation sqref="C62" showDropDown="0" showInputMessage="0" showErrorMessage="1" allowBlank="0" errorTitle="Construction term out of range" error="Construction-loan term is typically 12-60 months. Values above 60 keep the loan interest-only for the full hold and suppress the refinance. Enter 12-60." promptTitle="Construction Loan Term (months)" prompt="Realistic range 12-60. Drives construction maturity and the refi-or-sell switch." type="whole" operator="between">
      <formula1>12</formula1>
      <formula2>60</formula2>
    </dataValidation>
    <dataValidation sqref="C31" showDropDown="0" showInputMessage="0" showErrorMessage="1" allowBlank="0" errorTitle="Pick from the list" error="Choose &quot;Offset vs equity&quot; or &quot;Do not offset&quot;." promptTitle="Toggle" prompt="Offset vs equity = 1 · Do not offset = 0" type="list">
      <formula1>"Offset vs equity,Do not offset"</formula1>
    </dataValidation>
    <dataValidation sqref="C50" showDropDown="0" showInputMessage="0" showErrorMessage="1" allowBlank="0" errorTitle="Pick from the list" error="Choose &quot;Value Approach&quot; or &quot;Income Approach&quot;." promptTitle="Toggle" prompt="Value Approach = 1 · Income Approach = 0" type="list">
      <formula1>"Value Approach,Income Approach"</formula1>
    </dataValidation>
    <dataValidation sqref="C52" showDropDown="0" showInputMessage="0" showErrorMessage="1" allowBlank="0" errorTitle="Pick from the list" error="Choose &quot;Yes — reassess at sale&quot; or &quot;No — in-place taxes&quot;." promptTitle="Toggle" prompt="Yes — reassess at sale = 1 · No — in-place taxes = 0" type="list">
      <formula1>"Yes — reassess at sale,No — in-place taxes"</formula1>
    </dataValidation>
    <dataValidation sqref="C56" showDropDown="0" showInputMessage="0" showErrorMessage="1" allowBlank="0" errorTitle="Pick from the list" error="Choose &quot;Pari-Passu&quot; or &quot;Equity First&quot;." promptTitle="Toggle" prompt="Pari-Passu = 1 · Equity First = 0" type="list">
      <formula1>"Pari-Passu,Equity First"</formula1>
    </dataValidation>
    <dataValidation sqref="C64" showDropDown="0" showInputMessage="0" showErrorMessage="1" allowBlank="0" errorTitle="Pick from the list" error="Choose &quot;Actual/360&quot; or &quot;30/360&quot;." promptTitle="Toggle" prompt="Actual/360 = 1 · 30/360 = 0" type="list">
      <formula1>"Actual/360,30/360"</formula1>
    </dataValidation>
    <dataValidation sqref="C77" showDropDown="0" showInputMessage="0" showErrorMessage="1" allowBlank="0" errorTitle="Pick from the list" error="Choose &quot;Actual/360&quot; or &quot;30/360&quot;." promptTitle="Toggle" prompt="Actual/360 = 1 · 30/360 = 0" type="list">
      <formula1>"Actual/360,30/360"</formula1>
    </dataValidation>
    <dataValidation sqref="C81" showDropDown="0" showInputMessage="0" showErrorMessage="1" allowBlank="0" errorTitle="Pick from the list" error="Choose &quot;No Cash-Out (solve LTV to zero)&quot; or &quot;Cash-Out Permitted&quot;." promptTitle="Toggle" prompt="No Cash-Out (solve LTV to zero) = 1 · Cash-Out Permitted = 0" type="list">
      <formula1>"No Cash-Out (solve LTV to zero),Cash-Out Permitted"</formula1>
    </dataValidation>
    <dataValidation sqref="C135" showDropDown="0" showInputMessage="0" showErrorMessage="1" allowBlank="0" errorTitle="Pick from the list" error="Choose &quot;Capitalize in budget&quot; or &quot;Expense from delivery&quot;." promptTitle="Toggle" prompt="Capitalize in budget = 1 · Expense from delivery = 0" type="list">
      <formula1>"Capitalize in budget,Expense from delivery"</formula1>
    </dataValidation>
    <dataValidation sqref="C8" showDropDown="0" showInputMessage="0" showErrorMessage="0" allowBlank="1" promptTitle="State" prompt="Pick from list or type your own" type="list">
      <formula1>"AZ,TX,CA,CO,NV,UT,NM,WA,OR,ID,FL,GA,NC,TN"</formula1>
    </dataValidation>
    <dataValidation sqref="C10" showDropDown="0" showInputMessage="0" showErrorMessage="0" allowBlank="1" promptTitle="ProductType" prompt="Pick from list or type your own" type="list">
      <formula1>"Garden,Mid-Rise,High-Rise,Wrap,Podium,Townhome"</formula1>
    </dataValidation>
    <dataValidation sqref="C11" showDropDown="0" showInputMessage="0" showErrorMessage="0" allowBlank="1" promptTitle="Location" prompt="Pick from list or type your own" type="list">
      <formula1>"Urban,Suburban,Suburban Infill,Rural"</formula1>
    </dataValidation>
    <dataValidation sqref="C5" showDropDown="0" showInputMessage="0" showErrorMessage="0" allowBlank="1" promptTitle="InvestmentType" prompt="Pick from list or type your own" type="list">
      <formula1>"Ground-Up Development,Value-Add,Core,Core-Plus"</formula1>
    </dataValidation>
    <dataValidation sqref="C15" showDropDown="0" showInputMessage="1" showErrorMessage="1" allowBlank="0" errorTitle="Out of range" error="Hold Period Months: enter months in 1 to 360." promptTitle="Hold Period Months" prompt="Unit: months.  Expected: 1 to 360." type="whole" operator="between">
      <formula1>1</formula1>
      <formula2>360</formula2>
    </dataValidation>
    <dataValidation sqref="C16" showDropDown="0" showInputMessage="1" showErrorMessage="1" allowBlank="0" errorTitle="Out of range" error="Entry Cap Rate: enter rate % in 0% to 25%." promptTitle="Entry Cap Rate" prompt="Unit: rate %.  Expected: 0% to 25%." type="decimal" operator="between">
      <formula1>0</formula1>
      <formula2>0.25</formula2>
    </dataValidation>
    <dataValidation sqref="C17" showDropDown="0" showInputMessage="1" showErrorMessage="1" allowBlank="0" errorTitle="Out of range" error="Cap Adj Location: enter ± rate in -5% to 5%." promptTitle="Cap Adj Location" prompt="Unit: ± rate.  Expected: -5% to 5%." type="decimal" operator="between">
      <formula1>-0.05</formula1>
      <formula2>0.05</formula2>
    </dataValidation>
    <dataValidation sqref="C18" showDropDown="0" showInputMessage="1" showErrorMessage="1" allowBlank="0" errorTitle="Out of range" error="Cap Adj Size: enter ± rate in -5% to 5%." promptTitle="Cap Adj Size" prompt="Unit: ± rate.  Expected: -5% to 5%." type="decimal" operator="between">
      <formula1>-0.05</formula1>
      <formula2>0.05</formula2>
    </dataValidation>
    <dataValidation sqref="C19" showDropDown="0" showInputMessage="1" showErrorMessage="1" allowBlank="0" errorTitle="Out of range" error="Cap Adj Aging: enter ± rate in -5% to 5%." promptTitle="Cap Adj Aging" prompt="Unit: ± rate.  Expected: -5% to 5%." type="decimal" operator="between">
      <formula1>-0.05</formula1>
      <formula2>0.05</formula2>
    </dataValidation>
    <dataValidation sqref="C21" showDropDown="0" showInputMessage="1" showErrorMessage="1" allowBlank="0" errorTitle="Out of range" error="Exit Cap Retail: enter rate % in 0% to 25%." promptTitle="Exit Cap Retail" prompt="Unit: rate %.  Expected: 0% to 25%." type="decimal" operator="between">
      <formula1>0</formula1>
      <formula2>0.25</formula2>
    </dataValidation>
    <dataValidation sqref="C22" showDropDown="0" showInputMessage="1" showErrorMessage="1" allowBlank="0" errorTitle="Out of range" error="Growth Rent: enter annual % in -10% to 20%." promptTitle="Growth Rent" prompt="Unit: annual %.  Expected: -10% to 20%." type="decimal" operator="between">
      <formula1>-0.1</formula1>
      <formula2>0.2</formula2>
    </dataValidation>
    <dataValidation sqref="C23" showDropDown="0" showInputMessage="1" showErrorMessage="1" allowBlank="0" errorTitle="Out of range" error="Growth Low Inc Rent: enter annual % in -10% to 20%." promptTitle="Growth Low Inc Rent" prompt="Unit: annual %.  Expected: -10% to 20%." type="decimal" operator="between">
      <formula1>-0.1</formula1>
      <formula2>0.2</formula2>
    </dataValidation>
    <dataValidation sqref="C24" showDropDown="0" showInputMessage="1" showErrorMessage="1" allowBlank="0" errorTitle="Out of range" error="Growth Expense: enter annual % in -10% to 20%." promptTitle="Growth Expense" prompt="Unit: annual %.  Expected: -10% to 20%." type="decimal" operator="between">
      <formula1>-0.1</formula1>
      <formula2>0.2</formula2>
    </dataValidation>
    <dataValidation sqref="C25" showDropDown="0" showInputMessage="1" showErrorMessage="1" allowBlank="0" errorTitle="Out of range" error="Growth Utility: enter annual % in -10% to 20%." promptTitle="Growth Utility" prompt="Unit: annual %.  Expected: -10% to 20%." type="decimal" operator="between">
      <formula1>-0.1</formula1>
      <formula2>0.2</formula2>
    </dataValidation>
    <dataValidation sqref="C26" showDropDown="0" showInputMessage="1" showErrorMessage="1" allowBlank="0" errorTitle="Out of range" error="Growth Tax: enter annual % in -10% to 20%." promptTitle="Growth Tax" prompt="Unit: annual %.  Expected: -10% to 20%." type="decimal" operator="between">
      <formula1>-0.1</formula1>
      <formula2>0.2</formula2>
    </dataValidation>
    <dataValidation sqref="C27" showDropDown="0" showInputMessage="1" showErrorMessage="1" allowBlank="0" errorTitle="Out of range" error="Growth Other: enter annual % in -10% to 20%." promptTitle="Growth Other" prompt="Unit: annual %.  Expected: -10% to 20%." type="decimal" operator="between">
      <formula1>-0.1</formula1>
      <formula2>0.2</formula2>
    </dataValidation>
    <dataValidation sqref="C32" showDropDown="0" showInputMessage="1" showErrorMessage="1" allowBlank="0" errorTitle="Out of range" error="Units Delivered Per Mo: enter units/mo in 1 to 1,000." promptTitle="Units Delivered Per Mo" prompt="Unit: units/mo.  Expected: 1 to 1,000." type="whole" operator="between">
      <formula1>1</formula1>
      <formula2>1000</formula2>
    </dataValidation>
    <dataValidation sqref="C33" showDropDown="0" showInputMessage="1" showErrorMessage="1" allowBlank="0" errorTitle="Out of range" error="Units Leased Per Mo: enter units/mo in 1 to 1,000." promptTitle="Units Leased Per Mo" prompt="Unit: units/mo.  Expected: 1 to 1,000." type="whole" operator="between">
      <formula1>1</formula1>
      <formula2>1000</formula2>
    </dataValidation>
    <dataValidation sqref="C34" showDropDown="0" showInputMessage="1" showErrorMessage="1" allowBlank="0" errorTitle="Out of range" error="Lease Up Ramp Pct: enter % of stab in 0% to 100%." promptTitle="Lease Up Ramp Pct" prompt="Unit: % of stab.  Expected: 0% to 100%." type="decimal" operator="between">
      <formula1>0</formula1>
      <formula2>1</formula2>
    </dataValidation>
    <dataValidation sqref="C35" showDropDown="0" showInputMessage="1" showErrorMessage="1" allowBlank="0" errorTitle="Out of range" error="Lease Up Elevation Pct: enter uplift % in 0% to 100%." promptTitle="Lease Up Elevation Pct" prompt="Unit: uplift %.  Expected: 0% to 100%." type="decimal" operator="between">
      <formula1>0</formula1>
      <formula2>1</formula2>
    </dataValidation>
    <dataValidation sqref="C36" showDropDown="0" showInputMessage="1" showErrorMessage="1" allowBlank="0" errorTitle="Out of range" error="Stabilized Occupancy: enter occupancy % in 50% to 100%." promptTitle="Stabilized Occupancy" prompt="Unit: occupancy %.  Expected: 50% to 100%." type="decimal" operator="between">
      <formula1>0.5</formula1>
      <formula2>1.0</formula2>
    </dataValidation>
    <dataValidation sqref="C39" showDropDown="0" showInputMessage="1" showErrorMessage="1" allowBlank="0" errorTitle="Out of range" error="Land Cost: enter $ in $0+." promptTitle="Land Cost" prompt="Unit: $.  Expected: $0+." type="decimal" operator="between">
      <formula1>0</formula1>
      <formula2>1000000000000.0</formula2>
    </dataValidation>
    <dataValidation sqref="C40" showDropDown="0" showInputMessage="1" showErrorMessage="1" allowBlank="0" errorTitle="Out of range" error="Gross Acres: enter acres in 0 to 10,000." promptTitle="Gross Acres" prompt="Unit: acres.  Expected: 0 to 10,000." type="decimal" operator="between">
      <formula1>0</formula1>
      <formula2>10000</formula2>
    </dataValidation>
    <dataValidation sqref="C42" showDropDown="0" showInputMessage="1" showErrorMessage="1" allowBlank="0" errorTitle="Out of range" error="FARRatio: enter ratio in 0 to 20." promptTitle="FARRatio" prompt="Unit: ratio.  Expected: 0 to 20." type="decimal" operator="between">
      <formula1>0</formula1>
      <formula2>20</formula2>
    </dataValidation>
    <dataValidation sqref="C43" showDropDown="0" showInputMessage="1" showErrorMessage="1" allowBlank="0" errorTitle="Out of range" error="Efficiency Ratio: enter NRSF/gross % in 50% to 100%." promptTitle="Efficiency Ratio" prompt="Unit: NRSF/gross %.  Expected: 50% to 100%." type="decimal" operator="between">
      <formula1>0.5</formula1>
      <formula2>1.0</formula2>
    </dataValidation>
    <dataValidation sqref="C44" showDropDown="0" showInputMessage="1" showErrorMessage="1" allowBlank="0" errorTitle="Out of range" error="Existing Structure Cost: enter $ in $0+." promptTitle="Existing Structure Cost" prompt="Unit: $.  Expected: $0+." type="decimal" operator="between">
      <formula1>0</formula1>
      <formula2>1000000000000.0</formula2>
    </dataValidation>
    <dataValidation sqref="C47" showDropDown="0" showInputMessage="1" showErrorMessage="1" allowBlank="0" errorTitle="Out of range" error="Tax Levy Pct: enter rate % in 0% to 25%." promptTitle="Tax Levy Pct" prompt="Unit: rate %.  Expected: 0% to 25%." type="decimal" operator="between">
      <formula1>0</formula1>
      <formula2>0.25</formula2>
    </dataValidation>
    <dataValidation sqref="C48" showDropDown="0" showInputMessage="1" showErrorMessage="1" allowBlank="0" errorTitle="Out of range" error="Tax Assessment Pct: enter assessment % in 0% to 100%." promptTitle="Tax Assessment Pct" prompt="Unit: assessment %.  Expected: 0% to 100%." type="decimal" operator="between">
      <formula1>0</formula1>
      <formula2>1</formula2>
    </dataValidation>
    <dataValidation sqref="C49" showDropDown="0" showInputMessage="1" showErrorMessage="1" allowBlank="0" errorTitle="Out of range" error="Tax Value Adj Factor: enter factor in 0% to 100%." promptTitle="Tax Value Adj Factor" prompt="Unit: factor.  Expected: 0% to 100%." type="decimal" operator="between">
      <formula1>0</formula1>
      <formula2>1</formula2>
    </dataValidation>
    <dataValidation sqref="C51" showDropDown="0" showInputMessage="1" showErrorMessage="1" allowBlank="0" errorTitle="Out of range" error="Tax Year1 Override: enter $ (0=auto) in $0+." promptTitle="Tax Year1 Override" prompt="Unit: $ (0=auto).  Expected: $0+." type="decimal" operator="between">
      <formula1>0</formula1>
      <formula2>1000000000.0</formula2>
    </dataValidation>
    <dataValidation sqref="C53" showDropDown="0" showInputMessage="1" showErrorMessage="1" allowBlank="0" errorTitle="Out of range" error="Dispo Tax Rate Pct: enter rate % (0=auto) in 0% to 25%." promptTitle="Dispo Tax Rate Pct" prompt="Unit: rate % (0=auto).  Expected: 0% to 25%." type="decimal" operator="between">
      <formula1>0</formula1>
      <formula2>0.25</formula2>
    </dataValidation>
    <dataValidation sqref="C57" showDropDown="0" showInputMessage="1" showErrorMessage="1" allowBlank="0" errorTitle="Out of range" error="Target LTC: enter LTC % in 0% to 90%." promptTitle="Target LTC" prompt="Unit: LTC %.  Expected: 0% to 90%." type="decimal" operator="between">
      <formula1>0</formula1>
      <formula2>0.9</formula2>
    </dataValidation>
    <dataValidation sqref="C58" showDropDown="0" showInputMessage="1" showErrorMessage="1" allowBlank="0" errorTitle="Out of range" error="Op Reserve Coverage: enter x multiple in 1.00x to 3.00x." promptTitle="Op Reserve Coverage" prompt="Unit: x multiple.  Expected: 1.00x to 3.00x." type="decimal" operator="between">
      <formula1>1.0</formula1>
      <formula2>3.0</formula2>
    </dataValidation>
    <dataValidation sqref="C59" showDropDown="0" showInputMessage="1" showErrorMessage="1" allowBlank="0" errorTitle="Out of range" error="Op Reserve Min Months: enter months in 0 to 24." promptTitle="Op Reserve Min Months" prompt="Unit: months.  Expected: 0 to 24." type="whole" operator="between">
      <formula1>0</formula1>
      <formula2>24</formula2>
    </dataValidation>
    <dataValidation sqref="C62" showDropDown="0" showInputMessage="1" showErrorMessage="1" allowBlank="0" errorTitle="Out of range" error="Con Loan Term Months: enter months in 12 to 60." promptTitle="Con Loan Term Months" prompt="Unit: months.  Expected: 12 to 60." type="whole" operator="between">
      <formula1>12</formula1>
      <formula2>60</formula2>
    </dataValidation>
    <dataValidation sqref="C63" showDropDown="0" showInputMessage="1" showErrorMessage="1" allowBlank="0" errorTitle="Out of range" error="Con Rate: enter rate % in 0% to 25%." promptTitle="Con Rate" prompt="Unit: rate %.  Expected: 0% to 25%." type="decimal" operator="between">
      <formula1>0</formula1>
      <formula2>0.25</formula2>
    </dataValidation>
    <dataValidation sqref="C65" showDropDown="0" showInputMessage="1" showErrorMessage="1" allowBlank="0" errorTitle="Out of range" error="Con Points Pct: enter points % in 0% to 10%." promptTitle="Con Points Pct" prompt="Unit: points %.  Expected: 0% to 10%." type="decimal" operator="between">
      <formula1>0</formula1>
      <formula2>0.1</formula2>
    </dataValidation>
    <dataValidation sqref="C66" showDropDown="0" showInputMessage="1" showErrorMessage="1" allowBlank="0" errorTitle="Out of range" error="Con Other Costs: enter $ in $0+." promptTitle="Con Other Costs" prompt="Unit: $.  Expected: $0+." type="decimal" operator="between">
      <formula1>0</formula1>
      <formula2>1000000000.0</formula2>
    </dataValidation>
    <dataValidation sqref="C67" showDropDown="0" showInputMessage="1" showErrorMessage="1" allowBlank="0" errorTitle="Out of range" error="Con Min Debt Yield: enter rate % in 0% to 25%." promptTitle="Con Min Debt Yield" prompt="Unit: rate %.  Expected: 0% to 25%." type="decimal" operator="between">
      <formula1>0</formula1>
      <formula2>0.25</formula2>
    </dataValidation>
    <dataValidation sqref="C68" showDropDown="0" showInputMessage="1" showErrorMessage="1" allowBlank="0" errorTitle="Out of range" error="Con Min DSCR: enter x in 1.00x to 2.00x." promptTitle="Con Min DSCR" prompt="Unit: x.  Expected: 1.00x to 2.00x." type="decimal" operator="between">
      <formula1>1.0</formula1>
      <formula2>2.0</formula2>
    </dataValidation>
    <dataValidation sqref="C69" showDropDown="0" showInputMessage="1" showErrorMessage="1" allowBlank="0" errorTitle="Out of range" error="Lender Req Reserve Override: enter $ (0=auto) in $0+." promptTitle="Lender Req Reserve Override" prompt="Unit: $ (0=auto).  Expected: $0+." type="decimal" operator="between">
      <formula1>0</formula1>
      <formula2>1000000000.0</formula2>
    </dataValidation>
    <dataValidation sqref="C72" showDropDown="0" showInputMessage="1" showErrorMessage="1" allowBlank="0" errorTitle="Out of range" error="Perm Max LTV: enter LTV % in 0% to 90%." promptTitle="Perm Max LTV" prompt="Unit: LTV %.  Expected: 0% to 90%." type="decimal" operator="between">
      <formula1>0</formula1>
      <formula2>0.9</formula2>
    </dataValidation>
    <dataValidation sqref="C73" showDropDown="0" showInputMessage="1" showErrorMessage="1" allowBlank="0" errorTitle="Out of range" error="Perm Rate: enter rate % in 0% to 25%." promptTitle="Perm Rate" prompt="Unit: rate %.  Expected: 0% to 25%." type="decimal" operator="between">
      <formula1>0</formula1>
      <formula2>0.25</formula2>
    </dataValidation>
    <dataValidation sqref="C74" showDropDown="0" showInputMessage="1" showErrorMessage="1" allowBlank="0" errorTitle="Out of range" error="Perm Term Months: enter months in 60 to 480." promptTitle="Perm Term Months" prompt="Unit: months.  Expected: 60 to 480." type="whole" operator="between">
      <formula1>60</formula1>
      <formula2>480</formula2>
    </dataValidation>
    <dataValidation sqref="C75" showDropDown="0" showInputMessage="1" showErrorMessage="1" allowBlank="0" errorTitle="Out of range" error="Perm IOMonths: enter months in 0 to 120." promptTitle="Perm IOMonths" prompt="Unit: months.  Expected: 0 to 120." type="whole" operator="between">
      <formula1>0</formula1>
      <formula2>120</formula2>
    </dataValidation>
    <dataValidation sqref="C76" showDropDown="0" showInputMessage="1" showErrorMessage="1" allowBlank="0" errorTitle="Out of range" error="Perm Amort Months: enter months in 60 to 480." promptTitle="Perm Amort Months" prompt="Unit: months.  Expected: 60 to 480." type="whole" operator="between">
      <formula1>60</formula1>
      <formula2>480</formula2>
    </dataValidation>
    <dataValidation sqref="C78" showDropDown="0" showInputMessage="1" showErrorMessage="1" allowBlank="0" errorTitle="Out of range" error="Perm Points Pct: enter points % in 0% to 10%." promptTitle="Perm Points Pct" prompt="Unit: points %.  Expected: 0% to 10%." type="decimal" operator="between">
      <formula1>0</formula1>
      <formula2>0.1</formula2>
    </dataValidation>
    <dataValidation sqref="C79" showDropDown="0" showInputMessage="1" showErrorMessage="1" allowBlank="0" errorTitle="Out of range" error="Perm Min Debt Yield: enter rate % in 0% to 25%." promptTitle="Perm Min Debt Yield" prompt="Unit: rate %.  Expected: 0% to 25%." type="decimal" operator="between">
      <formula1>0</formula1>
      <formula2>0.25</formula2>
    </dataValidation>
    <dataValidation sqref="C80" showDropDown="0" showInputMessage="1" showErrorMessage="1" allowBlank="0" errorTitle="Out of range" error="Perm Min DSCR: enter x in 1.00x to 2.00x." promptTitle="Perm Min DSCR" prompt="Unit: x.  Expected: 1.00x to 2.00x." type="decimal" operator="between">
      <formula1>1.0</formula1>
      <formula2>2.0</formula2>
    </dataValidation>
    <dataValidation sqref="C82" showDropDown="0" showInputMessage="1" showErrorMessage="1" allowBlank="0" errorTitle="Out of range" error="Refi Month Override: enter month (0=auto) in 0 to 360." promptTitle="Refi Month Override" prompt="Unit: month (0=auto).  Expected: 0 to 360." type="whole" operator="between">
      <formula1>0</formula1>
      <formula2>360</formula2>
    </dataValidation>
    <dataValidation sqref="C85" showDropDown="0" showInputMessage="1" showErrorMessage="1" allowBlank="0" errorTitle="Out of range" error="Dev Fee Pct Direct: enter % of direct in 0% to 10%." promptTitle="Dev Fee Pct Direct" prompt="Unit: % of direct.  Expected: 0% to 10%." type="decimal" operator="between">
      <formula1>0</formula1>
      <formula2>0.1</formula2>
    </dataValidation>
    <dataValidation sqref="C86" showDropDown="0" showInputMessage="1" showErrorMessage="1" allowBlank="0" errorTitle="Out of range" error="Dev Fee Third Party Split: enter split % in 0% to 100%." promptTitle="Dev Fee Third Party Split" prompt="Unit: split %.  Expected: 0% to 100%." type="decimal" operator="between">
      <formula1>0</formula1>
      <formula2>1</formula2>
    </dataValidation>
    <dataValidation sqref="C87" showDropDown="0" showInputMessage="1" showErrorMessage="1" allowBlank="0" errorTitle="Out of range" error="Sponsor Dispo Fee Pct: enter % of sale in 0% to 10%." promptTitle="Sponsor Dispo Fee Pct" prompt="Unit: % of sale.  Expected: 0% to 10%." type="decimal" operator="between">
      <formula1>0</formula1>
      <formula2>0.1</formula2>
    </dataValidation>
    <dataValidation sqref="C88" showDropDown="0" showInputMessage="1" showErrorMessage="1" allowBlank="0" errorTitle="Out of range" error="Recourse Fee Pct: enter % of loan in 0% to 10%." promptTitle="Recourse Fee Pct" prompt="Unit: % of loan.  Expected: 0% to 10%." type="decimal" operator="between">
      <formula1>0</formula1>
      <formula2>0.1</formula2>
    </dataValidation>
    <dataValidation sqref="C91" showDropDown="0" showInputMessage="1" showErrorMessage="1" allowBlank="0" errorTitle="Out of range" error="Broker Cost Pct: enter % of sale in 0% to 10%." promptTitle="Broker Cost Pct" prompt="Unit: % of sale.  Expected: 0% to 10%." type="decimal" operator="between">
      <formula1>0</formula1>
      <formula2>0.1</formula2>
    </dataValidation>
    <dataValidation sqref="C92" showDropDown="0" showInputMessage="1" showErrorMessage="1" allowBlank="0" errorTitle="Out of range" error="Sales Tax Pct: enter % of sale in 0% to 10%." promptTitle="Sales Tax Pct" prompt="Unit: % of sale.  Expected: 0% to 10%." type="decimal" operator="between">
      <formula1>0</formula1>
      <formula2>0.1</formula2>
    </dataValidation>
    <dataValidation sqref="C93" showDropDown="0" showInputMessage="1" showErrorMessage="1" allowBlank="0" errorTitle="Out of range" error="Tax Proration Months: enter months in 0 to 12." promptTitle="Tax Proration Months" prompt="Unit: months.  Expected: 0 to 12." type="whole" operator="between">
      <formula1>0</formula1>
      <formula2>12</formula2>
    </dataValidation>
    <dataValidation sqref="C96" showDropDown="0" showInputMessage="1" showErrorMessage="1" allowBlank="0" errorTitle="Out of range" error="Bad Debt Pct: enter % of GPR in 0% to 10%." promptTitle="Bad Debt Pct" prompt="Unit: % of GPR.  Expected: 0% to 10%." type="decimal" operator="between">
      <formula1>0</formula1>
      <formula2>0.1</formula2>
    </dataValidation>
    <dataValidation sqref="C97" showDropDown="0" showInputMessage="1" showErrorMessage="1" allowBlank="0" errorTitle="Out of range" error="Concessions Pct: enter % of GPR in 0% to 10%." promptTitle="Concessions Pct" prompt="Unit: % of GPR.  Expected: 0% to 10%." type="decimal" operator="between">
      <formula1>0</formula1>
      <formula2>0.1</formula2>
    </dataValidation>
    <dataValidation sqref="C98" showDropDown="0" showInputMessage="1" showErrorMessage="1" allowBlank="0" errorTitle="Out of range" error="Loss To Lease Pct: enter % of GPR in 0% to 10%." promptTitle="Loss To Lease Pct" prompt="Unit: % of GPR.  Expected: 0% to 10%." type="decimal" operator="between">
      <formula1>0</formula1>
      <formula2>0.1</formula2>
    </dataValidation>
    <dataValidation sqref="C99" showDropDown="0" showInputMessage="1" showErrorMessage="1" allowBlank="0" errorTitle="Out of range" error="Model Units: enter units in 0 to 1,000." promptTitle="Model Units" prompt="Unit: units.  Expected: 0 to 1,000." type="whole" operator="between">
      <formula1>0</formula1>
      <formula2>1000</formula2>
    </dataValidation>
    <dataValidation sqref="C100" showDropDown="0" showInputMessage="1" showErrorMessage="1" allowBlank="0" errorTitle="Out of range" error="Parking Per Unit Mo: enter $/unit/mo in $0+." promptTitle="Parking Per Unit Mo" prompt="Unit: $/unit/mo.  Expected: $0+." type="decimal" operator="between">
      <formula1>0</formula1>
      <formula2>100000</formula2>
    </dataValidation>
    <dataValidation sqref="C101" showDropDown="0" showInputMessage="1" showErrorMessage="1" allowBlank="0" errorTitle="Out of range" error="Retail Income Mo: enter $/mo in $0+." promptTitle="Retail Income Mo" prompt="Unit: $/mo.  Expected: $0+." type="decimal" operator="between">
      <formula1>0</formula1>
      <formula2>10000000.0</formula2>
    </dataValidation>
    <dataValidation sqref="C102" showDropDown="0" showInputMessage="1" showErrorMessage="1" allowBlank="0" errorTitle="Out of range" error="Util Reimb Per Unit Mo: enter $/unit/mo in $0+." promptTitle="Util Reimb Per Unit Mo" prompt="Unit: $/unit/mo.  Expected: $0+." type="decimal" operator="between">
      <formula1>0</formula1>
      <formula2>100000</formula2>
    </dataValidation>
    <dataValidation sqref="C103" showDropDown="0" showInputMessage="1" showErrorMessage="1" allowBlank="0" errorTitle="Out of range" error="Other Inc Per Unit Mo: enter $/unit/mo in $0+." promptTitle="Other Inc Per Unit Mo" prompt="Unit: $/unit/mo.  Expected: $0+." type="decimal" operator="between">
      <formula1>0</formula1>
      <formula2>100000</formula2>
    </dataValidation>
    <dataValidation sqref="C106" showDropDown="0" showInputMessage="1" showErrorMessage="1" allowBlank="0" errorTitle="Out of range" error="Exp Insurance Per Unit: enter $/unit/yr in $0+." promptTitle="Exp Insurance Per Unit" prompt="Unit: $/unit/yr.  Expected: $0+." type="decimal" operator="between">
      <formula1>0</formula1>
      <formula2>100000</formula2>
    </dataValidation>
    <dataValidation sqref="C107" showDropDown="0" showInputMessage="1" showErrorMessage="1" allowBlank="0" errorTitle="Out of range" error="Exp Utilities Per Unit: enter $/unit/yr in $0+." promptTitle="Exp Utilities Per Unit" prompt="Unit: $/unit/yr.  Expected: $0+." type="decimal" operator="between">
      <formula1>0</formula1>
      <formula2>100000</formula2>
    </dataValidation>
    <dataValidation sqref="C108" showDropDown="0" showInputMessage="1" showErrorMessage="1" allowBlank="0" errorTitle="Out of range" error="Exp Payroll Per Unit: enter $/unit/yr in $0+." promptTitle="Exp Payroll Per Unit" prompt="Unit: $/unit/yr.  Expected: $0+." type="decimal" operator="between">
      <formula1>0</formula1>
      <formula2>100000</formula2>
    </dataValidation>
    <dataValidation sqref="C109" showDropDown="0" showInputMessage="1" showErrorMessage="1" allowBlank="0" errorTitle="Out of range" error="Exp RMPer Unit: enter $/unit/yr in $0+." promptTitle="Exp RMPer Unit" prompt="Unit: $/unit/yr.  Expected: $0+." type="decimal" operator="between">
      <formula1>0</formula1>
      <formula2>100000</formula2>
    </dataValidation>
    <dataValidation sqref="C110" showDropDown="0" showInputMessage="1" showErrorMessage="1" allowBlank="0" errorTitle="Out of range" error="Exp Turnover Per Unit: enter $/unit/yr in $0+." promptTitle="Exp Turnover Per Unit" prompt="Unit: $/unit/yr.  Expected: $0+." type="decimal" operator="between">
      <formula1>0</formula1>
      <formula2>100000</formula2>
    </dataValidation>
    <dataValidation sqref="C111" showDropDown="0" showInputMessage="1" showErrorMessage="1" allowBlank="0" errorTitle="Out of range" error="Exp Contract Per Unit: enter $/unit/yr in $0+." promptTitle="Exp Contract Per Unit" prompt="Unit: $/unit/yr.  Expected: $0+." type="decimal" operator="between">
      <formula1>0</formula1>
      <formula2>100000</formula2>
    </dataValidation>
    <dataValidation sqref="C112" showDropDown="0" showInputMessage="1" showErrorMessage="1" allowBlank="0" errorTitle="Out of range" error="Exp Admin Per Unit: enter $/unit/yr in $0+." promptTitle="Exp Admin Per Unit" prompt="Unit: $/unit/yr.  Expected: $0+." type="decimal" operator="between">
      <formula1>0</formula1>
      <formula2>100000</formula2>
    </dataValidation>
    <dataValidation sqref="C113" showDropDown="0" showInputMessage="1" showErrorMessage="1" allowBlank="0" errorTitle="Out of range" error="Exp Advertising Per Unit: enter $/unit/yr in $0+." promptTitle="Exp Advertising Per Unit" prompt="Unit: $/unit/yr.  Expected: $0+." type="decimal" operator="between">
      <formula1>0</formula1>
      <formula2>100000</formula2>
    </dataValidation>
    <dataValidation sqref="C114" showDropDown="0" showInputMessage="1" showErrorMessage="1" allowBlank="0" errorTitle="Out of range" error="Mgmt Fee Pct: enter % of EGI in 0% to 10%." promptTitle="Mgmt Fee Pct" prompt="Unit: % of EGI.  Expected: 0% to 10%." type="decimal" operator="between">
      <formula1>0</formula1>
      <formula2>0.1</formula2>
    </dataValidation>
    <dataValidation sqref="C115" showDropDown="0" showInputMessage="1" showErrorMessage="1" allowBlank="0" errorTitle="Out of range" error="Cap Reserve Per Unit: enter $/unit/yr in $0+." promptTitle="Cap Reserve Per Unit" prompt="Unit: $/unit/yr.  Expected: $0+." type="decimal" operator="between">
      <formula1>0</formula1>
      <formula2>100000</formula2>
    </dataValidation>
    <dataValidation sqref="C116" showDropDown="0" showInputMessage="1" showErrorMessage="1" allowBlank="0" errorTitle="Out of range" error="Tax Prep Per Unit: enter $/unit/yr in $0+." promptTitle="Tax Prep Per Unit" prompt="Unit: $/unit/yr.  Expected: $0+." type="decimal" operator="between">
      <formula1>0</formula1>
      <formula2>100000</formula2>
    </dataValidation>
    <dataValidation sqref="C117" showDropDown="0" showInputMessage="1" showErrorMessage="1" allowBlank="0" errorTitle="Out of range" error="Asset Mgmt Fee Pct: enter % of EGI in 0% to 10%." promptTitle="Asset Mgmt Fee Pct" prompt="Unit: % of EGI.  Expected: 0% to 10%." type="decimal" operator="between">
      <formula1>0</formula1>
      <formula2>0.1</formula2>
    </dataValidation>
    <dataValidation sqref="C120" showDropDown="0" showInputMessage="1" showErrorMessage="1" allowBlank="0" errorTitle="Out of range" error="DeliveryLagMonths: enter months in 1 to 120." promptTitle="DeliveryLagMonths" prompt="Unit: months.  Expected: 1 to 120." type="whole" operator="between">
      <formula1>1</formula1>
      <formula2>120</formula2>
    </dataValidation>
    <dataValidation sqref="C121" showDropDown="0" showInputMessage="1" showErrorMessage="1" allowBlank="0" errorTitle="Out of range" error="Dur_OpenEscrow: enter months in 1 to 120." promptTitle="Dur_OpenEscrow" prompt="Unit: months.  Expected: 1 to 120." type="whole" operator="between">
      <formula1>1</formula1>
      <formula2>120</formula2>
    </dataValidation>
    <dataValidation sqref="C122" showDropDown="0" showInputMessage="1" showErrorMessage="1" allowBlank="0" errorTitle="Out of range" error="Dur_DueDiligence: enter months in 1 to 120." promptTitle="Dur_DueDiligence" prompt="Unit: months.  Expected: 1 to 120." type="whole" operator="between">
      <formula1>1</formula1>
      <formula2>120</formula2>
    </dataValidation>
    <dataValidation sqref="C123" showDropDown="0" showInputMessage="1" showErrorMessage="1" allowBlank="0" errorTitle="Out of range" error="Dur_Entitlement: enter months in 1 to 120." promptTitle="Dur_Entitlement" prompt="Unit: months.  Expected: 1 to 120." type="whole" operator="between">
      <formula1>1</formula1>
      <formula2>120</formula2>
    </dataValidation>
    <dataValidation sqref="C124" showDropDown="0" showInputMessage="1" showErrorMessage="1" allowBlank="0" errorTitle="Out of range" error="Dur_PreConstruction: enter months in 1 to 120." promptTitle="Dur_PreConstruction" prompt="Unit: months.  Expected: 1 to 120." type="whole" operator="between">
      <formula1>1</formula1>
      <formula2>120</formula2>
    </dataValidation>
    <dataValidation sqref="C125" showDropDown="0" showInputMessage="1" showErrorMessage="1" allowBlank="0" errorTitle="Out of range" error="Dur_InitialClosing: enter months in 1 to 120." promptTitle="Dur_InitialClosing" prompt="Unit: months.  Expected: 1 to 120." type="whole" operator="between">
      <formula1>1</formula1>
      <formula2>120</formula2>
    </dataValidation>
    <dataValidation sqref="C126" showDropDown="0" showInputMessage="1" showErrorMessage="1" allowBlank="0" errorTitle="Out of range" error="Dur_Construction: enter months in 1 to 120." promptTitle="Dur_Construction" prompt="Unit: months.  Expected: 1 to 120." type="whole" operator="between">
      <formula1>1</formula1>
      <formula2>120</formula2>
    </dataValidation>
    <dataValidation sqref="C127" showDropDown="0" showInputMessage="1" showErrorMessage="1" allowBlank="0" errorTitle="Out of range" error="Dur_FirstUnitDelivery: enter months in 1 to 120." promptTitle="Dur_FirstUnitDelivery" prompt="Unit: months.  Expected: 1 to 120." type="whole" operator="between">
      <formula1>1</formula1>
      <formula2>120</formula2>
    </dataValidation>
    <dataValidation sqref="C128" showDropDown="0" showInputMessage="1" showErrorMessage="1" allowBlank="0" errorTitle="Out of range" error="Dur_Stabilization: enter months in 1 to 120." promptTitle="Dur_Stabilization" prompt="Unit: months.  Expected: 1 to 120." type="whole" operator="between">
      <formula1>1</formula1>
      <formula2>120</formula2>
    </dataValidation>
    <dataValidation sqref="C129" showDropDown="0" showInputMessage="1" showErrorMessage="1" allowBlank="0" errorTitle="Out of range" error="Dur_Recap: enter months in 1 to 120." promptTitle="Dur_Recap" prompt="Unit: months.  Expected: 1 to 120." type="whole" operator="between">
      <formula1>1</formula1>
      <formula2>120</formula2>
    </dataValidation>
    <dataValidation sqref="C130" showDropDown="0" showInputMessage="1" showErrorMessage="1" allowBlank="0" errorTitle="Out of range" error="Dur_Disposition: enter months in 1 to 120." promptTitle="Dur_Disposition" prompt="Unit: months.  Expected: 1 to 120." type="whole" operator="between">
      <formula1>1</formula1>
      <formula2>120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B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B1:L39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Modeled Total drives the cost-curve engine.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</row>
    <row r="5">
      <c r="B5" s="36" t="inlineStr">
        <is>
          <t>Land Acquisition</t>
        </is>
      </c>
      <c r="C5" s="84" t="inlineStr">
        <is>
          <t>Land</t>
        </is>
      </c>
      <c r="D5" s="84" t="inlineStr">
        <is>
          <t>Land</t>
        </is>
      </c>
      <c r="E5" s="6" t="inlineStr">
        <is>
          <t>abs</t>
        </is>
      </c>
      <c r="F5" s="227">
        <f>LandCost</f>
        <v/>
      </c>
      <c r="G5" s="6" t="inlineStr">
        <is>
          <t>Initial Closing</t>
        </is>
      </c>
      <c r="H5" s="6" t="inlineStr">
        <is>
          <t>Single_Point</t>
        </is>
      </c>
      <c r="I5" s="9" t="n">
        <v>0</v>
      </c>
      <c r="J5" s="228">
        <f>IF(E5="abs",F5,IF(E5="unit",F5*TotalUnits,IF(E5="sf",F5*NRSF,F5)))</f>
        <v/>
      </c>
      <c r="K5" s="228">
        <f>IF(TotalUnits=0,0,J5/TotalUnits)</f>
        <v/>
      </c>
      <c r="L5" s="229">
        <f>IF(NRSF=0,0,J5/NRSF)</f>
        <v/>
      </c>
    </row>
    <row r="6">
      <c r="B6" s="36" t="inlineStr">
        <is>
          <t>Existing Structure/Demo</t>
        </is>
      </c>
      <c r="C6" s="84" t="inlineStr">
        <is>
          <t>Land</t>
        </is>
      </c>
      <c r="D6" s="84" t="inlineStr">
        <is>
          <t>Land</t>
        </is>
      </c>
      <c r="E6" s="6" t="inlineStr">
        <is>
          <t>abs</t>
        </is>
      </c>
      <c r="F6" s="227">
        <f>ExistingStructureCost</f>
        <v/>
      </c>
      <c r="G6" s="6" t="inlineStr">
        <is>
          <t>Pre-Construction</t>
        </is>
      </c>
      <c r="H6" s="6" t="inlineStr">
        <is>
          <t>Straight_Line</t>
        </is>
      </c>
      <c r="I6" s="9" t="n">
        <v>0</v>
      </c>
      <c r="J6" s="228">
        <f>IF(E6="abs",F6,IF(E6="unit",F6*TotalUnits,IF(E6="sf",F6*NRSF,F6)))</f>
        <v/>
      </c>
      <c r="K6" s="228">
        <f>IF(TotalUnits=0,0,J6/TotalUnits)</f>
        <v/>
      </c>
      <c r="L6" s="229">
        <f>IF(NRSF=0,0,J6/NRSF)</f>
        <v/>
      </c>
    </row>
    <row r="7">
      <c r="B7" s="36" t="inlineStr">
        <is>
          <t>Due Diligence</t>
        </is>
      </c>
      <c r="C7" s="84" t="inlineStr">
        <is>
          <t>Soft</t>
        </is>
      </c>
      <c r="D7" s="84" t="inlineStr">
        <is>
          <t>Soft</t>
        </is>
      </c>
      <c r="E7" s="6" t="inlineStr">
        <is>
          <t>abs</t>
        </is>
      </c>
      <c r="F7" s="230" t="n">
        <v>60000</v>
      </c>
      <c r="G7" s="6" t="inlineStr">
        <is>
          <t>Due Diligence</t>
        </is>
      </c>
      <c r="H7" s="6" t="inlineStr">
        <is>
          <t>Straight_Line</t>
        </is>
      </c>
      <c r="I7" s="9" t="n">
        <v>0</v>
      </c>
      <c r="J7" s="228">
        <f>IF(E7="abs",F7,IF(E7="unit",F7*TotalUnits,IF(E7="sf",F7*NRSF,F7)))</f>
        <v/>
      </c>
      <c r="K7" s="228">
        <f>IF(TotalUnits=0,0,J7/TotalUnits)</f>
        <v/>
      </c>
      <c r="L7" s="229">
        <f>IF(NRSF=0,0,J7/NRSF)</f>
        <v/>
      </c>
    </row>
    <row r="8">
      <c r="B8" s="36" t="inlineStr">
        <is>
          <t>Entitlements</t>
        </is>
      </c>
      <c r="C8" s="84" t="inlineStr">
        <is>
          <t>Soft</t>
        </is>
      </c>
      <c r="D8" s="84" t="inlineStr">
        <is>
          <t>Soft</t>
        </is>
      </c>
      <c r="E8" s="6" t="inlineStr">
        <is>
          <t>abs</t>
        </is>
      </c>
      <c r="F8" s="230" t="n">
        <v>460000</v>
      </c>
      <c r="G8" s="6" t="inlineStr">
        <is>
          <t>Entitlement</t>
        </is>
      </c>
      <c r="H8" s="6" t="inlineStr">
        <is>
          <t>Straight_Line</t>
        </is>
      </c>
      <c r="I8" s="9" t="n">
        <v>0</v>
      </c>
      <c r="J8" s="228">
        <f>IF(E8="abs",F8,IF(E8="unit",F8*TotalUnits,IF(E8="sf",F8*NRSF,F8)))</f>
        <v/>
      </c>
      <c r="K8" s="228">
        <f>IF(TotalUnits=0,0,J8/TotalUnits)</f>
        <v/>
      </c>
      <c r="L8" s="229">
        <f>IF(NRSF=0,0,J8/NRSF)</f>
        <v/>
      </c>
    </row>
    <row r="9">
      <c r="B9" s="36" t="inlineStr">
        <is>
          <t>Architecture &amp; Eng.</t>
        </is>
      </c>
      <c r="C9" s="84" t="inlineStr">
        <is>
          <t>Soft</t>
        </is>
      </c>
      <c r="D9" s="84" t="inlineStr">
        <is>
          <t>Soft</t>
        </is>
      </c>
      <c r="E9" s="6" t="inlineStr">
        <is>
          <t>sf</t>
        </is>
      </c>
      <c r="F9" s="12" t="n">
        <v>0</v>
      </c>
      <c r="G9" s="6" t="inlineStr">
        <is>
          <t>Pre-Construction</t>
        </is>
      </c>
      <c r="H9" s="6" t="inlineStr">
        <is>
          <t>Straight_Line</t>
        </is>
      </c>
      <c r="I9" s="9" t="n">
        <v>0</v>
      </c>
      <c r="J9" s="228">
        <f>IF(E9="abs",F9,IF(E9="unit",F9*TotalUnits,IF(E9="sf",F9*NRSF,F9)))</f>
        <v/>
      </c>
      <c r="K9" s="228">
        <f>IF(TotalUnits=0,0,J9/TotalUnits)</f>
        <v/>
      </c>
      <c r="L9" s="229">
        <f>IF(NRSF=0,0,J9/NRSF)</f>
        <v/>
      </c>
    </row>
    <row r="10">
      <c r="B10" s="36" t="inlineStr">
        <is>
          <t>Consultants</t>
        </is>
      </c>
      <c r="C10" s="84" t="inlineStr">
        <is>
          <t>Soft</t>
        </is>
      </c>
      <c r="D10" s="84" t="inlineStr">
        <is>
          <t>Soft</t>
        </is>
      </c>
      <c r="E10" s="6" t="inlineStr">
        <is>
          <t>abs</t>
        </is>
      </c>
      <c r="F10" s="230" t="n">
        <v>168000</v>
      </c>
      <c r="G10" s="6" t="inlineStr">
        <is>
          <t>Entitlement</t>
        </is>
      </c>
      <c r="H10" s="6" t="inlineStr">
        <is>
          <t>Straight_Line</t>
        </is>
      </c>
      <c r="I10" s="9" t="n">
        <v>0</v>
      </c>
      <c r="J10" s="228">
        <f>IF(E10="abs",F10,IF(E10="unit",F10*TotalUnits,IF(E10="sf",F10*NRSF,F10)))</f>
        <v/>
      </c>
      <c r="K10" s="228">
        <f>IF(TotalUnits=0,0,J10/TotalUnits)</f>
        <v/>
      </c>
      <c r="L10" s="229">
        <f>IF(NRSF=0,0,J10/NRSF)</f>
        <v/>
      </c>
    </row>
    <row r="11">
      <c r="B11" s="36" t="inlineStr">
        <is>
          <t>Legal &amp; Org.</t>
        </is>
      </c>
      <c r="C11" s="84" t="inlineStr">
        <is>
          <t>Soft</t>
        </is>
      </c>
      <c r="D11" s="84" t="inlineStr">
        <is>
          <t>Soft</t>
        </is>
      </c>
      <c r="E11" s="6" t="inlineStr">
        <is>
          <t>abs</t>
        </is>
      </c>
      <c r="F11" s="230" t="n">
        <v>0</v>
      </c>
      <c r="G11" s="6" t="inlineStr">
        <is>
          <t>Due Diligence</t>
        </is>
      </c>
      <c r="H11" s="6" t="inlineStr">
        <is>
          <t>Straight_Line</t>
        </is>
      </c>
      <c r="I11" s="9" t="n">
        <v>0</v>
      </c>
      <c r="J11" s="228">
        <f>IF(E11="abs",F11,IF(E11="unit",F11*TotalUnits,IF(E11="sf",F11*NRSF,F11)))</f>
        <v/>
      </c>
      <c r="K11" s="228">
        <f>IF(TotalUnits=0,0,J11/TotalUnits)</f>
        <v/>
      </c>
      <c r="L11" s="229">
        <f>IF(NRSF=0,0,J11/NRSF)</f>
        <v/>
      </c>
    </row>
    <row r="12">
      <c r="B12" s="36" t="inlineStr">
        <is>
          <t>Marketing &amp; Lease-Up</t>
        </is>
      </c>
      <c r="C12" s="84" t="inlineStr">
        <is>
          <t>Soft</t>
        </is>
      </c>
      <c r="D12" s="84" t="inlineStr">
        <is>
          <t>Soft</t>
        </is>
      </c>
      <c r="E12" s="6" t="inlineStr">
        <is>
          <t>unit</t>
        </is>
      </c>
      <c r="F12" s="12" t="n">
        <v>0</v>
      </c>
      <c r="G12" s="6" t="inlineStr">
        <is>
          <t>Lease-Up</t>
        </is>
      </c>
      <c r="H12" s="6" t="inlineStr">
        <is>
          <t>Straight_Line</t>
        </is>
      </c>
      <c r="I12" s="9" t="n">
        <v>0</v>
      </c>
      <c r="J12" s="228">
        <f>IF(E12="abs",F12,IF(E12="unit",F12*TotalUnits,IF(E12="sf",F12*NRSF,F12)))</f>
        <v/>
      </c>
      <c r="K12" s="228">
        <f>IF(TotalUnits=0,0,J12/TotalUnits)</f>
        <v/>
      </c>
      <c r="L12" s="229">
        <f>IF(NRSF=0,0,J12/NRSF)</f>
        <v/>
      </c>
    </row>
    <row r="13">
      <c r="B13" s="36" t="inlineStr">
        <is>
          <t>Insurance (Dev)</t>
        </is>
      </c>
      <c r="C13" s="84" t="inlineStr">
        <is>
          <t>Soft</t>
        </is>
      </c>
      <c r="D13" s="84" t="inlineStr">
        <is>
          <t>Soft</t>
        </is>
      </c>
      <c r="E13" s="6" t="inlineStr">
        <is>
          <t>abs</t>
        </is>
      </c>
      <c r="F13" s="230" t="n">
        <v>0</v>
      </c>
      <c r="G13" s="6" t="inlineStr">
        <is>
          <t>Construction</t>
        </is>
      </c>
      <c r="H13" s="6" t="inlineStr">
        <is>
          <t>Straight_Line</t>
        </is>
      </c>
      <c r="I13" s="9" t="n">
        <v>0</v>
      </c>
      <c r="J13" s="228">
        <f>IF(E13="abs",F13,IF(E13="unit",F13*TotalUnits,IF(E13="sf",F13*NRSF,F13)))</f>
        <v/>
      </c>
      <c r="K13" s="228">
        <f>IF(TotalUnits=0,0,J13/TotalUnits)</f>
        <v/>
      </c>
      <c r="L13" s="229">
        <f>IF(NRSF=0,0,J13/NRSF)</f>
        <v/>
      </c>
    </row>
    <row r="14">
      <c r="B14" s="36" t="inlineStr">
        <is>
          <t>GC Contract (Hard)</t>
        </is>
      </c>
      <c r="C14" s="84" t="inlineStr">
        <is>
          <t>Hard</t>
        </is>
      </c>
      <c r="D14" s="84" t="inlineStr">
        <is>
          <t>Hard</t>
        </is>
      </c>
      <c r="E14" s="6" t="inlineStr">
        <is>
          <t>unit</t>
        </is>
      </c>
      <c r="F14" s="12" t="n">
        <v>206624</v>
      </c>
      <c r="G14" s="6" t="inlineStr">
        <is>
          <t>Construction</t>
        </is>
      </c>
      <c r="H14" s="6" t="inlineStr">
        <is>
          <t>Bell_Curve</t>
        </is>
      </c>
      <c r="I14" s="9" t="n">
        <v>0</v>
      </c>
      <c r="J14" s="228">
        <f>IF(E14="abs",F14,IF(E14="unit",F14*TotalUnits,IF(E14="sf",F14*NRSF,F14)))</f>
        <v/>
      </c>
      <c r="K14" s="228">
        <f>IF(TotalUnits=0,0,J14/TotalUnits)</f>
        <v/>
      </c>
      <c r="L14" s="229">
        <f>IF(NRSF=0,0,J14/NRSF)</f>
        <v/>
      </c>
    </row>
    <row r="15">
      <c r="B15" s="36" t="inlineStr">
        <is>
          <t>Off-Site Improvements</t>
        </is>
      </c>
      <c r="C15" s="84" t="inlineStr">
        <is>
          <t>Hard</t>
        </is>
      </c>
      <c r="D15" s="84" t="inlineStr">
        <is>
          <t>Hard</t>
        </is>
      </c>
      <c r="E15" s="6" t="inlineStr">
        <is>
          <t>abs</t>
        </is>
      </c>
      <c r="F15" s="230" t="n">
        <v>0</v>
      </c>
      <c r="G15" s="6" t="inlineStr">
        <is>
          <t>Construction</t>
        </is>
      </c>
      <c r="H15" s="6" t="inlineStr">
        <is>
          <t>Straight_Line</t>
        </is>
      </c>
      <c r="I15" s="9" t="n">
        <v>0</v>
      </c>
      <c r="J15" s="228">
        <f>IF(E15="abs",F15,IF(E15="unit",F15*TotalUnits,IF(E15="sf",F15*NRSF,F15)))</f>
        <v/>
      </c>
      <c r="K15" s="228">
        <f>IF(TotalUnits=0,0,J15/TotalUnits)</f>
        <v/>
      </c>
      <c r="L15" s="229">
        <f>IF(NRSF=0,0,J15/NRSF)</f>
        <v/>
      </c>
    </row>
    <row r="16">
      <c r="B16" s="36" t="inlineStr">
        <is>
          <t>Utilities &amp; Hookups</t>
        </is>
      </c>
      <c r="C16" s="84" t="inlineStr">
        <is>
          <t>Hard</t>
        </is>
      </c>
      <c r="D16" s="84" t="inlineStr">
        <is>
          <t>Hard</t>
        </is>
      </c>
      <c r="E16" s="6" t="inlineStr">
        <is>
          <t>abs</t>
        </is>
      </c>
      <c r="F16" s="230" t="n">
        <v>0</v>
      </c>
      <c r="G16" s="6" t="inlineStr">
        <is>
          <t>Construction</t>
        </is>
      </c>
      <c r="H16" s="6" t="inlineStr">
        <is>
          <t>Straight_Line</t>
        </is>
      </c>
      <c r="I16" s="9" t="n">
        <v>0</v>
      </c>
      <c r="J16" s="228">
        <f>IF(E16="abs",F16,IF(E16="unit",F16*TotalUnits,IF(E16="sf",F16*NRSF,F16)))</f>
        <v/>
      </c>
      <c r="K16" s="228">
        <f>IF(TotalUnits=0,0,J16/TotalUnits)</f>
        <v/>
      </c>
      <c r="L16" s="229">
        <f>IF(NRSF=0,0,J16/NRSF)</f>
        <v/>
      </c>
    </row>
    <row r="17">
      <c r="B17" s="36" t="inlineStr">
        <is>
          <t>Builder's Risk</t>
        </is>
      </c>
      <c r="C17" s="84" t="inlineStr">
        <is>
          <t>Hard</t>
        </is>
      </c>
      <c r="D17" s="84" t="inlineStr">
        <is>
          <t>Hard</t>
        </is>
      </c>
      <c r="E17" s="6" t="inlineStr">
        <is>
          <t>abs</t>
        </is>
      </c>
      <c r="F17" s="230" t="n">
        <v>0</v>
      </c>
      <c r="G17" s="6" t="inlineStr">
        <is>
          <t>Construction</t>
        </is>
      </c>
      <c r="H17" s="6" t="inlineStr">
        <is>
          <t>Straight_Line</t>
        </is>
      </c>
      <c r="I17" s="9" t="n">
        <v>0</v>
      </c>
      <c r="J17" s="228">
        <f>IF(E17="abs",F17,IF(E17="unit",F17*TotalUnits,IF(E17="sf",F17*NRSF,F17)))</f>
        <v/>
      </c>
      <c r="K17" s="228">
        <f>IF(TotalUnits=0,0,J17/TotalUnits)</f>
        <v/>
      </c>
      <c r="L17" s="229">
        <f>IF(NRSF=0,0,J17/NRSF)</f>
        <v/>
      </c>
    </row>
    <row r="18">
      <c r="B18" s="36" t="inlineStr">
        <is>
          <t>Hard Cost Contingency</t>
        </is>
      </c>
      <c r="C18" s="84" t="inlineStr">
        <is>
          <t>Hard</t>
        </is>
      </c>
      <c r="D18" s="84" t="inlineStr">
        <is>
          <t>Hard</t>
        </is>
      </c>
      <c r="E18" s="6" t="inlineStr">
        <is>
          <t>sf</t>
        </is>
      </c>
      <c r="F18" s="12" t="n">
        <v>0</v>
      </c>
      <c r="G18" s="6" t="inlineStr">
        <is>
          <t>Construction</t>
        </is>
      </c>
      <c r="H18" s="6" t="inlineStr">
        <is>
          <t>Bell_Curve</t>
        </is>
      </c>
      <c r="I18" s="9" t="n">
        <v>0</v>
      </c>
      <c r="J18" s="228">
        <f>IF(E18="abs",F18,IF(E18="unit",F18*TotalUnits,IF(E18="sf",F18*NRSF,F18)))</f>
        <v/>
      </c>
      <c r="K18" s="228">
        <f>IF(TotalUnits=0,0,J18/TotalUnits)</f>
        <v/>
      </c>
      <c r="L18" s="229">
        <f>IF(NRSF=0,0,J18/NRSF)</f>
        <v/>
      </c>
    </row>
    <row r="19">
      <c r="B19" s="36" t="inlineStr">
        <is>
          <t>GC Fee</t>
        </is>
      </c>
      <c r="C19" s="84" t="inlineStr">
        <is>
          <t>Hard</t>
        </is>
      </c>
      <c r="D19" s="84" t="inlineStr">
        <is>
          <t>Hard</t>
        </is>
      </c>
      <c r="E19" s="6" t="inlineStr">
        <is>
          <t>sf</t>
        </is>
      </c>
      <c r="F19" s="12" t="n">
        <v>0</v>
      </c>
      <c r="G19" s="6" t="inlineStr">
        <is>
          <t>Construction</t>
        </is>
      </c>
      <c r="H19" s="6" t="inlineStr">
        <is>
          <t>Bell_Curve</t>
        </is>
      </c>
      <c r="I19" s="9" t="n">
        <v>0</v>
      </c>
      <c r="J19" s="228">
        <f>IF(E19="abs",F19,IF(E19="unit",F19*TotalUnits,IF(E19="sf",F19*NRSF,F19)))</f>
        <v/>
      </c>
      <c r="K19" s="228">
        <f>IF(TotalUnits=0,0,J19/TotalUnits)</f>
        <v/>
      </c>
      <c r="L19" s="229">
        <f>IF(NRSF=0,0,J19/NRSF)</f>
        <v/>
      </c>
    </row>
    <row r="20">
      <c r="B20" s="36" t="inlineStr">
        <is>
          <t>Other Soft Cost 1 - FF&amp;E</t>
        </is>
      </c>
      <c r="C20" s="84" t="inlineStr">
        <is>
          <t>Soft</t>
        </is>
      </c>
      <c r="D20" s="84" t="inlineStr">
        <is>
          <t>Soft</t>
        </is>
      </c>
      <c r="E20" s="6" t="inlineStr">
        <is>
          <t>unit</t>
        </is>
      </c>
      <c r="F20" s="12" t="n">
        <v>0</v>
      </c>
      <c r="G20" s="6" t="inlineStr">
        <is>
          <t>Pre-Construction</t>
        </is>
      </c>
      <c r="H20" s="6" t="inlineStr">
        <is>
          <t>Straight_Line</t>
        </is>
      </c>
      <c r="I20" s="9" t="n">
        <v>0</v>
      </c>
      <c r="J20" s="228">
        <f>IF(E20="abs",F20,IF(E20="unit",F20*TotalUnits,IF(E20="sf",F20*NRSF,F20)))</f>
        <v/>
      </c>
      <c r="K20" s="228">
        <f>IF(TotalUnits=0,0,J20/TotalUnits)</f>
        <v/>
      </c>
      <c r="L20" s="229">
        <f>IF(NRSF=0,0,J20/NRSF)</f>
        <v/>
      </c>
    </row>
    <row r="21">
      <c r="B21" s="36" t="inlineStr">
        <is>
          <t>Other Soft Cost 2 - Permits</t>
        </is>
      </c>
      <c r="C21" s="84" t="inlineStr">
        <is>
          <t>Soft</t>
        </is>
      </c>
      <c r="D21" s="84" t="inlineStr">
        <is>
          <t>Soft</t>
        </is>
      </c>
      <c r="E21" s="6" t="inlineStr">
        <is>
          <t>abs</t>
        </is>
      </c>
      <c r="F21" s="230" t="n">
        <v>0</v>
      </c>
      <c r="G21" s="6" t="inlineStr">
        <is>
          <t>Entitlement</t>
        </is>
      </c>
      <c r="H21" s="6" t="inlineStr">
        <is>
          <t>Straight_Line</t>
        </is>
      </c>
      <c r="I21" s="9" t="n">
        <v>0</v>
      </c>
      <c r="J21" s="228">
        <f>IF(E21="abs",F21,IF(E21="unit",F21*TotalUnits,IF(E21="sf",F21*NRSF,F21)))</f>
        <v/>
      </c>
      <c r="K21" s="228">
        <f>IF(TotalUnits=0,0,J21/TotalUnits)</f>
        <v/>
      </c>
      <c r="L21" s="229">
        <f>IF(NRSF=0,0,J21/NRSF)</f>
        <v/>
      </c>
    </row>
    <row r="22">
      <c r="B22" s="36" t="inlineStr">
        <is>
          <t>Other Soft Cost 3 - Testing</t>
        </is>
      </c>
      <c r="C22" s="84" t="inlineStr">
        <is>
          <t>Soft</t>
        </is>
      </c>
      <c r="D22" s="84" t="inlineStr">
        <is>
          <t>Soft</t>
        </is>
      </c>
      <c r="E22" s="6" t="inlineStr">
        <is>
          <t>abs</t>
        </is>
      </c>
      <c r="F22" s="230" t="n">
        <v>0</v>
      </c>
      <c r="G22" s="6" t="inlineStr">
        <is>
          <t>Construction</t>
        </is>
      </c>
      <c r="H22" s="6" t="inlineStr">
        <is>
          <t>Straight_Line</t>
        </is>
      </c>
      <c r="I22" s="9" t="n">
        <v>0</v>
      </c>
      <c r="J22" s="228">
        <f>IF(E22="abs",F22,IF(E22="unit",F22*TotalUnits,IF(E22="sf",F22*NRSF,F22)))</f>
        <v/>
      </c>
      <c r="K22" s="228">
        <f>IF(TotalUnits=0,0,J22/TotalUnits)</f>
        <v/>
      </c>
      <c r="L22" s="229">
        <f>IF(NRSF=0,0,J22/NRSF)</f>
        <v/>
      </c>
    </row>
    <row r="23">
      <c r="B23" s="36" t="inlineStr">
        <is>
          <t>Other Soft Cost 4</t>
        </is>
      </c>
      <c r="C23" s="84" t="inlineStr">
        <is>
          <t>Soft</t>
        </is>
      </c>
      <c r="D23" s="84" t="inlineStr">
        <is>
          <t>Soft</t>
        </is>
      </c>
      <c r="E23" s="6" t="inlineStr">
        <is>
          <t>abs</t>
        </is>
      </c>
      <c r="F23" s="230" t="n">
        <v>0</v>
      </c>
      <c r="G23" s="6" t="inlineStr">
        <is>
          <t>Construction</t>
        </is>
      </c>
      <c r="H23" s="6" t="inlineStr">
        <is>
          <t>Straight_Line</t>
        </is>
      </c>
      <c r="I23" s="9" t="n">
        <v>0</v>
      </c>
      <c r="J23" s="228">
        <f>IF(E23="abs",F23,IF(E23="unit",F23*TotalUnits,IF(E23="sf",F23*NRSF,F23)))</f>
        <v/>
      </c>
      <c r="K23" s="228">
        <f>IF(TotalUnits=0,0,J23/TotalUnits)</f>
        <v/>
      </c>
      <c r="L23" s="229">
        <f>IF(NRSF=0,0,J23/NRSF)</f>
        <v/>
      </c>
    </row>
    <row r="24">
      <c r="B24" s="36" t="inlineStr">
        <is>
          <t>Other Soft Cost 5</t>
        </is>
      </c>
      <c r="C24" s="84" t="inlineStr">
        <is>
          <t>Soft</t>
        </is>
      </c>
      <c r="D24" s="84" t="inlineStr">
        <is>
          <t>Soft</t>
        </is>
      </c>
      <c r="E24" s="6" t="inlineStr">
        <is>
          <t>abs</t>
        </is>
      </c>
      <c r="F24" s="230" t="n">
        <v>0</v>
      </c>
      <c r="G24" s="6" t="inlineStr">
        <is>
          <t>Construction</t>
        </is>
      </c>
      <c r="H24" s="6" t="inlineStr">
        <is>
          <t>Straight_Line</t>
        </is>
      </c>
      <c r="I24" s="9" t="n">
        <v>0</v>
      </c>
      <c r="J24" s="228">
        <f>IF(E24="abs",F24,IF(E24="unit",F24*TotalUnits,IF(E24="sf",F24*NRSF,F24)))</f>
        <v/>
      </c>
      <c r="K24" s="228">
        <f>IF(TotalUnits=0,0,J24/TotalUnits)</f>
        <v/>
      </c>
      <c r="L24" s="229">
        <f>IF(NRSF=0,0,J24/NRSF)</f>
        <v/>
      </c>
    </row>
    <row r="25">
      <c r="B25" s="36" t="inlineStr">
        <is>
          <t>Other Soft Cost 6</t>
        </is>
      </c>
      <c r="C25" s="84" t="inlineStr">
        <is>
          <t>Soft</t>
        </is>
      </c>
      <c r="D25" s="84" t="inlineStr">
        <is>
          <t>Soft</t>
        </is>
      </c>
      <c r="E25" s="6" t="inlineStr">
        <is>
          <t>abs</t>
        </is>
      </c>
      <c r="F25" s="230" t="n">
        <v>0</v>
      </c>
      <c r="G25" s="6" t="inlineStr">
        <is>
          <t>Construction</t>
        </is>
      </c>
      <c r="H25" s="6" t="inlineStr">
        <is>
          <t>Straight_Line</t>
        </is>
      </c>
      <c r="I25" s="9" t="n">
        <v>0</v>
      </c>
      <c r="J25" s="228">
        <f>IF(E25="abs",F25,IF(E25="unit",F25*TotalUnits,IF(E25="sf",F25*NRSF,F25)))</f>
        <v/>
      </c>
      <c r="K25" s="228">
        <f>IF(TotalUnits=0,0,J25/TotalUnits)</f>
        <v/>
      </c>
      <c r="L25" s="229">
        <f>IF(NRSF=0,0,J25/NRSF)</f>
        <v/>
      </c>
    </row>
    <row r="26">
      <c r="B26" s="36" t="inlineStr">
        <is>
          <t>Other Hard Cost 1 - Landscape</t>
        </is>
      </c>
      <c r="C26" s="84" t="inlineStr">
        <is>
          <t>Hard</t>
        </is>
      </c>
      <c r="D26" s="84" t="inlineStr">
        <is>
          <t>Hard</t>
        </is>
      </c>
      <c r="E26" s="6" t="inlineStr">
        <is>
          <t>abs</t>
        </is>
      </c>
      <c r="F26" s="230" t="n">
        <v>0</v>
      </c>
      <c r="G26" s="6" t="inlineStr">
        <is>
          <t>Construction</t>
        </is>
      </c>
      <c r="H26" s="6" t="inlineStr">
        <is>
          <t>Bell_Curve</t>
        </is>
      </c>
      <c r="I26" s="9" t="n">
        <v>0</v>
      </c>
      <c r="J26" s="228">
        <f>IF(E26="abs",F26,IF(E26="unit",F26*TotalUnits,IF(E26="sf",F26*NRSF,F26)))</f>
        <v/>
      </c>
      <c r="K26" s="228">
        <f>IF(TotalUnits=0,0,J26/TotalUnits)</f>
        <v/>
      </c>
      <c r="L26" s="229">
        <f>IF(NRSF=0,0,J26/NRSF)</f>
        <v/>
      </c>
    </row>
    <row r="27">
      <c r="B27" s="36" t="inlineStr">
        <is>
          <t>Other Hard Cost 2 - Amenity</t>
        </is>
      </c>
      <c r="C27" s="84" t="inlineStr">
        <is>
          <t>Hard</t>
        </is>
      </c>
      <c r="D27" s="84" t="inlineStr">
        <is>
          <t>Hard</t>
        </is>
      </c>
      <c r="E27" s="6" t="inlineStr">
        <is>
          <t>abs</t>
        </is>
      </c>
      <c r="F27" s="230" t="n">
        <v>0</v>
      </c>
      <c r="G27" s="6" t="inlineStr">
        <is>
          <t>Construction</t>
        </is>
      </c>
      <c r="H27" s="6" t="inlineStr">
        <is>
          <t>Bell_Curve</t>
        </is>
      </c>
      <c r="I27" s="9" t="n">
        <v>0</v>
      </c>
      <c r="J27" s="228">
        <f>IF(E27="abs",F27,IF(E27="unit",F27*TotalUnits,IF(E27="sf",F27*NRSF,F27)))</f>
        <v/>
      </c>
      <c r="K27" s="228">
        <f>IF(TotalUnits=0,0,J27/TotalUnits)</f>
        <v/>
      </c>
      <c r="L27" s="229">
        <f>IF(NRSF=0,0,J27/NRSF)</f>
        <v/>
      </c>
    </row>
    <row r="28">
      <c r="B28" s="36" t="inlineStr">
        <is>
          <t>Other Hard Cost 3 - Signage</t>
        </is>
      </c>
      <c r="C28" s="84" t="inlineStr">
        <is>
          <t>Hard</t>
        </is>
      </c>
      <c r="D28" s="84" t="inlineStr">
        <is>
          <t>Hard</t>
        </is>
      </c>
      <c r="E28" s="6" t="inlineStr">
        <is>
          <t>abs</t>
        </is>
      </c>
      <c r="F28" s="230" t="n">
        <v>0</v>
      </c>
      <c r="G28" s="6" t="inlineStr">
        <is>
          <t>Construction</t>
        </is>
      </c>
      <c r="H28" s="6" t="inlineStr">
        <is>
          <t>Straight_Line</t>
        </is>
      </c>
      <c r="I28" s="9" t="n">
        <v>0</v>
      </c>
      <c r="J28" s="228">
        <f>IF(E28="abs",F28,IF(E28="unit",F28*TotalUnits,IF(E28="sf",F28*NRSF,F28)))</f>
        <v/>
      </c>
      <c r="K28" s="228">
        <f>IF(TotalUnits=0,0,J28/TotalUnits)</f>
        <v/>
      </c>
      <c r="L28" s="229">
        <f>IF(NRSF=0,0,J28/NRSF)</f>
        <v/>
      </c>
    </row>
    <row r="29">
      <c r="B29" s="36" t="inlineStr">
        <is>
          <t>Other Hard Cost 4</t>
        </is>
      </c>
      <c r="C29" s="84" t="inlineStr">
        <is>
          <t>Hard</t>
        </is>
      </c>
      <c r="D29" s="84" t="inlineStr">
        <is>
          <t>Hard</t>
        </is>
      </c>
      <c r="E29" s="6" t="inlineStr">
        <is>
          <t>abs</t>
        </is>
      </c>
      <c r="F29" s="230" t="n">
        <v>0</v>
      </c>
      <c r="G29" s="6" t="inlineStr">
        <is>
          <t>Construction</t>
        </is>
      </c>
      <c r="H29" s="6" t="inlineStr">
        <is>
          <t>Bell_Curve</t>
        </is>
      </c>
      <c r="I29" s="9" t="n">
        <v>0</v>
      </c>
      <c r="J29" s="228">
        <f>IF(E29="abs",F29,IF(E29="unit",F29*TotalUnits,IF(E29="sf",F29*NRSF,F29)))</f>
        <v/>
      </c>
      <c r="K29" s="228">
        <f>IF(TotalUnits=0,0,J29/TotalUnits)</f>
        <v/>
      </c>
      <c r="L29" s="229">
        <f>IF(NRSF=0,0,J29/NRSF)</f>
        <v/>
      </c>
    </row>
    <row r="30">
      <c r="B30" s="36" t="inlineStr">
        <is>
          <t>Other Hard Cost 5</t>
        </is>
      </c>
      <c r="C30" s="84" t="inlineStr">
        <is>
          <t>Hard</t>
        </is>
      </c>
      <c r="D30" s="84" t="inlineStr">
        <is>
          <t>Hard</t>
        </is>
      </c>
      <c r="E30" s="6" t="inlineStr">
        <is>
          <t>abs</t>
        </is>
      </c>
      <c r="F30" s="230" t="n">
        <v>0</v>
      </c>
      <c r="G30" s="6" t="inlineStr">
        <is>
          <t>Construction</t>
        </is>
      </c>
      <c r="H30" s="6" t="inlineStr">
        <is>
          <t>Bell_Curve</t>
        </is>
      </c>
      <c r="I30" s="9" t="n">
        <v>0</v>
      </c>
      <c r="J30" s="228">
        <f>IF(E30="abs",F30,IF(E30="unit",F30*TotalUnits,IF(E30="sf",F30*NRSF,F30)))</f>
        <v/>
      </c>
      <c r="K30" s="228">
        <f>IF(TotalUnits=0,0,J30/TotalUnits)</f>
        <v/>
      </c>
      <c r="L30" s="229">
        <f>IF(NRSF=0,0,J30/NRSF)</f>
        <v/>
      </c>
    </row>
    <row r="31">
      <c r="B31" s="40" t="inlineStr">
        <is>
          <t>Other Hard Cost 6</t>
        </is>
      </c>
      <c r="C31" s="92" t="inlineStr">
        <is>
          <t>Hard</t>
        </is>
      </c>
      <c r="D31" s="92" t="inlineStr">
        <is>
          <t>Hard</t>
        </is>
      </c>
      <c r="E31" s="93" t="inlineStr">
        <is>
          <t>abs</t>
        </is>
      </c>
      <c r="F31" s="231" t="n">
        <v>0</v>
      </c>
      <c r="G31" s="93" t="inlineStr">
        <is>
          <t>Construction</t>
        </is>
      </c>
      <c r="H31" s="93" t="inlineStr">
        <is>
          <t>Bell_Curve</t>
        </is>
      </c>
      <c r="I31" s="69" t="n">
        <v>0</v>
      </c>
      <c r="J31" s="232">
        <f>IF(E31="abs",F31,IF(E31="unit",F31*TotalUnits,IF(E31="sf",F31*NRSF,F31)))</f>
        <v/>
      </c>
      <c r="K31" s="232">
        <f>IF(TotalUnits=0,0,J31/TotalUnits)</f>
        <v/>
      </c>
      <c r="L31" s="233">
        <f>IF(NRSF=0,0,J31/NRSF)</f>
        <v/>
      </c>
    </row>
    <row r="33">
      <c r="B33" s="71" t="inlineStr">
        <is>
          <t>Budget Summary</t>
        </is>
      </c>
      <c r="C33" s="72" t="n"/>
      <c r="D33" s="72" t="n"/>
      <c r="E33" s="72" t="n"/>
      <c r="F33" s="72" t="n"/>
      <c r="G33" s="72" t="n"/>
      <c r="H33" s="72" t="n"/>
      <c r="I33" s="72" t="n"/>
      <c r="J33" s="107" t="n"/>
      <c r="K33" s="107" t="n"/>
      <c r="L33" s="64" t="n"/>
    </row>
    <row r="34">
      <c r="B34" s="50" t="inlineStr">
        <is>
          <t>Land</t>
        </is>
      </c>
      <c r="J34" s="234">
        <f>SUMIF($C$5:$C$31,"Land",J5:J31)</f>
        <v/>
      </c>
      <c r="K34" s="234">
        <f>+BudgetLand/UnitMatrix!$D$11</f>
        <v/>
      </c>
      <c r="L34" s="235">
        <f>+K34/UnitMatrix!$E$11</f>
        <v/>
      </c>
    </row>
    <row r="35">
      <c r="B35" s="50" t="inlineStr">
        <is>
          <t>Soft Costs</t>
        </is>
      </c>
      <c r="J35" s="234">
        <f>SUMIF($C$5:$C$31,"Soft",J5:J31)</f>
        <v/>
      </c>
      <c r="K35" s="234">
        <f>BudgetSoft/UnitMatrix!$D$11</f>
        <v/>
      </c>
      <c r="L35" s="235">
        <f>+K35/UnitMatrix!$E$11</f>
        <v/>
      </c>
    </row>
    <row r="36">
      <c r="B36" s="50" t="inlineStr">
        <is>
          <t>Hard Costs</t>
        </is>
      </c>
      <c r="J36" s="234">
        <f>SUMIF($C$5:$C$31,"Hard",J5:J31)</f>
        <v/>
      </c>
      <c r="K36" s="234">
        <f>BudgetHard/UnitMatrix!$D$11</f>
        <v/>
      </c>
      <c r="L36" s="235">
        <f>+K36/UnitMatrix!$E$11</f>
        <v/>
      </c>
    </row>
    <row r="37">
      <c r="B37" s="50" t="inlineStr">
        <is>
          <t>Direct Costs (subtotal)</t>
        </is>
      </c>
      <c r="J37" s="234">
        <f>SUM(J5:J31)</f>
        <v/>
      </c>
      <c r="K37" s="234">
        <f>DirectCosts/UnitMatrix!$D$11</f>
        <v/>
      </c>
      <c r="L37" s="235">
        <f>+K37/UnitMatrix!$E$11</f>
        <v/>
      </c>
    </row>
    <row r="38">
      <c r="B38" s="50" t="inlineStr">
        <is>
          <t>Sponsor Development Fee</t>
        </is>
      </c>
      <c r="J38" s="234">
        <f>DevFeePctDirect*DirectCosts</f>
        <v/>
      </c>
      <c r="K38" s="234">
        <f>DevFee/UnitMatrix!$D$11</f>
        <v/>
      </c>
      <c r="L38" s="235">
        <f>+K38/UnitMatrix!$E$11</f>
        <v/>
      </c>
    </row>
    <row r="39">
      <c r="B39" s="57" t="inlineStr">
        <is>
          <t>Total Development Cost (per Diagnostics)</t>
        </is>
      </c>
      <c r="C39" s="79" t="n"/>
      <c r="D39" s="79" t="n"/>
      <c r="E39" s="79" t="n"/>
      <c r="F39" s="79" t="n"/>
      <c r="G39" s="79" t="n"/>
      <c r="H39" s="79" t="n"/>
      <c r="I39" s="79" t="n"/>
      <c r="J39" s="236">
        <f>TDC_Total</f>
        <v/>
      </c>
      <c r="K39" s="236">
        <f>BudgetTDCref/UnitMatrix!$D$11</f>
        <v/>
      </c>
      <c r="L39" s="237">
        <f>+K39/UnitMatrix!$E$11</f>
        <v/>
      </c>
    </row>
  </sheetData>
  <dataValidations count="3">
    <dataValidation sqref="E5:E31" showDropDown="0" showInputMessage="1" showErrorMessage="1" allowBlank="1" type="list">
      <formula1>"abs, sf, unit"</formula1>
    </dataValidation>
    <dataValidation sqref="H5:H31" showDropDown="0" showInputMessage="1" showErrorMessage="1" allowBlank="1" type="list">
      <formula1>"Single_Point, Straight_Line, Bell_Curve"</formula1>
    </dataValidation>
    <dataValidation sqref="G5:G31" showDropDown="0" showInputMessage="1" showErrorMessage="1" allowBlank="1" type="list">
      <formula1>"Initial Closing, Pre-Construction, Due Diligence, Entitlement, Lease-up, Construction"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B1:NL45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</cols>
  <sheetData>
    <row r="1" ht="21" customHeight="1" s="97">
      <c r="B1" s="1" t="inlineStr">
        <is>
          <t>Timeline Engine — Milestones &amp; Monthly Period Grid</t>
        </is>
      </c>
    </row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36" t="inlineStr">
        <is>
          <t>Open Escrow</t>
        </is>
      </c>
      <c r="C4" s="238" t="n">
        <v>1</v>
      </c>
      <c r="D4" s="291">
        <f>Dur_OpenEscrow</f>
        <v/>
      </c>
      <c r="E4" s="239">
        <f>SUM(C4:D4)-1</f>
        <v/>
      </c>
    </row>
    <row r="5">
      <c r="B5" s="36" t="inlineStr">
        <is>
          <t>Due Diligence</t>
        </is>
      </c>
      <c r="C5" s="238">
        <f>+MS_Open_Escrow_Start</f>
        <v/>
      </c>
      <c r="D5" s="292">
        <f>Dur_DueDiligence</f>
        <v/>
      </c>
      <c r="E5" s="239">
        <f>SUM(C5:D5)-1</f>
        <v/>
      </c>
    </row>
    <row r="6">
      <c r="B6" s="36" t="inlineStr">
        <is>
          <t>Entitlement</t>
        </is>
      </c>
      <c r="C6" s="238">
        <f>+MS_Due_Diligence_End</f>
        <v/>
      </c>
      <c r="D6" s="292">
        <f>Dur_Entitlement</f>
        <v/>
      </c>
      <c r="E6" s="239">
        <f>SUM(C6:D6)-1</f>
        <v/>
      </c>
    </row>
    <row r="7">
      <c r="B7" s="36" t="inlineStr">
        <is>
          <t>Pre-Construction</t>
        </is>
      </c>
      <c r="C7" s="238">
        <f>+MS_Entitlement_End</f>
        <v/>
      </c>
      <c r="D7" s="292">
        <f>Dur_PreConstruction</f>
        <v/>
      </c>
      <c r="E7" s="239">
        <f>SUM(C7:D7)-1</f>
        <v/>
      </c>
    </row>
    <row r="8">
      <c r="B8" s="36" t="inlineStr">
        <is>
          <t>Initial Closing</t>
        </is>
      </c>
      <c r="C8" s="238">
        <f>+MS_Entitlement_End</f>
        <v/>
      </c>
      <c r="D8" s="291">
        <f>Dur_InitialClosing</f>
        <v/>
      </c>
      <c r="E8" s="239">
        <f>SUM(C8:D8)-1</f>
        <v/>
      </c>
    </row>
    <row r="9">
      <c r="B9" s="36" t="inlineStr">
        <is>
          <t>Construction</t>
        </is>
      </c>
      <c r="C9" s="238">
        <f>+MS_Pre_Construction_End</f>
        <v/>
      </c>
      <c r="D9" s="292">
        <f>Dur_Construction</f>
        <v/>
      </c>
      <c r="E9" s="239">
        <f>SUM(C9:D9)-1</f>
        <v/>
      </c>
    </row>
    <row r="10">
      <c r="B10" s="36" t="inlineStr">
        <is>
          <t>1st Unit Delivery</t>
        </is>
      </c>
      <c r="C10" s="292">
        <f>+MS_Construction_Start+DeliveryLagMonths</f>
        <v/>
      </c>
      <c r="D10" s="291">
        <f>Dur_FirstUnitDelivery</f>
        <v/>
      </c>
      <c r="E10" s="239">
        <f>SUM(C10:D10)-1</f>
        <v/>
      </c>
    </row>
    <row r="11">
      <c r="B11" s="36" t="inlineStr">
        <is>
          <t>Lease-Up</t>
        </is>
      </c>
      <c r="C11" s="238">
        <f>+MS_1st_Unit_Delivery_Start</f>
        <v/>
      </c>
      <c r="D11" s="240">
        <f>MAX(CEILING(StabLeasedTarget/UnitsLeasedPerMo,1),CEILING(StabLeasedTarget/UnitsDeliveredPerMo,1))</f>
        <v/>
      </c>
      <c r="E11" s="239">
        <f>SUM(C11:D11)-1</f>
        <v/>
      </c>
    </row>
    <row r="12">
      <c r="B12" s="36" t="inlineStr">
        <is>
          <t>Stabilization</t>
        </is>
      </c>
      <c r="C12" s="238">
        <f>+MS_Lease_Up_End</f>
        <v/>
      </c>
      <c r="D12" s="291">
        <f>Dur_Stabilization</f>
        <v/>
      </c>
      <c r="E12" s="239">
        <f>SUM(C12:D12)-1</f>
        <v/>
      </c>
    </row>
    <row r="13">
      <c r="B13" s="36" t="inlineStr">
        <is>
          <t>Recapitalization/Refinance</t>
        </is>
      </c>
      <c r="C13" s="210">
        <f>+MS_Stabilization_End</f>
        <v/>
      </c>
      <c r="D13" s="291">
        <f>Dur_Recap</f>
        <v/>
      </c>
      <c r="E13" s="239">
        <f>SUM(C13:D13)-1</f>
        <v/>
      </c>
    </row>
    <row r="14">
      <c r="B14" s="40" t="inlineStr">
        <is>
          <t>Disposition</t>
        </is>
      </c>
      <c r="C14" s="241">
        <f>HoldPeriodMonths</f>
        <v/>
      </c>
      <c r="D14" s="293">
        <f>Dur_Disposition</f>
        <v/>
      </c>
      <c r="E14" s="243">
        <f>SUM(C14:D14)-1</f>
        <v/>
      </c>
    </row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(YEAR(GrowthStartDate)-YEAR(InceptionDate))*12+MONTH(GrowthStartDate)-MONTH(InceptionDate)+1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IF(RefiFlag=1,MIN(ConMaturity,IF(RefiMonthOverride&gt;0,RefiMonthOverride,ConMaturity)),0)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5">
      <c r="B45" s="190" t="inlineStr">
        <is>
          <t>Operating Tax Start Month (capitalization boundary)</t>
        </is>
      </c>
      <c r="C45" s="294">
        <f>IF(TaxCapitalizeLeaseUp&gt;=1,StabMonth,DeliverStart)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B1:NU4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0" customWidth="1" style="97" min="2" max="2"/>
    <col width="15.7109375" customWidth="1" style="97" min="4" max="4"/>
    <col width="10.7109375" customWidth="1" style="97" min="5" max="376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112" t="inlineStr">
        <is>
          <t>Period →</t>
        </is>
      </c>
      <c r="C4" s="107" t="n"/>
      <c r="D4" s="113" t="inlineStr">
        <is>
          <t>Total</t>
        </is>
      </c>
      <c r="E4" s="126" t="n">
        <v>1</v>
      </c>
      <c r="F4" s="126" t="n">
        <v>2</v>
      </c>
      <c r="G4" s="126" t="n">
        <v>3</v>
      </c>
      <c r="H4" s="126" t="n">
        <v>4</v>
      </c>
      <c r="I4" s="126" t="n">
        <v>5</v>
      </c>
      <c r="J4" s="126" t="n">
        <v>6</v>
      </c>
      <c r="K4" s="126" t="n">
        <v>7</v>
      </c>
      <c r="L4" s="126" t="n">
        <v>8</v>
      </c>
      <c r="M4" s="126" t="n">
        <v>9</v>
      </c>
      <c r="N4" s="126" t="n">
        <v>10</v>
      </c>
      <c r="O4" s="126" t="n">
        <v>11</v>
      </c>
      <c r="P4" s="126" t="n">
        <v>12</v>
      </c>
      <c r="Q4" s="126" t="n">
        <v>13</v>
      </c>
      <c r="R4" s="126" t="n">
        <v>14</v>
      </c>
      <c r="S4" s="126" t="n">
        <v>15</v>
      </c>
      <c r="T4" s="126" t="n">
        <v>16</v>
      </c>
      <c r="U4" s="126" t="n">
        <v>17</v>
      </c>
      <c r="V4" s="126" t="n">
        <v>18</v>
      </c>
      <c r="W4" s="126" t="n">
        <v>19</v>
      </c>
      <c r="X4" s="126" t="n">
        <v>20</v>
      </c>
      <c r="Y4" s="126" t="n">
        <v>21</v>
      </c>
      <c r="Z4" s="126" t="n">
        <v>22</v>
      </c>
      <c r="AA4" s="126" t="n">
        <v>23</v>
      </c>
      <c r="AB4" s="126" t="n">
        <v>24</v>
      </c>
      <c r="AC4" s="126" t="n">
        <v>25</v>
      </c>
      <c r="AD4" s="126" t="n">
        <v>26</v>
      </c>
      <c r="AE4" s="126" t="n">
        <v>27</v>
      </c>
      <c r="AF4" s="126" t="n">
        <v>28</v>
      </c>
      <c r="AG4" s="126" t="n">
        <v>29</v>
      </c>
      <c r="AH4" s="126" t="n">
        <v>30</v>
      </c>
      <c r="AI4" s="126" t="n">
        <v>31</v>
      </c>
      <c r="AJ4" s="126" t="n">
        <v>32</v>
      </c>
      <c r="AK4" s="126" t="n">
        <v>33</v>
      </c>
      <c r="AL4" s="126" t="n">
        <v>34</v>
      </c>
      <c r="AM4" s="126" t="n">
        <v>35</v>
      </c>
      <c r="AN4" s="126" t="n">
        <v>36</v>
      </c>
      <c r="AO4" s="126" t="n">
        <v>37</v>
      </c>
      <c r="AP4" s="126" t="n">
        <v>38</v>
      </c>
      <c r="AQ4" s="126" t="n">
        <v>39</v>
      </c>
      <c r="AR4" s="126" t="n">
        <v>40</v>
      </c>
      <c r="AS4" s="126" t="n">
        <v>41</v>
      </c>
      <c r="AT4" s="126" t="n">
        <v>42</v>
      </c>
      <c r="AU4" s="126" t="n">
        <v>43</v>
      </c>
      <c r="AV4" s="126" t="n">
        <v>44</v>
      </c>
      <c r="AW4" s="126" t="n">
        <v>45</v>
      </c>
      <c r="AX4" s="126" t="n">
        <v>46</v>
      </c>
      <c r="AY4" s="126" t="n">
        <v>47</v>
      </c>
      <c r="AZ4" s="126" t="n">
        <v>48</v>
      </c>
      <c r="BA4" s="126" t="n">
        <v>49</v>
      </c>
      <c r="BB4" s="126" t="n">
        <v>50</v>
      </c>
      <c r="BC4" s="126" t="n">
        <v>51</v>
      </c>
      <c r="BD4" s="126" t="n">
        <v>52</v>
      </c>
      <c r="BE4" s="126" t="n">
        <v>53</v>
      </c>
      <c r="BF4" s="126" t="n">
        <v>54</v>
      </c>
      <c r="BG4" s="126" t="n">
        <v>55</v>
      </c>
      <c r="BH4" s="126" t="n">
        <v>56</v>
      </c>
      <c r="BI4" s="126" t="n">
        <v>57</v>
      </c>
      <c r="BJ4" s="126" t="n">
        <v>58</v>
      </c>
      <c r="BK4" s="126" t="n">
        <v>59</v>
      </c>
      <c r="BL4" s="126" t="n">
        <v>60</v>
      </c>
      <c r="BM4" s="126" t="n">
        <v>61</v>
      </c>
      <c r="BN4" s="126" t="n">
        <v>62</v>
      </c>
      <c r="BO4" s="126" t="n">
        <v>63</v>
      </c>
      <c r="BP4" s="126" t="n">
        <v>64</v>
      </c>
      <c r="BQ4" s="126" t="n">
        <v>65</v>
      </c>
      <c r="BR4" s="126" t="n">
        <v>66</v>
      </c>
      <c r="BS4" s="126" t="n">
        <v>67</v>
      </c>
      <c r="BT4" s="126" t="n">
        <v>68</v>
      </c>
      <c r="BU4" s="126" t="n">
        <v>69</v>
      </c>
      <c r="BV4" s="126" t="n">
        <v>70</v>
      </c>
      <c r="BW4" s="126" t="n">
        <v>71</v>
      </c>
      <c r="BX4" s="126" t="n">
        <v>72</v>
      </c>
      <c r="BY4" s="126" t="n">
        <v>73</v>
      </c>
      <c r="BZ4" s="126" t="n">
        <v>74</v>
      </c>
      <c r="CA4" s="126" t="n">
        <v>75</v>
      </c>
      <c r="CB4" s="126" t="n">
        <v>76</v>
      </c>
      <c r="CC4" s="126" t="n">
        <v>77</v>
      </c>
      <c r="CD4" s="126" t="n">
        <v>78</v>
      </c>
      <c r="CE4" s="126" t="n">
        <v>79</v>
      </c>
      <c r="CF4" s="126" t="n">
        <v>80</v>
      </c>
      <c r="CG4" s="126" t="n">
        <v>81</v>
      </c>
      <c r="CH4" s="126" t="n">
        <v>82</v>
      </c>
      <c r="CI4" s="126" t="n">
        <v>83</v>
      </c>
      <c r="CJ4" s="126" t="n">
        <v>84</v>
      </c>
      <c r="CK4" s="126" t="n">
        <v>85</v>
      </c>
      <c r="CL4" s="126" t="n">
        <v>86</v>
      </c>
      <c r="CM4" s="126" t="n">
        <v>87</v>
      </c>
      <c r="CN4" s="126" t="n">
        <v>88</v>
      </c>
      <c r="CO4" s="126" t="n">
        <v>89</v>
      </c>
      <c r="CP4" s="126" t="n">
        <v>90</v>
      </c>
      <c r="CQ4" s="126" t="n">
        <v>91</v>
      </c>
      <c r="CR4" s="126" t="n">
        <v>92</v>
      </c>
      <c r="CS4" s="126" t="n">
        <v>93</v>
      </c>
      <c r="CT4" s="126" t="n">
        <v>94</v>
      </c>
      <c r="CU4" s="126" t="n">
        <v>95</v>
      </c>
      <c r="CV4" s="126" t="n">
        <v>96</v>
      </c>
      <c r="CW4" s="126" t="n">
        <v>97</v>
      </c>
      <c r="CX4" s="126" t="n">
        <v>98</v>
      </c>
      <c r="CY4" s="126" t="n">
        <v>99</v>
      </c>
      <c r="CZ4" s="126" t="n">
        <v>100</v>
      </c>
      <c r="DA4" s="126" t="n">
        <v>101</v>
      </c>
      <c r="DB4" s="126" t="n">
        <v>102</v>
      </c>
      <c r="DC4" s="126" t="n">
        <v>103</v>
      </c>
      <c r="DD4" s="126" t="n">
        <v>104</v>
      </c>
      <c r="DE4" s="126" t="n">
        <v>105</v>
      </c>
      <c r="DF4" s="126" t="n">
        <v>106</v>
      </c>
      <c r="DG4" s="126" t="n">
        <v>107</v>
      </c>
      <c r="DH4" s="126" t="n">
        <v>108</v>
      </c>
      <c r="DI4" s="126" t="n">
        <v>109</v>
      </c>
      <c r="DJ4" s="126" t="n">
        <v>110</v>
      </c>
      <c r="DK4" s="126" t="n">
        <v>111</v>
      </c>
      <c r="DL4" s="126" t="n">
        <v>112</v>
      </c>
      <c r="DM4" s="126" t="n">
        <v>113</v>
      </c>
      <c r="DN4" s="126" t="n">
        <v>114</v>
      </c>
      <c r="DO4" s="126" t="n">
        <v>115</v>
      </c>
      <c r="DP4" s="126" t="n">
        <v>116</v>
      </c>
      <c r="DQ4" s="126" t="n">
        <v>117</v>
      </c>
      <c r="DR4" s="126" t="n">
        <v>118</v>
      </c>
      <c r="DS4" s="126" t="n">
        <v>119</v>
      </c>
      <c r="DT4" s="126" t="n">
        <v>120</v>
      </c>
      <c r="DU4" s="126" t="n">
        <v>121</v>
      </c>
      <c r="DV4" s="126" t="n">
        <v>122</v>
      </c>
      <c r="DW4" s="126" t="n">
        <v>123</v>
      </c>
      <c r="DX4" s="126" t="n">
        <v>124</v>
      </c>
      <c r="DY4" s="126" t="n">
        <v>125</v>
      </c>
      <c r="DZ4" s="126" t="n">
        <v>126</v>
      </c>
      <c r="EA4" s="126" t="n">
        <v>127</v>
      </c>
      <c r="EB4" s="126" t="n">
        <v>128</v>
      </c>
      <c r="EC4" s="126" t="n">
        <v>129</v>
      </c>
      <c r="ED4" s="126" t="n">
        <v>130</v>
      </c>
      <c r="EE4" s="126" t="n">
        <v>131</v>
      </c>
      <c r="EF4" s="126" t="n">
        <v>132</v>
      </c>
      <c r="EG4" s="126" t="n">
        <v>133</v>
      </c>
      <c r="EH4" s="126" t="n">
        <v>134</v>
      </c>
      <c r="EI4" s="126" t="n">
        <v>135</v>
      </c>
      <c r="EJ4" s="126" t="n">
        <v>136</v>
      </c>
      <c r="EK4" s="126" t="n">
        <v>137</v>
      </c>
      <c r="EL4" s="126" t="n">
        <v>138</v>
      </c>
      <c r="EM4" s="126" t="n">
        <v>139</v>
      </c>
      <c r="EN4" s="126" t="n">
        <v>140</v>
      </c>
      <c r="EO4" s="126" t="n">
        <v>141</v>
      </c>
      <c r="EP4" s="126" t="n">
        <v>142</v>
      </c>
      <c r="EQ4" s="126" t="n">
        <v>143</v>
      </c>
      <c r="ER4" s="126" t="n">
        <v>144</v>
      </c>
      <c r="ES4" s="126" t="n">
        <v>145</v>
      </c>
      <c r="ET4" s="126" t="n">
        <v>146</v>
      </c>
      <c r="EU4" s="126" t="n">
        <v>147</v>
      </c>
      <c r="EV4" s="126" t="n">
        <v>148</v>
      </c>
      <c r="EW4" s="126" t="n">
        <v>149</v>
      </c>
      <c r="EX4" s="126" t="n">
        <v>150</v>
      </c>
      <c r="EY4" s="126" t="n">
        <v>151</v>
      </c>
      <c r="EZ4" s="126" t="n">
        <v>152</v>
      </c>
      <c r="FA4" s="126" t="n">
        <v>153</v>
      </c>
      <c r="FB4" s="126" t="n">
        <v>154</v>
      </c>
      <c r="FC4" s="126" t="n">
        <v>155</v>
      </c>
      <c r="FD4" s="126" t="n">
        <v>156</v>
      </c>
      <c r="FE4" s="126" t="n">
        <v>157</v>
      </c>
      <c r="FF4" s="126" t="n">
        <v>158</v>
      </c>
      <c r="FG4" s="126" t="n">
        <v>159</v>
      </c>
      <c r="FH4" s="126" t="n">
        <v>160</v>
      </c>
      <c r="FI4" s="126" t="n">
        <v>161</v>
      </c>
      <c r="FJ4" s="126" t="n">
        <v>162</v>
      </c>
      <c r="FK4" s="126" t="n">
        <v>163</v>
      </c>
      <c r="FL4" s="126" t="n">
        <v>164</v>
      </c>
      <c r="FM4" s="126" t="n">
        <v>165</v>
      </c>
      <c r="FN4" s="126" t="n">
        <v>166</v>
      </c>
      <c r="FO4" s="126" t="n">
        <v>167</v>
      </c>
      <c r="FP4" s="126" t="n">
        <v>168</v>
      </c>
      <c r="FQ4" s="126" t="n">
        <v>169</v>
      </c>
      <c r="FR4" s="126" t="n">
        <v>170</v>
      </c>
      <c r="FS4" s="126" t="n">
        <v>171</v>
      </c>
      <c r="FT4" s="126" t="n">
        <v>172</v>
      </c>
      <c r="FU4" s="126" t="n">
        <v>173</v>
      </c>
      <c r="FV4" s="126" t="n">
        <v>174</v>
      </c>
      <c r="FW4" s="126" t="n">
        <v>175</v>
      </c>
      <c r="FX4" s="126" t="n">
        <v>176</v>
      </c>
      <c r="FY4" s="126" t="n">
        <v>177</v>
      </c>
      <c r="FZ4" s="126" t="n">
        <v>178</v>
      </c>
      <c r="GA4" s="126" t="n">
        <v>179</v>
      </c>
      <c r="GB4" s="126" t="n">
        <v>180</v>
      </c>
      <c r="GC4" s="126" t="n">
        <v>181</v>
      </c>
      <c r="GD4" s="126" t="n">
        <v>182</v>
      </c>
      <c r="GE4" s="126" t="n">
        <v>183</v>
      </c>
      <c r="GF4" s="126" t="n">
        <v>184</v>
      </c>
      <c r="GG4" s="126" t="n">
        <v>185</v>
      </c>
      <c r="GH4" s="126" t="n">
        <v>186</v>
      </c>
      <c r="GI4" s="126" t="n">
        <v>187</v>
      </c>
      <c r="GJ4" s="126" t="n">
        <v>188</v>
      </c>
      <c r="GK4" s="126" t="n">
        <v>189</v>
      </c>
      <c r="GL4" s="126" t="n">
        <v>190</v>
      </c>
      <c r="GM4" s="126" t="n">
        <v>191</v>
      </c>
      <c r="GN4" s="126" t="n">
        <v>192</v>
      </c>
      <c r="GO4" s="126" t="n">
        <v>193</v>
      </c>
      <c r="GP4" s="126" t="n">
        <v>194</v>
      </c>
      <c r="GQ4" s="126" t="n">
        <v>195</v>
      </c>
      <c r="GR4" s="126" t="n">
        <v>196</v>
      </c>
      <c r="GS4" s="126" t="n">
        <v>197</v>
      </c>
      <c r="GT4" s="126" t="n">
        <v>198</v>
      </c>
      <c r="GU4" s="126" t="n">
        <v>199</v>
      </c>
      <c r="GV4" s="126" t="n">
        <v>200</v>
      </c>
      <c r="GW4" s="126" t="n">
        <v>201</v>
      </c>
      <c r="GX4" s="126" t="n">
        <v>202</v>
      </c>
      <c r="GY4" s="126" t="n">
        <v>203</v>
      </c>
      <c r="GZ4" s="126" t="n">
        <v>204</v>
      </c>
      <c r="HA4" s="126" t="n">
        <v>205</v>
      </c>
      <c r="HB4" s="126" t="n">
        <v>206</v>
      </c>
      <c r="HC4" s="126" t="n">
        <v>207</v>
      </c>
      <c r="HD4" s="126" t="n">
        <v>208</v>
      </c>
      <c r="HE4" s="126" t="n">
        <v>209</v>
      </c>
      <c r="HF4" s="126" t="n">
        <v>210</v>
      </c>
      <c r="HG4" s="126" t="n">
        <v>211</v>
      </c>
      <c r="HH4" s="126" t="n">
        <v>212</v>
      </c>
      <c r="HI4" s="126" t="n">
        <v>213</v>
      </c>
      <c r="HJ4" s="126" t="n">
        <v>214</v>
      </c>
      <c r="HK4" s="126" t="n">
        <v>215</v>
      </c>
      <c r="HL4" s="126" t="n">
        <v>216</v>
      </c>
      <c r="HM4" s="126" t="n">
        <v>217</v>
      </c>
      <c r="HN4" s="126" t="n">
        <v>218</v>
      </c>
      <c r="HO4" s="126" t="n">
        <v>219</v>
      </c>
      <c r="HP4" s="126" t="n">
        <v>220</v>
      </c>
      <c r="HQ4" s="126" t="n">
        <v>221</v>
      </c>
      <c r="HR4" s="126" t="n">
        <v>222</v>
      </c>
      <c r="HS4" s="126" t="n">
        <v>223</v>
      </c>
      <c r="HT4" s="126" t="n">
        <v>224</v>
      </c>
      <c r="HU4" s="126" t="n">
        <v>225</v>
      </c>
      <c r="HV4" s="126" t="n">
        <v>226</v>
      </c>
      <c r="HW4" s="126" t="n">
        <v>227</v>
      </c>
      <c r="HX4" s="126" t="n">
        <v>228</v>
      </c>
      <c r="HY4" s="126" t="n">
        <v>229</v>
      </c>
      <c r="HZ4" s="126" t="n">
        <v>230</v>
      </c>
      <c r="IA4" s="126" t="n">
        <v>231</v>
      </c>
      <c r="IB4" s="126" t="n">
        <v>232</v>
      </c>
      <c r="IC4" s="126" t="n">
        <v>233</v>
      </c>
      <c r="ID4" s="126" t="n">
        <v>234</v>
      </c>
      <c r="IE4" s="126" t="n">
        <v>235</v>
      </c>
      <c r="IF4" s="126" t="n">
        <v>236</v>
      </c>
      <c r="IG4" s="126" t="n">
        <v>237</v>
      </c>
      <c r="IH4" s="126" t="n">
        <v>238</v>
      </c>
      <c r="II4" s="126" t="n">
        <v>239</v>
      </c>
      <c r="IJ4" s="126" t="n">
        <v>240</v>
      </c>
      <c r="IK4" s="126" t="n">
        <v>241</v>
      </c>
      <c r="IL4" s="126" t="n">
        <v>242</v>
      </c>
      <c r="IM4" s="126" t="n">
        <v>243</v>
      </c>
      <c r="IN4" s="126" t="n">
        <v>244</v>
      </c>
      <c r="IO4" s="126" t="n">
        <v>245</v>
      </c>
      <c r="IP4" s="126" t="n">
        <v>246</v>
      </c>
      <c r="IQ4" s="126" t="n">
        <v>247</v>
      </c>
      <c r="IR4" s="126" t="n">
        <v>248</v>
      </c>
      <c r="IS4" s="126" t="n">
        <v>249</v>
      </c>
      <c r="IT4" s="126" t="n">
        <v>250</v>
      </c>
      <c r="IU4" s="126" t="n">
        <v>251</v>
      </c>
      <c r="IV4" s="126" t="n">
        <v>252</v>
      </c>
      <c r="IW4" s="126" t="n">
        <v>253</v>
      </c>
      <c r="IX4" s="126" t="n">
        <v>254</v>
      </c>
      <c r="IY4" s="126" t="n">
        <v>255</v>
      </c>
      <c r="IZ4" s="126" t="n">
        <v>256</v>
      </c>
      <c r="JA4" s="126" t="n">
        <v>257</v>
      </c>
      <c r="JB4" s="126" t="n">
        <v>258</v>
      </c>
      <c r="JC4" s="126" t="n">
        <v>259</v>
      </c>
      <c r="JD4" s="126" t="n">
        <v>260</v>
      </c>
      <c r="JE4" s="126" t="n">
        <v>261</v>
      </c>
      <c r="JF4" s="126" t="n">
        <v>262</v>
      </c>
      <c r="JG4" s="126" t="n">
        <v>263</v>
      </c>
      <c r="JH4" s="126" t="n">
        <v>264</v>
      </c>
      <c r="JI4" s="126" t="n">
        <v>265</v>
      </c>
      <c r="JJ4" s="126" t="n">
        <v>266</v>
      </c>
      <c r="JK4" s="126" t="n">
        <v>267</v>
      </c>
      <c r="JL4" s="126" t="n">
        <v>268</v>
      </c>
      <c r="JM4" s="126" t="n">
        <v>269</v>
      </c>
      <c r="JN4" s="126" t="n">
        <v>270</v>
      </c>
      <c r="JO4" s="126" t="n">
        <v>271</v>
      </c>
      <c r="JP4" s="126" t="n">
        <v>272</v>
      </c>
      <c r="JQ4" s="126" t="n">
        <v>273</v>
      </c>
      <c r="JR4" s="126" t="n">
        <v>274</v>
      </c>
      <c r="JS4" s="126" t="n">
        <v>275</v>
      </c>
      <c r="JT4" s="126" t="n">
        <v>276</v>
      </c>
      <c r="JU4" s="126" t="n">
        <v>277</v>
      </c>
      <c r="JV4" s="126" t="n">
        <v>278</v>
      </c>
      <c r="JW4" s="126" t="n">
        <v>279</v>
      </c>
      <c r="JX4" s="126" t="n">
        <v>280</v>
      </c>
      <c r="JY4" s="126" t="n">
        <v>281</v>
      </c>
      <c r="JZ4" s="126" t="n">
        <v>282</v>
      </c>
      <c r="KA4" s="126" t="n">
        <v>283</v>
      </c>
      <c r="KB4" s="126" t="n">
        <v>284</v>
      </c>
      <c r="KC4" s="126" t="n">
        <v>285</v>
      </c>
      <c r="KD4" s="126" t="n">
        <v>286</v>
      </c>
      <c r="KE4" s="126" t="n">
        <v>287</v>
      </c>
      <c r="KF4" s="126" t="n">
        <v>288</v>
      </c>
      <c r="KG4" s="126" t="n">
        <v>289</v>
      </c>
      <c r="KH4" s="126" t="n">
        <v>290</v>
      </c>
      <c r="KI4" s="126" t="n">
        <v>291</v>
      </c>
      <c r="KJ4" s="126" t="n">
        <v>292</v>
      </c>
      <c r="KK4" s="126" t="n">
        <v>293</v>
      </c>
      <c r="KL4" s="126" t="n">
        <v>294</v>
      </c>
      <c r="KM4" s="126" t="n">
        <v>295</v>
      </c>
      <c r="KN4" s="126" t="n">
        <v>296</v>
      </c>
      <c r="KO4" s="126" t="n">
        <v>297</v>
      </c>
      <c r="KP4" s="126" t="n">
        <v>298</v>
      </c>
      <c r="KQ4" s="126" t="n">
        <v>299</v>
      </c>
      <c r="KR4" s="126" t="n">
        <v>300</v>
      </c>
      <c r="KS4" s="126" t="n">
        <v>301</v>
      </c>
      <c r="KT4" s="126" t="n">
        <v>302</v>
      </c>
      <c r="KU4" s="126" t="n">
        <v>303</v>
      </c>
      <c r="KV4" s="126" t="n">
        <v>304</v>
      </c>
      <c r="KW4" s="126" t="n">
        <v>305</v>
      </c>
      <c r="KX4" s="126" t="n">
        <v>306</v>
      </c>
      <c r="KY4" s="126" t="n">
        <v>307</v>
      </c>
      <c r="KZ4" s="126" t="n">
        <v>308</v>
      </c>
      <c r="LA4" s="126" t="n">
        <v>309</v>
      </c>
      <c r="LB4" s="126" t="n">
        <v>310</v>
      </c>
      <c r="LC4" s="126" t="n">
        <v>311</v>
      </c>
      <c r="LD4" s="126" t="n">
        <v>312</v>
      </c>
      <c r="LE4" s="126" t="n">
        <v>313</v>
      </c>
      <c r="LF4" s="126" t="n">
        <v>314</v>
      </c>
      <c r="LG4" s="126" t="n">
        <v>315</v>
      </c>
      <c r="LH4" s="126" t="n">
        <v>316</v>
      </c>
      <c r="LI4" s="126" t="n">
        <v>317</v>
      </c>
      <c r="LJ4" s="126" t="n">
        <v>318</v>
      </c>
      <c r="LK4" s="126" t="n">
        <v>319</v>
      </c>
      <c r="LL4" s="126" t="n">
        <v>320</v>
      </c>
      <c r="LM4" s="126" t="n">
        <v>321</v>
      </c>
      <c r="LN4" s="126" t="n">
        <v>322</v>
      </c>
      <c r="LO4" s="126" t="n">
        <v>323</v>
      </c>
      <c r="LP4" s="126" t="n">
        <v>324</v>
      </c>
      <c r="LQ4" s="126" t="n">
        <v>325</v>
      </c>
      <c r="LR4" s="126" t="n">
        <v>326</v>
      </c>
      <c r="LS4" s="126" t="n">
        <v>327</v>
      </c>
      <c r="LT4" s="126" t="n">
        <v>328</v>
      </c>
      <c r="LU4" s="126" t="n">
        <v>329</v>
      </c>
      <c r="LV4" s="126" t="n">
        <v>330</v>
      </c>
      <c r="LW4" s="126" t="n">
        <v>331</v>
      </c>
      <c r="LX4" s="126" t="n">
        <v>332</v>
      </c>
      <c r="LY4" s="126" t="n">
        <v>333</v>
      </c>
      <c r="LZ4" s="126" t="n">
        <v>334</v>
      </c>
      <c r="MA4" s="126" t="n">
        <v>335</v>
      </c>
      <c r="MB4" s="126" t="n">
        <v>336</v>
      </c>
      <c r="MC4" s="126" t="n">
        <v>337</v>
      </c>
      <c r="MD4" s="126" t="n">
        <v>338</v>
      </c>
      <c r="ME4" s="126" t="n">
        <v>339</v>
      </c>
      <c r="MF4" s="126" t="n">
        <v>340</v>
      </c>
      <c r="MG4" s="126" t="n">
        <v>341</v>
      </c>
      <c r="MH4" s="126" t="n">
        <v>342</v>
      </c>
      <c r="MI4" s="126" t="n">
        <v>343</v>
      </c>
      <c r="MJ4" s="126" t="n">
        <v>344</v>
      </c>
      <c r="MK4" s="126" t="n">
        <v>345</v>
      </c>
      <c r="ML4" s="126" t="n">
        <v>346</v>
      </c>
      <c r="MM4" s="126" t="n">
        <v>347</v>
      </c>
      <c r="MN4" s="126" t="n">
        <v>348</v>
      </c>
      <c r="MO4" s="126" t="n">
        <v>349</v>
      </c>
      <c r="MP4" s="126" t="n">
        <v>350</v>
      </c>
      <c r="MQ4" s="126" t="n">
        <v>351</v>
      </c>
      <c r="MR4" s="126" t="n">
        <v>352</v>
      </c>
      <c r="MS4" s="126" t="n">
        <v>353</v>
      </c>
      <c r="MT4" s="126" t="n">
        <v>354</v>
      </c>
      <c r="MU4" s="126" t="n">
        <v>355</v>
      </c>
      <c r="MV4" s="126" t="n">
        <v>356</v>
      </c>
      <c r="MW4" s="126" t="n">
        <v>357</v>
      </c>
      <c r="MX4" s="126" t="n">
        <v>358</v>
      </c>
      <c r="MY4" s="126" t="n">
        <v>359</v>
      </c>
      <c r="MZ4" s="126" t="n">
        <v>360</v>
      </c>
      <c r="NA4" s="126" t="n">
        <v>361</v>
      </c>
      <c r="NB4" s="126" t="n">
        <v>362</v>
      </c>
      <c r="NC4" s="126" t="n">
        <v>363</v>
      </c>
      <c r="ND4" s="126" t="n">
        <v>364</v>
      </c>
      <c r="NE4" s="126" t="n">
        <v>365</v>
      </c>
      <c r="NF4" s="126" t="n">
        <v>366</v>
      </c>
      <c r="NG4" s="126" t="n">
        <v>367</v>
      </c>
      <c r="NH4" s="126" t="n">
        <v>368</v>
      </c>
      <c r="NI4" s="126" t="n">
        <v>369</v>
      </c>
      <c r="NJ4" s="126" t="n">
        <v>370</v>
      </c>
      <c r="NK4" s="126" t="n">
        <v>371</v>
      </c>
      <c r="NL4" s="127" t="n">
        <v>372</v>
      </c>
    </row>
    <row r="5">
      <c r="B5" s="123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36" t="inlineStr">
        <is>
          <t>Land Acquisition</t>
        </is>
      </c>
      <c r="D6" s="246">
        <f>SUM(E6:NL6)</f>
        <v/>
      </c>
      <c r="E6" s="228">
        <f>IF(AND(1&gt;=$NR$6,1&lt;=$NS$6),IF($NP$6="Single_Point",IF(1=$NR$6,$NN$6,0),IF($NP$6="Bell_Curve",$NN$6*(1-$NR$6+1)*($NS$6-1+1)/$NU$6,$NN$6/$NT$6)),0)</f>
        <v/>
      </c>
      <c r="F6" s="228">
        <f>IF(AND(2&gt;=$NR$6,2&lt;=$NS$6),IF($NP$6="Single_Point",IF(2=$NR$6,$NN$6,0),IF($NP$6="Bell_Curve",$NN$6*(2-$NR$6+1)*($NS$6-2+1)/$NU$6,$NN$6/$NT$6)),0)</f>
        <v/>
      </c>
      <c r="G6" s="228">
        <f>IF(AND(3&gt;=$NR$6,3&lt;=$NS$6),IF($NP$6="Single_Point",IF(3=$NR$6,$NN$6,0),IF($NP$6="Bell_Curve",$NN$6*(3-$NR$6+1)*($NS$6-3+1)/$NU$6,$NN$6/$NT$6)),0)</f>
        <v/>
      </c>
      <c r="H6" s="228">
        <f>IF(AND(4&gt;=$NR$6,4&lt;=$NS$6),IF($NP$6="Single_Point",IF(4=$NR$6,$NN$6,0),IF($NP$6="Bell_Curve",$NN$6*(4-$NR$6+1)*($NS$6-4+1)/$NU$6,$NN$6/$NT$6)),0)</f>
        <v/>
      </c>
      <c r="I6" s="228">
        <f>IF(AND(5&gt;=$NR$6,5&lt;=$NS$6),IF($NP$6="Single_Point",IF(5=$NR$6,$NN$6,0),IF($NP$6="Bell_Curve",$NN$6*(5-$NR$6+1)*($NS$6-5+1)/$NU$6,$NN$6/$NT$6)),0)</f>
        <v/>
      </c>
      <c r="J6" s="228">
        <f>IF(AND(6&gt;=$NR$6,6&lt;=$NS$6),IF($NP$6="Single_Point",IF(6=$NR$6,$NN$6,0),IF($NP$6="Bell_Curve",$NN$6*(6-$NR$6+1)*($NS$6-6+1)/$NU$6,$NN$6/$NT$6)),0)</f>
        <v/>
      </c>
      <c r="K6" s="228">
        <f>IF(AND(7&gt;=$NR$6,7&lt;=$NS$6),IF($NP$6="Single_Point",IF(7=$NR$6,$NN$6,0),IF($NP$6="Bell_Curve",$NN$6*(7-$NR$6+1)*($NS$6-7+1)/$NU$6,$NN$6/$NT$6)),0)</f>
        <v/>
      </c>
      <c r="L6" s="228">
        <f>IF(AND(8&gt;=$NR$6,8&lt;=$NS$6),IF($NP$6="Single_Point",IF(8=$NR$6,$NN$6,0),IF($NP$6="Bell_Curve",$NN$6*(8-$NR$6+1)*($NS$6-8+1)/$NU$6,$NN$6/$NT$6)),0)</f>
        <v/>
      </c>
      <c r="M6" s="228">
        <f>IF(AND(9&gt;=$NR$6,9&lt;=$NS$6),IF($NP$6="Single_Point",IF(9=$NR$6,$NN$6,0),IF($NP$6="Bell_Curve",$NN$6*(9-$NR$6+1)*($NS$6-9+1)/$NU$6,$NN$6/$NT$6)),0)</f>
        <v/>
      </c>
      <c r="N6" s="228">
        <f>IF(AND(10&gt;=$NR$6,10&lt;=$NS$6),IF($NP$6="Single_Point",IF(10=$NR$6,$NN$6,0),IF($NP$6="Bell_Curve",$NN$6*(10-$NR$6+1)*($NS$6-10+1)/$NU$6,$NN$6/$NT$6)),0)</f>
        <v/>
      </c>
      <c r="O6" s="228">
        <f>IF(AND(11&gt;=$NR$6,11&lt;=$NS$6),IF($NP$6="Single_Point",IF(11=$NR$6,$NN$6,0),IF($NP$6="Bell_Curve",$NN$6*(11-$NR$6+1)*($NS$6-11+1)/$NU$6,$NN$6/$NT$6)),0)</f>
        <v/>
      </c>
      <c r="P6" s="228">
        <f>IF(AND(12&gt;=$NR$6,12&lt;=$NS$6),IF($NP$6="Single_Point",IF(12=$NR$6,$NN$6,0),IF($NP$6="Bell_Curve",$NN$6*(12-$NR$6+1)*($NS$6-12+1)/$NU$6,$NN$6/$NT$6)),0)</f>
        <v/>
      </c>
      <c r="Q6" s="228">
        <f>IF(AND(13&gt;=$NR$6,13&lt;=$NS$6),IF($NP$6="Single_Point",IF(13=$NR$6,$NN$6,0),IF($NP$6="Bell_Curve",$NN$6*(13-$NR$6+1)*($NS$6-13+1)/$NU$6,$NN$6/$NT$6)),0)</f>
        <v/>
      </c>
      <c r="R6" s="228">
        <f>IF(AND(14&gt;=$NR$6,14&lt;=$NS$6),IF($NP$6="Single_Point",IF(14=$NR$6,$NN$6,0),IF($NP$6="Bell_Curve",$NN$6*(14-$NR$6+1)*($NS$6-14+1)/$NU$6,$NN$6/$NT$6)),0)</f>
        <v/>
      </c>
      <c r="S6" s="228">
        <f>IF(AND(15&gt;=$NR$6,15&lt;=$NS$6),IF($NP$6="Single_Point",IF(15=$NR$6,$NN$6,0),IF($NP$6="Bell_Curve",$NN$6*(15-$NR$6+1)*($NS$6-15+1)/$NU$6,$NN$6/$NT$6)),0)</f>
        <v/>
      </c>
      <c r="T6" s="228">
        <f>IF(AND(16&gt;=$NR$6,16&lt;=$NS$6),IF($NP$6="Single_Point",IF(16=$NR$6,$NN$6,0),IF($NP$6="Bell_Curve",$NN$6*(16-$NR$6+1)*($NS$6-16+1)/$NU$6,$NN$6/$NT$6)),0)</f>
        <v/>
      </c>
      <c r="U6" s="228">
        <f>IF(AND(17&gt;=$NR$6,17&lt;=$NS$6),IF($NP$6="Single_Point",IF(17=$NR$6,$NN$6,0),IF($NP$6="Bell_Curve",$NN$6*(17-$NR$6+1)*($NS$6-17+1)/$NU$6,$NN$6/$NT$6)),0)</f>
        <v/>
      </c>
      <c r="V6" s="228">
        <f>IF(AND(18&gt;=$NR$6,18&lt;=$NS$6),IF($NP$6="Single_Point",IF(18=$NR$6,$NN$6,0),IF($NP$6="Bell_Curve",$NN$6*(18-$NR$6+1)*($NS$6-18+1)/$NU$6,$NN$6/$NT$6)),0)</f>
        <v/>
      </c>
      <c r="W6" s="228">
        <f>IF(AND(19&gt;=$NR$6,19&lt;=$NS$6),IF($NP$6="Single_Point",IF(19=$NR$6,$NN$6,0),IF($NP$6="Bell_Curve",$NN$6*(19-$NR$6+1)*($NS$6-19+1)/$NU$6,$NN$6/$NT$6)),0)</f>
        <v/>
      </c>
      <c r="X6" s="228">
        <f>IF(AND(20&gt;=$NR$6,20&lt;=$NS$6),IF($NP$6="Single_Point",IF(20=$NR$6,$NN$6,0),IF($NP$6="Bell_Curve",$NN$6*(20-$NR$6+1)*($NS$6-20+1)/$NU$6,$NN$6/$NT$6)),0)</f>
        <v/>
      </c>
      <c r="Y6" s="228">
        <f>IF(AND(21&gt;=$NR$6,21&lt;=$NS$6),IF($NP$6="Single_Point",IF(21=$NR$6,$NN$6,0),IF($NP$6="Bell_Curve",$NN$6*(21-$NR$6+1)*($NS$6-21+1)/$NU$6,$NN$6/$NT$6)),0)</f>
        <v/>
      </c>
      <c r="Z6" s="228">
        <f>IF(AND(22&gt;=$NR$6,22&lt;=$NS$6),IF($NP$6="Single_Point",IF(22=$NR$6,$NN$6,0),IF($NP$6="Bell_Curve",$NN$6*(22-$NR$6+1)*($NS$6-22+1)/$NU$6,$NN$6/$NT$6)),0)</f>
        <v/>
      </c>
      <c r="AA6" s="228">
        <f>IF(AND(23&gt;=$NR$6,23&lt;=$NS$6),IF($NP$6="Single_Point",IF(23=$NR$6,$NN$6,0),IF($NP$6="Bell_Curve",$NN$6*(23-$NR$6+1)*($NS$6-23+1)/$NU$6,$NN$6/$NT$6)),0)</f>
        <v/>
      </c>
      <c r="AB6" s="228">
        <f>IF(AND(24&gt;=$NR$6,24&lt;=$NS$6),IF($NP$6="Single_Point",IF(24=$NR$6,$NN$6,0),IF($NP$6="Bell_Curve",$NN$6*(24-$NR$6+1)*($NS$6-24+1)/$NU$6,$NN$6/$NT$6)),0)</f>
        <v/>
      </c>
      <c r="AC6" s="228">
        <f>IF(AND(25&gt;=$NR$6,25&lt;=$NS$6),IF($NP$6="Single_Point",IF(25=$NR$6,$NN$6,0),IF($NP$6="Bell_Curve",$NN$6*(25-$NR$6+1)*($NS$6-25+1)/$NU$6,$NN$6/$NT$6)),0)</f>
        <v/>
      </c>
      <c r="AD6" s="228">
        <f>IF(AND(26&gt;=$NR$6,26&lt;=$NS$6),IF($NP$6="Single_Point",IF(26=$NR$6,$NN$6,0),IF($NP$6="Bell_Curve",$NN$6*(26-$NR$6+1)*($NS$6-26+1)/$NU$6,$NN$6/$NT$6)),0)</f>
        <v/>
      </c>
      <c r="AE6" s="228">
        <f>IF(AND(27&gt;=$NR$6,27&lt;=$NS$6),IF($NP$6="Single_Point",IF(27=$NR$6,$NN$6,0),IF($NP$6="Bell_Curve",$NN$6*(27-$NR$6+1)*($NS$6-27+1)/$NU$6,$NN$6/$NT$6)),0)</f>
        <v/>
      </c>
      <c r="AF6" s="228">
        <f>IF(AND(28&gt;=$NR$6,28&lt;=$NS$6),IF($NP$6="Single_Point",IF(28=$NR$6,$NN$6,0),IF($NP$6="Bell_Curve",$NN$6*(28-$NR$6+1)*($NS$6-28+1)/$NU$6,$NN$6/$NT$6)),0)</f>
        <v/>
      </c>
      <c r="AG6" s="228">
        <f>IF(AND(29&gt;=$NR$6,29&lt;=$NS$6),IF($NP$6="Single_Point",IF(29=$NR$6,$NN$6,0),IF($NP$6="Bell_Curve",$NN$6*(29-$NR$6+1)*($NS$6-29+1)/$NU$6,$NN$6/$NT$6)),0)</f>
        <v/>
      </c>
      <c r="AH6" s="228">
        <f>IF(AND(30&gt;=$NR$6,30&lt;=$NS$6),IF($NP$6="Single_Point",IF(30=$NR$6,$NN$6,0),IF($NP$6="Bell_Curve",$NN$6*(30-$NR$6+1)*($NS$6-30+1)/$NU$6,$NN$6/$NT$6)),0)</f>
        <v/>
      </c>
      <c r="AI6" s="228">
        <f>IF(AND(31&gt;=$NR$6,31&lt;=$NS$6),IF($NP$6="Single_Point",IF(31=$NR$6,$NN$6,0),IF($NP$6="Bell_Curve",$NN$6*(31-$NR$6+1)*($NS$6-31+1)/$NU$6,$NN$6/$NT$6)),0)</f>
        <v/>
      </c>
      <c r="AJ6" s="228">
        <f>IF(AND(32&gt;=$NR$6,32&lt;=$NS$6),IF($NP$6="Single_Point",IF(32=$NR$6,$NN$6,0),IF($NP$6="Bell_Curve",$NN$6*(32-$NR$6+1)*($NS$6-32+1)/$NU$6,$NN$6/$NT$6)),0)</f>
        <v/>
      </c>
      <c r="AK6" s="228">
        <f>IF(AND(33&gt;=$NR$6,33&lt;=$NS$6),IF($NP$6="Single_Point",IF(33=$NR$6,$NN$6,0),IF($NP$6="Bell_Curve",$NN$6*(33-$NR$6+1)*($NS$6-33+1)/$NU$6,$NN$6/$NT$6)),0)</f>
        <v/>
      </c>
      <c r="AL6" s="228">
        <f>IF(AND(34&gt;=$NR$6,34&lt;=$NS$6),IF($NP$6="Single_Point",IF(34=$NR$6,$NN$6,0),IF($NP$6="Bell_Curve",$NN$6*(34-$NR$6+1)*($NS$6-34+1)/$NU$6,$NN$6/$NT$6)),0)</f>
        <v/>
      </c>
      <c r="AM6" s="228">
        <f>IF(AND(35&gt;=$NR$6,35&lt;=$NS$6),IF($NP$6="Single_Point",IF(35=$NR$6,$NN$6,0),IF($NP$6="Bell_Curve",$NN$6*(35-$NR$6+1)*($NS$6-35+1)/$NU$6,$NN$6/$NT$6)),0)</f>
        <v/>
      </c>
      <c r="AN6" s="228">
        <f>IF(AND(36&gt;=$NR$6,36&lt;=$NS$6),IF($NP$6="Single_Point",IF(36=$NR$6,$NN$6,0),IF($NP$6="Bell_Curve",$NN$6*(36-$NR$6+1)*($NS$6-36+1)/$NU$6,$NN$6/$NT$6)),0)</f>
        <v/>
      </c>
      <c r="AO6" s="228">
        <f>IF(AND(37&gt;=$NR$6,37&lt;=$NS$6),IF($NP$6="Single_Point",IF(37=$NR$6,$NN$6,0),IF($NP$6="Bell_Curve",$NN$6*(37-$NR$6+1)*($NS$6-37+1)/$NU$6,$NN$6/$NT$6)),0)</f>
        <v/>
      </c>
      <c r="AP6" s="228">
        <f>IF(AND(38&gt;=$NR$6,38&lt;=$NS$6),IF($NP$6="Single_Point",IF(38=$NR$6,$NN$6,0),IF($NP$6="Bell_Curve",$NN$6*(38-$NR$6+1)*($NS$6-38+1)/$NU$6,$NN$6/$NT$6)),0)</f>
        <v/>
      </c>
      <c r="AQ6" s="228">
        <f>IF(AND(39&gt;=$NR$6,39&lt;=$NS$6),IF($NP$6="Single_Point",IF(39=$NR$6,$NN$6,0),IF($NP$6="Bell_Curve",$NN$6*(39-$NR$6+1)*($NS$6-39+1)/$NU$6,$NN$6/$NT$6)),0)</f>
        <v/>
      </c>
      <c r="AR6" s="228">
        <f>IF(AND(40&gt;=$NR$6,40&lt;=$NS$6),IF($NP$6="Single_Point",IF(40=$NR$6,$NN$6,0),IF($NP$6="Bell_Curve",$NN$6*(40-$NR$6+1)*($NS$6-40+1)/$NU$6,$NN$6/$NT$6)),0)</f>
        <v/>
      </c>
      <c r="AS6" s="228">
        <f>IF(AND(41&gt;=$NR$6,41&lt;=$NS$6),IF($NP$6="Single_Point",IF(41=$NR$6,$NN$6,0),IF($NP$6="Bell_Curve",$NN$6*(41-$NR$6+1)*($NS$6-41+1)/$NU$6,$NN$6/$NT$6)),0)</f>
        <v/>
      </c>
      <c r="AT6" s="228">
        <f>IF(AND(42&gt;=$NR$6,42&lt;=$NS$6),IF($NP$6="Single_Point",IF(42=$NR$6,$NN$6,0),IF($NP$6="Bell_Curve",$NN$6*(42-$NR$6+1)*($NS$6-42+1)/$NU$6,$NN$6/$NT$6)),0)</f>
        <v/>
      </c>
      <c r="AU6" s="228">
        <f>IF(AND(43&gt;=$NR$6,43&lt;=$NS$6),IF($NP$6="Single_Point",IF(43=$NR$6,$NN$6,0),IF($NP$6="Bell_Curve",$NN$6*(43-$NR$6+1)*($NS$6-43+1)/$NU$6,$NN$6/$NT$6)),0)</f>
        <v/>
      </c>
      <c r="AV6" s="228">
        <f>IF(AND(44&gt;=$NR$6,44&lt;=$NS$6),IF($NP$6="Single_Point",IF(44=$NR$6,$NN$6,0),IF($NP$6="Bell_Curve",$NN$6*(44-$NR$6+1)*($NS$6-44+1)/$NU$6,$NN$6/$NT$6)),0)</f>
        <v/>
      </c>
      <c r="AW6" s="228">
        <f>IF(AND(45&gt;=$NR$6,45&lt;=$NS$6),IF($NP$6="Single_Point",IF(45=$NR$6,$NN$6,0),IF($NP$6="Bell_Curve",$NN$6*(45-$NR$6+1)*($NS$6-45+1)/$NU$6,$NN$6/$NT$6)),0)</f>
        <v/>
      </c>
      <c r="AX6" s="228">
        <f>IF(AND(46&gt;=$NR$6,46&lt;=$NS$6),IF($NP$6="Single_Point",IF(46=$NR$6,$NN$6,0),IF($NP$6="Bell_Curve",$NN$6*(46-$NR$6+1)*($NS$6-46+1)/$NU$6,$NN$6/$NT$6)),0)</f>
        <v/>
      </c>
      <c r="AY6" s="228">
        <f>IF(AND(47&gt;=$NR$6,47&lt;=$NS$6),IF($NP$6="Single_Point",IF(47=$NR$6,$NN$6,0),IF($NP$6="Bell_Curve",$NN$6*(47-$NR$6+1)*($NS$6-47+1)/$NU$6,$NN$6/$NT$6)),0)</f>
        <v/>
      </c>
      <c r="AZ6" s="228">
        <f>IF(AND(48&gt;=$NR$6,48&lt;=$NS$6),IF($NP$6="Single_Point",IF(48=$NR$6,$NN$6,0),IF($NP$6="Bell_Curve",$NN$6*(48-$NR$6+1)*($NS$6-48+1)/$NU$6,$NN$6/$NT$6)),0)</f>
        <v/>
      </c>
      <c r="BA6" s="228">
        <f>IF(AND(49&gt;=$NR$6,49&lt;=$NS$6),IF($NP$6="Single_Point",IF(49=$NR$6,$NN$6,0),IF($NP$6="Bell_Curve",$NN$6*(49-$NR$6+1)*($NS$6-49+1)/$NU$6,$NN$6/$NT$6)),0)</f>
        <v/>
      </c>
      <c r="BB6" s="228">
        <f>IF(AND(50&gt;=$NR$6,50&lt;=$NS$6),IF($NP$6="Single_Point",IF(50=$NR$6,$NN$6,0),IF($NP$6="Bell_Curve",$NN$6*(50-$NR$6+1)*($NS$6-50+1)/$NU$6,$NN$6/$NT$6)),0)</f>
        <v/>
      </c>
      <c r="BC6" s="228">
        <f>IF(AND(51&gt;=$NR$6,51&lt;=$NS$6),IF($NP$6="Single_Point",IF(51=$NR$6,$NN$6,0),IF($NP$6="Bell_Curve",$NN$6*(51-$NR$6+1)*($NS$6-51+1)/$NU$6,$NN$6/$NT$6)),0)</f>
        <v/>
      </c>
      <c r="BD6" s="228">
        <f>IF(AND(52&gt;=$NR$6,52&lt;=$NS$6),IF($NP$6="Single_Point",IF(52=$NR$6,$NN$6,0),IF($NP$6="Bell_Curve",$NN$6*(52-$NR$6+1)*($NS$6-52+1)/$NU$6,$NN$6/$NT$6)),0)</f>
        <v/>
      </c>
      <c r="BE6" s="228">
        <f>IF(AND(53&gt;=$NR$6,53&lt;=$NS$6),IF($NP$6="Single_Point",IF(53=$NR$6,$NN$6,0),IF($NP$6="Bell_Curve",$NN$6*(53-$NR$6+1)*($NS$6-53+1)/$NU$6,$NN$6/$NT$6)),0)</f>
        <v/>
      </c>
      <c r="BF6" s="228">
        <f>IF(AND(54&gt;=$NR$6,54&lt;=$NS$6),IF($NP$6="Single_Point",IF(54=$NR$6,$NN$6,0),IF($NP$6="Bell_Curve",$NN$6*(54-$NR$6+1)*($NS$6-54+1)/$NU$6,$NN$6/$NT$6)),0)</f>
        <v/>
      </c>
      <c r="BG6" s="228">
        <f>IF(AND(55&gt;=$NR$6,55&lt;=$NS$6),IF($NP$6="Single_Point",IF(55=$NR$6,$NN$6,0),IF($NP$6="Bell_Curve",$NN$6*(55-$NR$6+1)*($NS$6-55+1)/$NU$6,$NN$6/$NT$6)),0)</f>
        <v/>
      </c>
      <c r="BH6" s="228">
        <f>IF(AND(56&gt;=$NR$6,56&lt;=$NS$6),IF($NP$6="Single_Point",IF(56=$NR$6,$NN$6,0),IF($NP$6="Bell_Curve",$NN$6*(56-$NR$6+1)*($NS$6-56+1)/$NU$6,$NN$6/$NT$6)),0)</f>
        <v/>
      </c>
      <c r="BI6" s="228">
        <f>IF(AND(57&gt;=$NR$6,57&lt;=$NS$6),IF($NP$6="Single_Point",IF(57=$NR$6,$NN$6,0),IF($NP$6="Bell_Curve",$NN$6*(57-$NR$6+1)*($NS$6-57+1)/$NU$6,$NN$6/$NT$6)),0)</f>
        <v/>
      </c>
      <c r="BJ6" s="228">
        <f>IF(AND(58&gt;=$NR$6,58&lt;=$NS$6),IF($NP$6="Single_Point",IF(58=$NR$6,$NN$6,0),IF($NP$6="Bell_Curve",$NN$6*(58-$NR$6+1)*($NS$6-58+1)/$NU$6,$NN$6/$NT$6)),0)</f>
        <v/>
      </c>
      <c r="BK6" s="228">
        <f>IF(AND(59&gt;=$NR$6,59&lt;=$NS$6),IF($NP$6="Single_Point",IF(59=$NR$6,$NN$6,0),IF($NP$6="Bell_Curve",$NN$6*(59-$NR$6+1)*($NS$6-59+1)/$NU$6,$NN$6/$NT$6)),0)</f>
        <v/>
      </c>
      <c r="BL6" s="228">
        <f>IF(AND(60&gt;=$NR$6,60&lt;=$NS$6),IF($NP$6="Single_Point",IF(60=$NR$6,$NN$6,0),IF($NP$6="Bell_Curve",$NN$6*(60-$NR$6+1)*($NS$6-60+1)/$NU$6,$NN$6/$NT$6)),0)</f>
        <v/>
      </c>
      <c r="BM6" s="228">
        <f>IF(AND(61&gt;=$NR$6,61&lt;=$NS$6),IF($NP$6="Single_Point",IF(61=$NR$6,$NN$6,0),IF($NP$6="Bell_Curve",$NN$6*(61-$NR$6+1)*($NS$6-61+1)/$NU$6,$NN$6/$NT$6)),0)</f>
        <v/>
      </c>
      <c r="BN6" s="228">
        <f>IF(AND(62&gt;=$NR$6,62&lt;=$NS$6),IF($NP$6="Single_Point",IF(62=$NR$6,$NN$6,0),IF($NP$6="Bell_Curve",$NN$6*(62-$NR$6+1)*($NS$6-62+1)/$NU$6,$NN$6/$NT$6)),0)</f>
        <v/>
      </c>
      <c r="BO6" s="228">
        <f>IF(AND(63&gt;=$NR$6,63&lt;=$NS$6),IF($NP$6="Single_Point",IF(63=$NR$6,$NN$6,0),IF($NP$6="Bell_Curve",$NN$6*(63-$NR$6+1)*($NS$6-63+1)/$NU$6,$NN$6/$NT$6)),0)</f>
        <v/>
      </c>
      <c r="BP6" s="228">
        <f>IF(AND(64&gt;=$NR$6,64&lt;=$NS$6),IF($NP$6="Single_Point",IF(64=$NR$6,$NN$6,0),IF($NP$6="Bell_Curve",$NN$6*(64-$NR$6+1)*($NS$6-64+1)/$NU$6,$NN$6/$NT$6)),0)</f>
        <v/>
      </c>
      <c r="BQ6" s="228">
        <f>IF(AND(65&gt;=$NR$6,65&lt;=$NS$6),IF($NP$6="Single_Point",IF(65=$NR$6,$NN$6,0),IF($NP$6="Bell_Curve",$NN$6*(65-$NR$6+1)*($NS$6-65+1)/$NU$6,$NN$6/$NT$6)),0)</f>
        <v/>
      </c>
      <c r="BR6" s="228">
        <f>IF(AND(66&gt;=$NR$6,66&lt;=$NS$6),IF($NP$6="Single_Point",IF(66=$NR$6,$NN$6,0),IF($NP$6="Bell_Curve",$NN$6*(66-$NR$6+1)*($NS$6-66+1)/$NU$6,$NN$6/$NT$6)),0)</f>
        <v/>
      </c>
      <c r="BS6" s="228">
        <f>IF(AND(67&gt;=$NR$6,67&lt;=$NS$6),IF($NP$6="Single_Point",IF(67=$NR$6,$NN$6,0),IF($NP$6="Bell_Curve",$NN$6*(67-$NR$6+1)*($NS$6-67+1)/$NU$6,$NN$6/$NT$6)),0)</f>
        <v/>
      </c>
      <c r="BT6" s="228">
        <f>IF(AND(68&gt;=$NR$6,68&lt;=$NS$6),IF($NP$6="Single_Point",IF(68=$NR$6,$NN$6,0),IF($NP$6="Bell_Curve",$NN$6*(68-$NR$6+1)*($NS$6-68+1)/$NU$6,$NN$6/$NT$6)),0)</f>
        <v/>
      </c>
      <c r="BU6" s="228">
        <f>IF(AND(69&gt;=$NR$6,69&lt;=$NS$6),IF($NP$6="Single_Point",IF(69=$NR$6,$NN$6,0),IF($NP$6="Bell_Curve",$NN$6*(69-$NR$6+1)*($NS$6-69+1)/$NU$6,$NN$6/$NT$6)),0)</f>
        <v/>
      </c>
      <c r="BV6" s="228">
        <f>IF(AND(70&gt;=$NR$6,70&lt;=$NS$6),IF($NP$6="Single_Point",IF(70=$NR$6,$NN$6,0),IF($NP$6="Bell_Curve",$NN$6*(70-$NR$6+1)*($NS$6-70+1)/$NU$6,$NN$6/$NT$6)),0)</f>
        <v/>
      </c>
      <c r="BW6" s="228">
        <f>IF(AND(71&gt;=$NR$6,71&lt;=$NS$6),IF($NP$6="Single_Point",IF(71=$NR$6,$NN$6,0),IF($NP$6="Bell_Curve",$NN$6*(71-$NR$6+1)*($NS$6-71+1)/$NU$6,$NN$6/$NT$6)),0)</f>
        <v/>
      </c>
      <c r="BX6" s="228">
        <f>IF(AND(72&gt;=$NR$6,72&lt;=$NS$6),IF($NP$6="Single_Point",IF(72=$NR$6,$NN$6,0),IF($NP$6="Bell_Curve",$NN$6*(72-$NR$6+1)*($NS$6-72+1)/$NU$6,$NN$6/$NT$6)),0)</f>
        <v/>
      </c>
      <c r="BY6" s="228">
        <f>IF(AND(73&gt;=$NR$6,73&lt;=$NS$6),IF($NP$6="Single_Point",IF(73=$NR$6,$NN$6,0),IF($NP$6="Bell_Curve",$NN$6*(73-$NR$6+1)*($NS$6-73+1)/$NU$6,$NN$6/$NT$6)),0)</f>
        <v/>
      </c>
      <c r="BZ6" s="228">
        <f>IF(AND(74&gt;=$NR$6,74&lt;=$NS$6),IF($NP$6="Single_Point",IF(74=$NR$6,$NN$6,0),IF($NP$6="Bell_Curve",$NN$6*(74-$NR$6+1)*($NS$6-74+1)/$NU$6,$NN$6/$NT$6)),0)</f>
        <v/>
      </c>
      <c r="CA6" s="228">
        <f>IF(AND(75&gt;=$NR$6,75&lt;=$NS$6),IF($NP$6="Single_Point",IF(75=$NR$6,$NN$6,0),IF($NP$6="Bell_Curve",$NN$6*(75-$NR$6+1)*($NS$6-75+1)/$NU$6,$NN$6/$NT$6)),0)</f>
        <v/>
      </c>
      <c r="CB6" s="228">
        <f>IF(AND(76&gt;=$NR$6,76&lt;=$NS$6),IF($NP$6="Single_Point",IF(76=$NR$6,$NN$6,0),IF($NP$6="Bell_Curve",$NN$6*(76-$NR$6+1)*($NS$6-76+1)/$NU$6,$NN$6/$NT$6)),0)</f>
        <v/>
      </c>
      <c r="CC6" s="228">
        <f>IF(AND(77&gt;=$NR$6,77&lt;=$NS$6),IF($NP$6="Single_Point",IF(77=$NR$6,$NN$6,0),IF($NP$6="Bell_Curve",$NN$6*(77-$NR$6+1)*($NS$6-77+1)/$NU$6,$NN$6/$NT$6)),0)</f>
        <v/>
      </c>
      <c r="CD6" s="228">
        <f>IF(AND(78&gt;=$NR$6,78&lt;=$NS$6),IF($NP$6="Single_Point",IF(78=$NR$6,$NN$6,0),IF($NP$6="Bell_Curve",$NN$6*(78-$NR$6+1)*($NS$6-78+1)/$NU$6,$NN$6/$NT$6)),0)</f>
        <v/>
      </c>
      <c r="CE6" s="228">
        <f>IF(AND(79&gt;=$NR$6,79&lt;=$NS$6),IF($NP$6="Single_Point",IF(79=$NR$6,$NN$6,0),IF($NP$6="Bell_Curve",$NN$6*(79-$NR$6+1)*($NS$6-79+1)/$NU$6,$NN$6/$NT$6)),0)</f>
        <v/>
      </c>
      <c r="CF6" s="228">
        <f>IF(AND(80&gt;=$NR$6,80&lt;=$NS$6),IF($NP$6="Single_Point",IF(80=$NR$6,$NN$6,0),IF($NP$6="Bell_Curve",$NN$6*(80-$NR$6+1)*($NS$6-80+1)/$NU$6,$NN$6/$NT$6)),0)</f>
        <v/>
      </c>
      <c r="CG6" s="228">
        <f>IF(AND(81&gt;=$NR$6,81&lt;=$NS$6),IF($NP$6="Single_Point",IF(81=$NR$6,$NN$6,0),IF($NP$6="Bell_Curve",$NN$6*(81-$NR$6+1)*($NS$6-81+1)/$NU$6,$NN$6/$NT$6)),0)</f>
        <v/>
      </c>
      <c r="CH6" s="228">
        <f>IF(AND(82&gt;=$NR$6,82&lt;=$NS$6),IF($NP$6="Single_Point",IF(82=$NR$6,$NN$6,0),IF($NP$6="Bell_Curve",$NN$6*(82-$NR$6+1)*($NS$6-82+1)/$NU$6,$NN$6/$NT$6)),0)</f>
        <v/>
      </c>
      <c r="CI6" s="228">
        <f>IF(AND(83&gt;=$NR$6,83&lt;=$NS$6),IF($NP$6="Single_Point",IF(83=$NR$6,$NN$6,0),IF($NP$6="Bell_Curve",$NN$6*(83-$NR$6+1)*($NS$6-83+1)/$NU$6,$NN$6/$NT$6)),0)</f>
        <v/>
      </c>
      <c r="CJ6" s="228">
        <f>IF(AND(84&gt;=$NR$6,84&lt;=$NS$6),IF($NP$6="Single_Point",IF(84=$NR$6,$NN$6,0),IF($NP$6="Bell_Curve",$NN$6*(84-$NR$6+1)*($NS$6-84+1)/$NU$6,$NN$6/$NT$6)),0)</f>
        <v/>
      </c>
      <c r="CK6" s="228">
        <f>IF(AND(85&gt;=$NR$6,85&lt;=$NS$6),IF($NP$6="Single_Point",IF(85=$NR$6,$NN$6,0),IF($NP$6="Bell_Curve",$NN$6*(85-$NR$6+1)*($NS$6-85+1)/$NU$6,$NN$6/$NT$6)),0)</f>
        <v/>
      </c>
      <c r="CL6" s="228">
        <f>IF(AND(86&gt;=$NR$6,86&lt;=$NS$6),IF($NP$6="Single_Point",IF(86=$NR$6,$NN$6,0),IF($NP$6="Bell_Curve",$NN$6*(86-$NR$6+1)*($NS$6-86+1)/$NU$6,$NN$6/$NT$6)),0)</f>
        <v/>
      </c>
      <c r="CM6" s="228">
        <f>IF(AND(87&gt;=$NR$6,87&lt;=$NS$6),IF($NP$6="Single_Point",IF(87=$NR$6,$NN$6,0),IF($NP$6="Bell_Curve",$NN$6*(87-$NR$6+1)*($NS$6-87+1)/$NU$6,$NN$6/$NT$6)),0)</f>
        <v/>
      </c>
      <c r="CN6" s="228">
        <f>IF(AND(88&gt;=$NR$6,88&lt;=$NS$6),IF($NP$6="Single_Point",IF(88=$NR$6,$NN$6,0),IF($NP$6="Bell_Curve",$NN$6*(88-$NR$6+1)*($NS$6-88+1)/$NU$6,$NN$6/$NT$6)),0)</f>
        <v/>
      </c>
      <c r="CO6" s="228">
        <f>IF(AND(89&gt;=$NR$6,89&lt;=$NS$6),IF($NP$6="Single_Point",IF(89=$NR$6,$NN$6,0),IF($NP$6="Bell_Curve",$NN$6*(89-$NR$6+1)*($NS$6-89+1)/$NU$6,$NN$6/$NT$6)),0)</f>
        <v/>
      </c>
      <c r="CP6" s="228">
        <f>IF(AND(90&gt;=$NR$6,90&lt;=$NS$6),IF($NP$6="Single_Point",IF(90=$NR$6,$NN$6,0),IF($NP$6="Bell_Curve",$NN$6*(90-$NR$6+1)*($NS$6-90+1)/$NU$6,$NN$6/$NT$6)),0)</f>
        <v/>
      </c>
      <c r="CQ6" s="228">
        <f>IF(AND(91&gt;=$NR$6,91&lt;=$NS$6),IF($NP$6="Single_Point",IF(91=$NR$6,$NN$6,0),IF($NP$6="Bell_Curve",$NN$6*(91-$NR$6+1)*($NS$6-91+1)/$NU$6,$NN$6/$NT$6)),0)</f>
        <v/>
      </c>
      <c r="CR6" s="228">
        <f>IF(AND(92&gt;=$NR$6,92&lt;=$NS$6),IF($NP$6="Single_Point",IF(92=$NR$6,$NN$6,0),IF($NP$6="Bell_Curve",$NN$6*(92-$NR$6+1)*($NS$6-92+1)/$NU$6,$NN$6/$NT$6)),0)</f>
        <v/>
      </c>
      <c r="CS6" s="228">
        <f>IF(AND(93&gt;=$NR$6,93&lt;=$NS$6),IF($NP$6="Single_Point",IF(93=$NR$6,$NN$6,0),IF($NP$6="Bell_Curve",$NN$6*(93-$NR$6+1)*($NS$6-93+1)/$NU$6,$NN$6/$NT$6)),0)</f>
        <v/>
      </c>
      <c r="CT6" s="228">
        <f>IF(AND(94&gt;=$NR$6,94&lt;=$NS$6),IF($NP$6="Single_Point",IF(94=$NR$6,$NN$6,0),IF($NP$6="Bell_Curve",$NN$6*(94-$NR$6+1)*($NS$6-94+1)/$NU$6,$NN$6/$NT$6)),0)</f>
        <v/>
      </c>
      <c r="CU6" s="228">
        <f>IF(AND(95&gt;=$NR$6,95&lt;=$NS$6),IF($NP$6="Single_Point",IF(95=$NR$6,$NN$6,0),IF($NP$6="Bell_Curve",$NN$6*(95-$NR$6+1)*($NS$6-95+1)/$NU$6,$NN$6/$NT$6)),0)</f>
        <v/>
      </c>
      <c r="CV6" s="228">
        <f>IF(AND(96&gt;=$NR$6,96&lt;=$NS$6),IF($NP$6="Single_Point",IF(96=$NR$6,$NN$6,0),IF($NP$6="Bell_Curve",$NN$6*(96-$NR$6+1)*($NS$6-96+1)/$NU$6,$NN$6/$NT$6)),0)</f>
        <v/>
      </c>
      <c r="CW6" s="228">
        <f>IF(AND(97&gt;=$NR$6,97&lt;=$NS$6),IF($NP$6="Single_Point",IF(97=$NR$6,$NN$6,0),IF($NP$6="Bell_Curve",$NN$6*(97-$NR$6+1)*($NS$6-97+1)/$NU$6,$NN$6/$NT$6)),0)</f>
        <v/>
      </c>
      <c r="CX6" s="228">
        <f>IF(AND(98&gt;=$NR$6,98&lt;=$NS$6),IF($NP$6="Single_Point",IF(98=$NR$6,$NN$6,0),IF($NP$6="Bell_Curve",$NN$6*(98-$NR$6+1)*($NS$6-98+1)/$NU$6,$NN$6/$NT$6)),0)</f>
        <v/>
      </c>
      <c r="CY6" s="228">
        <f>IF(AND(99&gt;=$NR$6,99&lt;=$NS$6),IF($NP$6="Single_Point",IF(99=$NR$6,$NN$6,0),IF($NP$6="Bell_Curve",$NN$6*(99-$NR$6+1)*($NS$6-99+1)/$NU$6,$NN$6/$NT$6)),0)</f>
        <v/>
      </c>
      <c r="CZ6" s="228">
        <f>IF(AND(100&gt;=$NR$6,100&lt;=$NS$6),IF($NP$6="Single_Point",IF(100=$NR$6,$NN$6,0),IF($NP$6="Bell_Curve",$NN$6*(100-$NR$6+1)*($NS$6-100+1)/$NU$6,$NN$6/$NT$6)),0)</f>
        <v/>
      </c>
      <c r="DA6" s="228">
        <f>IF(AND(101&gt;=$NR$6,101&lt;=$NS$6),IF($NP$6="Single_Point",IF(101=$NR$6,$NN$6,0),IF($NP$6="Bell_Curve",$NN$6*(101-$NR$6+1)*($NS$6-101+1)/$NU$6,$NN$6/$NT$6)),0)</f>
        <v/>
      </c>
      <c r="DB6" s="228">
        <f>IF(AND(102&gt;=$NR$6,102&lt;=$NS$6),IF($NP$6="Single_Point",IF(102=$NR$6,$NN$6,0),IF($NP$6="Bell_Curve",$NN$6*(102-$NR$6+1)*($NS$6-102+1)/$NU$6,$NN$6/$NT$6)),0)</f>
        <v/>
      </c>
      <c r="DC6" s="228">
        <f>IF(AND(103&gt;=$NR$6,103&lt;=$NS$6),IF($NP$6="Single_Point",IF(103=$NR$6,$NN$6,0),IF($NP$6="Bell_Curve",$NN$6*(103-$NR$6+1)*($NS$6-103+1)/$NU$6,$NN$6/$NT$6)),0)</f>
        <v/>
      </c>
      <c r="DD6" s="228">
        <f>IF(AND(104&gt;=$NR$6,104&lt;=$NS$6),IF($NP$6="Single_Point",IF(104=$NR$6,$NN$6,0),IF($NP$6="Bell_Curve",$NN$6*(104-$NR$6+1)*($NS$6-104+1)/$NU$6,$NN$6/$NT$6)),0)</f>
        <v/>
      </c>
      <c r="DE6" s="228">
        <f>IF(AND(105&gt;=$NR$6,105&lt;=$NS$6),IF($NP$6="Single_Point",IF(105=$NR$6,$NN$6,0),IF($NP$6="Bell_Curve",$NN$6*(105-$NR$6+1)*($NS$6-105+1)/$NU$6,$NN$6/$NT$6)),0)</f>
        <v/>
      </c>
      <c r="DF6" s="228">
        <f>IF(AND(106&gt;=$NR$6,106&lt;=$NS$6),IF($NP$6="Single_Point",IF(106=$NR$6,$NN$6,0),IF($NP$6="Bell_Curve",$NN$6*(106-$NR$6+1)*($NS$6-106+1)/$NU$6,$NN$6/$NT$6)),0)</f>
        <v/>
      </c>
      <c r="DG6" s="228">
        <f>IF(AND(107&gt;=$NR$6,107&lt;=$NS$6),IF($NP$6="Single_Point",IF(107=$NR$6,$NN$6,0),IF($NP$6="Bell_Curve",$NN$6*(107-$NR$6+1)*($NS$6-107+1)/$NU$6,$NN$6/$NT$6)),0)</f>
        <v/>
      </c>
      <c r="DH6" s="228">
        <f>IF(AND(108&gt;=$NR$6,108&lt;=$NS$6),IF($NP$6="Single_Point",IF(108=$NR$6,$NN$6,0),IF($NP$6="Bell_Curve",$NN$6*(108-$NR$6+1)*($NS$6-108+1)/$NU$6,$NN$6/$NT$6)),0)</f>
        <v/>
      </c>
      <c r="DI6" s="228">
        <f>IF(AND(109&gt;=$NR$6,109&lt;=$NS$6),IF($NP$6="Single_Point",IF(109=$NR$6,$NN$6,0),IF($NP$6="Bell_Curve",$NN$6*(109-$NR$6+1)*($NS$6-109+1)/$NU$6,$NN$6/$NT$6)),0)</f>
        <v/>
      </c>
      <c r="DJ6" s="228">
        <f>IF(AND(110&gt;=$NR$6,110&lt;=$NS$6),IF($NP$6="Single_Point",IF(110=$NR$6,$NN$6,0),IF($NP$6="Bell_Curve",$NN$6*(110-$NR$6+1)*($NS$6-110+1)/$NU$6,$NN$6/$NT$6)),0)</f>
        <v/>
      </c>
      <c r="DK6" s="228">
        <f>IF(AND(111&gt;=$NR$6,111&lt;=$NS$6),IF($NP$6="Single_Point",IF(111=$NR$6,$NN$6,0),IF($NP$6="Bell_Curve",$NN$6*(111-$NR$6+1)*($NS$6-111+1)/$NU$6,$NN$6/$NT$6)),0)</f>
        <v/>
      </c>
      <c r="DL6" s="228">
        <f>IF(AND(112&gt;=$NR$6,112&lt;=$NS$6),IF($NP$6="Single_Point",IF(112=$NR$6,$NN$6,0),IF($NP$6="Bell_Curve",$NN$6*(112-$NR$6+1)*($NS$6-112+1)/$NU$6,$NN$6/$NT$6)),0)</f>
        <v/>
      </c>
      <c r="DM6" s="228">
        <f>IF(AND(113&gt;=$NR$6,113&lt;=$NS$6),IF($NP$6="Single_Point",IF(113=$NR$6,$NN$6,0),IF($NP$6="Bell_Curve",$NN$6*(113-$NR$6+1)*($NS$6-113+1)/$NU$6,$NN$6/$NT$6)),0)</f>
        <v/>
      </c>
      <c r="DN6" s="228">
        <f>IF(AND(114&gt;=$NR$6,114&lt;=$NS$6),IF($NP$6="Single_Point",IF(114=$NR$6,$NN$6,0),IF($NP$6="Bell_Curve",$NN$6*(114-$NR$6+1)*($NS$6-114+1)/$NU$6,$NN$6/$NT$6)),0)</f>
        <v/>
      </c>
      <c r="DO6" s="228">
        <f>IF(AND(115&gt;=$NR$6,115&lt;=$NS$6),IF($NP$6="Single_Point",IF(115=$NR$6,$NN$6,0),IF($NP$6="Bell_Curve",$NN$6*(115-$NR$6+1)*($NS$6-115+1)/$NU$6,$NN$6/$NT$6)),0)</f>
        <v/>
      </c>
      <c r="DP6" s="228">
        <f>IF(AND(116&gt;=$NR$6,116&lt;=$NS$6),IF($NP$6="Single_Point",IF(116=$NR$6,$NN$6,0),IF($NP$6="Bell_Curve",$NN$6*(116-$NR$6+1)*($NS$6-116+1)/$NU$6,$NN$6/$NT$6)),0)</f>
        <v/>
      </c>
      <c r="DQ6" s="228">
        <f>IF(AND(117&gt;=$NR$6,117&lt;=$NS$6),IF($NP$6="Single_Point",IF(117=$NR$6,$NN$6,0),IF($NP$6="Bell_Curve",$NN$6*(117-$NR$6+1)*($NS$6-117+1)/$NU$6,$NN$6/$NT$6)),0)</f>
        <v/>
      </c>
      <c r="DR6" s="228">
        <f>IF(AND(118&gt;=$NR$6,118&lt;=$NS$6),IF($NP$6="Single_Point",IF(118=$NR$6,$NN$6,0),IF($NP$6="Bell_Curve",$NN$6*(118-$NR$6+1)*($NS$6-118+1)/$NU$6,$NN$6/$NT$6)),0)</f>
        <v/>
      </c>
      <c r="DS6" s="228">
        <f>IF(AND(119&gt;=$NR$6,119&lt;=$NS$6),IF($NP$6="Single_Point",IF(119=$NR$6,$NN$6,0),IF($NP$6="Bell_Curve",$NN$6*(119-$NR$6+1)*($NS$6-119+1)/$NU$6,$NN$6/$NT$6)),0)</f>
        <v/>
      </c>
      <c r="DT6" s="228">
        <f>IF(AND(120&gt;=$NR$6,120&lt;=$NS$6),IF($NP$6="Single_Point",IF(120=$NR$6,$NN$6,0),IF($NP$6="Bell_Curve",$NN$6*(120-$NR$6+1)*($NS$6-120+1)/$NU$6,$NN$6/$NT$6)),0)</f>
        <v/>
      </c>
      <c r="DU6" s="228">
        <f>IF(AND(121&gt;=$NR$6,121&lt;=$NS$6),IF($NP$6="Single_Point",IF(121=$NR$6,$NN$6,0),IF($NP$6="Bell_Curve",$NN$6*(121-$NR$6+1)*($NS$6-121+1)/$NU$6,$NN$6/$NT$6)),0)</f>
        <v/>
      </c>
      <c r="DV6" s="228">
        <f>IF(AND(122&gt;=$NR$6,122&lt;=$NS$6),IF($NP$6="Single_Point",IF(122=$NR$6,$NN$6,0),IF($NP$6="Bell_Curve",$NN$6*(122-$NR$6+1)*($NS$6-122+1)/$NU$6,$NN$6/$NT$6)),0)</f>
        <v/>
      </c>
      <c r="DW6" s="228">
        <f>IF(AND(123&gt;=$NR$6,123&lt;=$NS$6),IF($NP$6="Single_Point",IF(123=$NR$6,$NN$6,0),IF($NP$6="Bell_Curve",$NN$6*(123-$NR$6+1)*($NS$6-123+1)/$NU$6,$NN$6/$NT$6)),0)</f>
        <v/>
      </c>
      <c r="DX6" s="228">
        <f>IF(AND(124&gt;=$NR$6,124&lt;=$NS$6),IF($NP$6="Single_Point",IF(124=$NR$6,$NN$6,0),IF($NP$6="Bell_Curve",$NN$6*(124-$NR$6+1)*($NS$6-124+1)/$NU$6,$NN$6/$NT$6)),0)</f>
        <v/>
      </c>
      <c r="DY6" s="228">
        <f>IF(AND(125&gt;=$NR$6,125&lt;=$NS$6),IF($NP$6="Single_Point",IF(125=$NR$6,$NN$6,0),IF($NP$6="Bell_Curve",$NN$6*(125-$NR$6+1)*($NS$6-125+1)/$NU$6,$NN$6/$NT$6)),0)</f>
        <v/>
      </c>
      <c r="DZ6" s="228">
        <f>IF(AND(126&gt;=$NR$6,126&lt;=$NS$6),IF($NP$6="Single_Point",IF(126=$NR$6,$NN$6,0),IF($NP$6="Bell_Curve",$NN$6*(126-$NR$6+1)*($NS$6-126+1)/$NU$6,$NN$6/$NT$6)),0)</f>
        <v/>
      </c>
      <c r="EA6" s="228">
        <f>IF(AND(127&gt;=$NR$6,127&lt;=$NS$6),IF($NP$6="Single_Point",IF(127=$NR$6,$NN$6,0),IF($NP$6="Bell_Curve",$NN$6*(127-$NR$6+1)*($NS$6-127+1)/$NU$6,$NN$6/$NT$6)),0)</f>
        <v/>
      </c>
      <c r="EB6" s="228">
        <f>IF(AND(128&gt;=$NR$6,128&lt;=$NS$6),IF($NP$6="Single_Point",IF(128=$NR$6,$NN$6,0),IF($NP$6="Bell_Curve",$NN$6*(128-$NR$6+1)*($NS$6-128+1)/$NU$6,$NN$6/$NT$6)),0)</f>
        <v/>
      </c>
      <c r="EC6" s="228">
        <f>IF(AND(129&gt;=$NR$6,129&lt;=$NS$6),IF($NP$6="Single_Point",IF(129=$NR$6,$NN$6,0),IF($NP$6="Bell_Curve",$NN$6*(129-$NR$6+1)*($NS$6-129+1)/$NU$6,$NN$6/$NT$6)),0)</f>
        <v/>
      </c>
      <c r="ED6" s="228">
        <f>IF(AND(130&gt;=$NR$6,130&lt;=$NS$6),IF($NP$6="Single_Point",IF(130=$NR$6,$NN$6,0),IF($NP$6="Bell_Curve",$NN$6*(130-$NR$6+1)*($NS$6-130+1)/$NU$6,$NN$6/$NT$6)),0)</f>
        <v/>
      </c>
      <c r="EE6" s="228">
        <f>IF(AND(131&gt;=$NR$6,131&lt;=$NS$6),IF($NP$6="Single_Point",IF(131=$NR$6,$NN$6,0),IF($NP$6="Bell_Curve",$NN$6*(131-$NR$6+1)*($NS$6-131+1)/$NU$6,$NN$6/$NT$6)),0)</f>
        <v/>
      </c>
      <c r="EF6" s="228">
        <f>IF(AND(132&gt;=$NR$6,132&lt;=$NS$6),IF($NP$6="Single_Point",IF(132=$NR$6,$NN$6,0),IF($NP$6="Bell_Curve",$NN$6*(132-$NR$6+1)*($NS$6-132+1)/$NU$6,$NN$6/$NT$6)),0)</f>
        <v/>
      </c>
      <c r="EG6" s="228">
        <f>IF(AND(133&gt;=$NR$6,133&lt;=$NS$6),IF($NP$6="Single_Point",IF(133=$NR$6,$NN$6,0),IF($NP$6="Bell_Curve",$NN$6*(133-$NR$6+1)*($NS$6-133+1)/$NU$6,$NN$6/$NT$6)),0)</f>
        <v/>
      </c>
      <c r="EH6" s="228">
        <f>IF(AND(134&gt;=$NR$6,134&lt;=$NS$6),IF($NP$6="Single_Point",IF(134=$NR$6,$NN$6,0),IF($NP$6="Bell_Curve",$NN$6*(134-$NR$6+1)*($NS$6-134+1)/$NU$6,$NN$6/$NT$6)),0)</f>
        <v/>
      </c>
      <c r="EI6" s="228">
        <f>IF(AND(135&gt;=$NR$6,135&lt;=$NS$6),IF($NP$6="Single_Point",IF(135=$NR$6,$NN$6,0),IF($NP$6="Bell_Curve",$NN$6*(135-$NR$6+1)*($NS$6-135+1)/$NU$6,$NN$6/$NT$6)),0)</f>
        <v/>
      </c>
      <c r="EJ6" s="228">
        <f>IF(AND(136&gt;=$NR$6,136&lt;=$NS$6),IF($NP$6="Single_Point",IF(136=$NR$6,$NN$6,0),IF($NP$6="Bell_Curve",$NN$6*(136-$NR$6+1)*($NS$6-136+1)/$NU$6,$NN$6/$NT$6)),0)</f>
        <v/>
      </c>
      <c r="EK6" s="228">
        <f>IF(AND(137&gt;=$NR$6,137&lt;=$NS$6),IF($NP$6="Single_Point",IF(137=$NR$6,$NN$6,0),IF($NP$6="Bell_Curve",$NN$6*(137-$NR$6+1)*($NS$6-137+1)/$NU$6,$NN$6/$NT$6)),0)</f>
        <v/>
      </c>
      <c r="EL6" s="228">
        <f>IF(AND(138&gt;=$NR$6,138&lt;=$NS$6),IF($NP$6="Single_Point",IF(138=$NR$6,$NN$6,0),IF($NP$6="Bell_Curve",$NN$6*(138-$NR$6+1)*($NS$6-138+1)/$NU$6,$NN$6/$NT$6)),0)</f>
        <v/>
      </c>
      <c r="EM6" s="228">
        <f>IF(AND(139&gt;=$NR$6,139&lt;=$NS$6),IF($NP$6="Single_Point",IF(139=$NR$6,$NN$6,0),IF($NP$6="Bell_Curve",$NN$6*(139-$NR$6+1)*($NS$6-139+1)/$NU$6,$NN$6/$NT$6)),0)</f>
        <v/>
      </c>
      <c r="EN6" s="228">
        <f>IF(AND(140&gt;=$NR$6,140&lt;=$NS$6),IF($NP$6="Single_Point",IF(140=$NR$6,$NN$6,0),IF($NP$6="Bell_Curve",$NN$6*(140-$NR$6+1)*($NS$6-140+1)/$NU$6,$NN$6/$NT$6)),0)</f>
        <v/>
      </c>
      <c r="EO6" s="228">
        <f>IF(AND(141&gt;=$NR$6,141&lt;=$NS$6),IF($NP$6="Single_Point",IF(141=$NR$6,$NN$6,0),IF($NP$6="Bell_Curve",$NN$6*(141-$NR$6+1)*($NS$6-141+1)/$NU$6,$NN$6/$NT$6)),0)</f>
        <v/>
      </c>
      <c r="EP6" s="228">
        <f>IF(AND(142&gt;=$NR$6,142&lt;=$NS$6),IF($NP$6="Single_Point",IF(142=$NR$6,$NN$6,0),IF($NP$6="Bell_Curve",$NN$6*(142-$NR$6+1)*($NS$6-142+1)/$NU$6,$NN$6/$NT$6)),0)</f>
        <v/>
      </c>
      <c r="EQ6" s="228">
        <f>IF(AND(143&gt;=$NR$6,143&lt;=$NS$6),IF($NP$6="Single_Point",IF(143=$NR$6,$NN$6,0),IF($NP$6="Bell_Curve",$NN$6*(143-$NR$6+1)*($NS$6-143+1)/$NU$6,$NN$6/$NT$6)),0)</f>
        <v/>
      </c>
      <c r="ER6" s="228">
        <f>IF(AND(144&gt;=$NR$6,144&lt;=$NS$6),IF($NP$6="Single_Point",IF(144=$NR$6,$NN$6,0),IF($NP$6="Bell_Curve",$NN$6*(144-$NR$6+1)*($NS$6-144+1)/$NU$6,$NN$6/$NT$6)),0)</f>
        <v/>
      </c>
      <c r="ES6" s="228">
        <f>IF(AND(145&gt;=$NR$6,145&lt;=$NS$6),IF($NP$6="Single_Point",IF(145=$NR$6,$NN$6,0),IF($NP$6="Bell_Curve",$NN$6*(145-$NR$6+1)*($NS$6-145+1)/$NU$6,$NN$6/$NT$6)),0)</f>
        <v/>
      </c>
      <c r="ET6" s="228">
        <f>IF(AND(146&gt;=$NR$6,146&lt;=$NS$6),IF($NP$6="Single_Point",IF(146=$NR$6,$NN$6,0),IF($NP$6="Bell_Curve",$NN$6*(146-$NR$6+1)*($NS$6-146+1)/$NU$6,$NN$6/$NT$6)),0)</f>
        <v/>
      </c>
      <c r="EU6" s="228">
        <f>IF(AND(147&gt;=$NR$6,147&lt;=$NS$6),IF($NP$6="Single_Point",IF(147=$NR$6,$NN$6,0),IF($NP$6="Bell_Curve",$NN$6*(147-$NR$6+1)*($NS$6-147+1)/$NU$6,$NN$6/$NT$6)),0)</f>
        <v/>
      </c>
      <c r="EV6" s="228">
        <f>IF(AND(148&gt;=$NR$6,148&lt;=$NS$6),IF($NP$6="Single_Point",IF(148=$NR$6,$NN$6,0),IF($NP$6="Bell_Curve",$NN$6*(148-$NR$6+1)*($NS$6-148+1)/$NU$6,$NN$6/$NT$6)),0)</f>
        <v/>
      </c>
      <c r="EW6" s="228">
        <f>IF(AND(149&gt;=$NR$6,149&lt;=$NS$6),IF($NP$6="Single_Point",IF(149=$NR$6,$NN$6,0),IF($NP$6="Bell_Curve",$NN$6*(149-$NR$6+1)*($NS$6-149+1)/$NU$6,$NN$6/$NT$6)),0)</f>
        <v/>
      </c>
      <c r="EX6" s="228">
        <f>IF(AND(150&gt;=$NR$6,150&lt;=$NS$6),IF($NP$6="Single_Point",IF(150=$NR$6,$NN$6,0),IF($NP$6="Bell_Curve",$NN$6*(150-$NR$6+1)*($NS$6-150+1)/$NU$6,$NN$6/$NT$6)),0)</f>
        <v/>
      </c>
      <c r="EY6" s="228">
        <f>IF(AND(151&gt;=$NR$6,151&lt;=$NS$6),IF($NP$6="Single_Point",IF(151=$NR$6,$NN$6,0),IF($NP$6="Bell_Curve",$NN$6*(151-$NR$6+1)*($NS$6-151+1)/$NU$6,$NN$6/$NT$6)),0)</f>
        <v/>
      </c>
      <c r="EZ6" s="228">
        <f>IF(AND(152&gt;=$NR$6,152&lt;=$NS$6),IF($NP$6="Single_Point",IF(152=$NR$6,$NN$6,0),IF($NP$6="Bell_Curve",$NN$6*(152-$NR$6+1)*($NS$6-152+1)/$NU$6,$NN$6/$NT$6)),0)</f>
        <v/>
      </c>
      <c r="FA6" s="228">
        <f>IF(AND(153&gt;=$NR$6,153&lt;=$NS$6),IF($NP$6="Single_Point",IF(153=$NR$6,$NN$6,0),IF($NP$6="Bell_Curve",$NN$6*(153-$NR$6+1)*($NS$6-153+1)/$NU$6,$NN$6/$NT$6)),0)</f>
        <v/>
      </c>
      <c r="FB6" s="228">
        <f>IF(AND(154&gt;=$NR$6,154&lt;=$NS$6),IF($NP$6="Single_Point",IF(154=$NR$6,$NN$6,0),IF($NP$6="Bell_Curve",$NN$6*(154-$NR$6+1)*($NS$6-154+1)/$NU$6,$NN$6/$NT$6)),0)</f>
        <v/>
      </c>
      <c r="FC6" s="228">
        <f>IF(AND(155&gt;=$NR$6,155&lt;=$NS$6),IF($NP$6="Single_Point",IF(155=$NR$6,$NN$6,0),IF($NP$6="Bell_Curve",$NN$6*(155-$NR$6+1)*($NS$6-155+1)/$NU$6,$NN$6/$NT$6)),0)</f>
        <v/>
      </c>
      <c r="FD6" s="228">
        <f>IF(AND(156&gt;=$NR$6,156&lt;=$NS$6),IF($NP$6="Single_Point",IF(156=$NR$6,$NN$6,0),IF($NP$6="Bell_Curve",$NN$6*(156-$NR$6+1)*($NS$6-156+1)/$NU$6,$NN$6/$NT$6)),0)</f>
        <v/>
      </c>
      <c r="FE6" s="228">
        <f>IF(AND(157&gt;=$NR$6,157&lt;=$NS$6),IF($NP$6="Single_Point",IF(157=$NR$6,$NN$6,0),IF($NP$6="Bell_Curve",$NN$6*(157-$NR$6+1)*($NS$6-157+1)/$NU$6,$NN$6/$NT$6)),0)</f>
        <v/>
      </c>
      <c r="FF6" s="228">
        <f>IF(AND(158&gt;=$NR$6,158&lt;=$NS$6),IF($NP$6="Single_Point",IF(158=$NR$6,$NN$6,0),IF($NP$6="Bell_Curve",$NN$6*(158-$NR$6+1)*($NS$6-158+1)/$NU$6,$NN$6/$NT$6)),0)</f>
        <v/>
      </c>
      <c r="FG6" s="228">
        <f>IF(AND(159&gt;=$NR$6,159&lt;=$NS$6),IF($NP$6="Single_Point",IF(159=$NR$6,$NN$6,0),IF($NP$6="Bell_Curve",$NN$6*(159-$NR$6+1)*($NS$6-159+1)/$NU$6,$NN$6/$NT$6)),0)</f>
        <v/>
      </c>
      <c r="FH6" s="228">
        <f>IF(AND(160&gt;=$NR$6,160&lt;=$NS$6),IF($NP$6="Single_Point",IF(160=$NR$6,$NN$6,0),IF($NP$6="Bell_Curve",$NN$6*(160-$NR$6+1)*($NS$6-160+1)/$NU$6,$NN$6/$NT$6)),0)</f>
        <v/>
      </c>
      <c r="FI6" s="228">
        <f>IF(AND(161&gt;=$NR$6,161&lt;=$NS$6),IF($NP$6="Single_Point",IF(161=$NR$6,$NN$6,0),IF($NP$6="Bell_Curve",$NN$6*(161-$NR$6+1)*($NS$6-161+1)/$NU$6,$NN$6/$NT$6)),0)</f>
        <v/>
      </c>
      <c r="FJ6" s="228">
        <f>IF(AND(162&gt;=$NR$6,162&lt;=$NS$6),IF($NP$6="Single_Point",IF(162=$NR$6,$NN$6,0),IF($NP$6="Bell_Curve",$NN$6*(162-$NR$6+1)*($NS$6-162+1)/$NU$6,$NN$6/$NT$6)),0)</f>
        <v/>
      </c>
      <c r="FK6" s="228">
        <f>IF(AND(163&gt;=$NR$6,163&lt;=$NS$6),IF($NP$6="Single_Point",IF(163=$NR$6,$NN$6,0),IF($NP$6="Bell_Curve",$NN$6*(163-$NR$6+1)*($NS$6-163+1)/$NU$6,$NN$6/$NT$6)),0)</f>
        <v/>
      </c>
      <c r="FL6" s="228">
        <f>IF(AND(164&gt;=$NR$6,164&lt;=$NS$6),IF($NP$6="Single_Point",IF(164=$NR$6,$NN$6,0),IF($NP$6="Bell_Curve",$NN$6*(164-$NR$6+1)*($NS$6-164+1)/$NU$6,$NN$6/$NT$6)),0)</f>
        <v/>
      </c>
      <c r="FM6" s="228">
        <f>IF(AND(165&gt;=$NR$6,165&lt;=$NS$6),IF($NP$6="Single_Point",IF(165=$NR$6,$NN$6,0),IF($NP$6="Bell_Curve",$NN$6*(165-$NR$6+1)*($NS$6-165+1)/$NU$6,$NN$6/$NT$6)),0)</f>
        <v/>
      </c>
      <c r="FN6" s="228">
        <f>IF(AND(166&gt;=$NR$6,166&lt;=$NS$6),IF($NP$6="Single_Point",IF(166=$NR$6,$NN$6,0),IF($NP$6="Bell_Curve",$NN$6*(166-$NR$6+1)*($NS$6-166+1)/$NU$6,$NN$6/$NT$6)),0)</f>
        <v/>
      </c>
      <c r="FO6" s="228">
        <f>IF(AND(167&gt;=$NR$6,167&lt;=$NS$6),IF($NP$6="Single_Point",IF(167=$NR$6,$NN$6,0),IF($NP$6="Bell_Curve",$NN$6*(167-$NR$6+1)*($NS$6-167+1)/$NU$6,$NN$6/$NT$6)),0)</f>
        <v/>
      </c>
      <c r="FP6" s="228">
        <f>IF(AND(168&gt;=$NR$6,168&lt;=$NS$6),IF($NP$6="Single_Point",IF(168=$NR$6,$NN$6,0),IF($NP$6="Bell_Curve",$NN$6*(168-$NR$6+1)*($NS$6-168+1)/$NU$6,$NN$6/$NT$6)),0)</f>
        <v/>
      </c>
      <c r="FQ6" s="228">
        <f>IF(AND(169&gt;=$NR$6,169&lt;=$NS$6),IF($NP$6="Single_Point",IF(169=$NR$6,$NN$6,0),IF($NP$6="Bell_Curve",$NN$6*(169-$NR$6+1)*($NS$6-169+1)/$NU$6,$NN$6/$NT$6)),0)</f>
        <v/>
      </c>
      <c r="FR6" s="228">
        <f>IF(AND(170&gt;=$NR$6,170&lt;=$NS$6),IF($NP$6="Single_Point",IF(170=$NR$6,$NN$6,0),IF($NP$6="Bell_Curve",$NN$6*(170-$NR$6+1)*($NS$6-170+1)/$NU$6,$NN$6/$NT$6)),0)</f>
        <v/>
      </c>
      <c r="FS6" s="228">
        <f>IF(AND(171&gt;=$NR$6,171&lt;=$NS$6),IF($NP$6="Single_Point",IF(171=$NR$6,$NN$6,0),IF($NP$6="Bell_Curve",$NN$6*(171-$NR$6+1)*($NS$6-171+1)/$NU$6,$NN$6/$NT$6)),0)</f>
        <v/>
      </c>
      <c r="FT6" s="228">
        <f>IF(AND(172&gt;=$NR$6,172&lt;=$NS$6),IF($NP$6="Single_Point",IF(172=$NR$6,$NN$6,0),IF($NP$6="Bell_Curve",$NN$6*(172-$NR$6+1)*($NS$6-172+1)/$NU$6,$NN$6/$NT$6)),0)</f>
        <v/>
      </c>
      <c r="FU6" s="228">
        <f>IF(AND(173&gt;=$NR$6,173&lt;=$NS$6),IF($NP$6="Single_Point",IF(173=$NR$6,$NN$6,0),IF($NP$6="Bell_Curve",$NN$6*(173-$NR$6+1)*($NS$6-173+1)/$NU$6,$NN$6/$NT$6)),0)</f>
        <v/>
      </c>
      <c r="FV6" s="228">
        <f>IF(AND(174&gt;=$NR$6,174&lt;=$NS$6),IF($NP$6="Single_Point",IF(174=$NR$6,$NN$6,0),IF($NP$6="Bell_Curve",$NN$6*(174-$NR$6+1)*($NS$6-174+1)/$NU$6,$NN$6/$NT$6)),0)</f>
        <v/>
      </c>
      <c r="FW6" s="228">
        <f>IF(AND(175&gt;=$NR$6,175&lt;=$NS$6),IF($NP$6="Single_Point",IF(175=$NR$6,$NN$6,0),IF($NP$6="Bell_Curve",$NN$6*(175-$NR$6+1)*($NS$6-175+1)/$NU$6,$NN$6/$NT$6)),0)</f>
        <v/>
      </c>
      <c r="FX6" s="228">
        <f>IF(AND(176&gt;=$NR$6,176&lt;=$NS$6),IF($NP$6="Single_Point",IF(176=$NR$6,$NN$6,0),IF($NP$6="Bell_Curve",$NN$6*(176-$NR$6+1)*($NS$6-176+1)/$NU$6,$NN$6/$NT$6)),0)</f>
        <v/>
      </c>
      <c r="FY6" s="228">
        <f>IF(AND(177&gt;=$NR$6,177&lt;=$NS$6),IF($NP$6="Single_Point",IF(177=$NR$6,$NN$6,0),IF($NP$6="Bell_Curve",$NN$6*(177-$NR$6+1)*($NS$6-177+1)/$NU$6,$NN$6/$NT$6)),0)</f>
        <v/>
      </c>
      <c r="FZ6" s="228">
        <f>IF(AND(178&gt;=$NR$6,178&lt;=$NS$6),IF($NP$6="Single_Point",IF(178=$NR$6,$NN$6,0),IF($NP$6="Bell_Curve",$NN$6*(178-$NR$6+1)*($NS$6-178+1)/$NU$6,$NN$6/$NT$6)),0)</f>
        <v/>
      </c>
      <c r="GA6" s="228">
        <f>IF(AND(179&gt;=$NR$6,179&lt;=$NS$6),IF($NP$6="Single_Point",IF(179=$NR$6,$NN$6,0),IF($NP$6="Bell_Curve",$NN$6*(179-$NR$6+1)*($NS$6-179+1)/$NU$6,$NN$6/$NT$6)),0)</f>
        <v/>
      </c>
      <c r="GB6" s="228">
        <f>IF(AND(180&gt;=$NR$6,180&lt;=$NS$6),IF($NP$6="Single_Point",IF(180=$NR$6,$NN$6,0),IF($NP$6="Bell_Curve",$NN$6*(180-$NR$6+1)*($NS$6-180+1)/$NU$6,$NN$6/$NT$6)),0)</f>
        <v/>
      </c>
      <c r="GC6" s="228">
        <f>IF(AND(181&gt;=$NR$6,181&lt;=$NS$6),IF($NP$6="Single_Point",IF(181=$NR$6,$NN$6,0),IF($NP$6="Bell_Curve",$NN$6*(181-$NR$6+1)*($NS$6-181+1)/$NU$6,$NN$6/$NT$6)),0)</f>
        <v/>
      </c>
      <c r="GD6" s="228">
        <f>IF(AND(182&gt;=$NR$6,182&lt;=$NS$6),IF($NP$6="Single_Point",IF(182=$NR$6,$NN$6,0),IF($NP$6="Bell_Curve",$NN$6*(182-$NR$6+1)*($NS$6-182+1)/$NU$6,$NN$6/$NT$6)),0)</f>
        <v/>
      </c>
      <c r="GE6" s="228">
        <f>IF(AND(183&gt;=$NR$6,183&lt;=$NS$6),IF($NP$6="Single_Point",IF(183=$NR$6,$NN$6,0),IF($NP$6="Bell_Curve",$NN$6*(183-$NR$6+1)*($NS$6-183+1)/$NU$6,$NN$6/$NT$6)),0)</f>
        <v/>
      </c>
      <c r="GF6" s="228">
        <f>IF(AND(184&gt;=$NR$6,184&lt;=$NS$6),IF($NP$6="Single_Point",IF(184=$NR$6,$NN$6,0),IF($NP$6="Bell_Curve",$NN$6*(184-$NR$6+1)*($NS$6-184+1)/$NU$6,$NN$6/$NT$6)),0)</f>
        <v/>
      </c>
      <c r="GG6" s="228">
        <f>IF(AND(185&gt;=$NR$6,185&lt;=$NS$6),IF($NP$6="Single_Point",IF(185=$NR$6,$NN$6,0),IF($NP$6="Bell_Curve",$NN$6*(185-$NR$6+1)*($NS$6-185+1)/$NU$6,$NN$6/$NT$6)),0)</f>
        <v/>
      </c>
      <c r="GH6" s="228">
        <f>IF(AND(186&gt;=$NR$6,186&lt;=$NS$6),IF($NP$6="Single_Point",IF(186=$NR$6,$NN$6,0),IF($NP$6="Bell_Curve",$NN$6*(186-$NR$6+1)*($NS$6-186+1)/$NU$6,$NN$6/$NT$6)),0)</f>
        <v/>
      </c>
      <c r="GI6" s="228">
        <f>IF(AND(187&gt;=$NR$6,187&lt;=$NS$6),IF($NP$6="Single_Point",IF(187=$NR$6,$NN$6,0),IF($NP$6="Bell_Curve",$NN$6*(187-$NR$6+1)*($NS$6-187+1)/$NU$6,$NN$6/$NT$6)),0)</f>
        <v/>
      </c>
      <c r="GJ6" s="228">
        <f>IF(AND(188&gt;=$NR$6,188&lt;=$NS$6),IF($NP$6="Single_Point",IF(188=$NR$6,$NN$6,0),IF($NP$6="Bell_Curve",$NN$6*(188-$NR$6+1)*($NS$6-188+1)/$NU$6,$NN$6/$NT$6)),0)</f>
        <v/>
      </c>
      <c r="GK6" s="228">
        <f>IF(AND(189&gt;=$NR$6,189&lt;=$NS$6),IF($NP$6="Single_Point",IF(189=$NR$6,$NN$6,0),IF($NP$6="Bell_Curve",$NN$6*(189-$NR$6+1)*($NS$6-189+1)/$NU$6,$NN$6/$NT$6)),0)</f>
        <v/>
      </c>
      <c r="GL6" s="228">
        <f>IF(AND(190&gt;=$NR$6,190&lt;=$NS$6),IF($NP$6="Single_Point",IF(190=$NR$6,$NN$6,0),IF($NP$6="Bell_Curve",$NN$6*(190-$NR$6+1)*($NS$6-190+1)/$NU$6,$NN$6/$NT$6)),0)</f>
        <v/>
      </c>
      <c r="GM6" s="228">
        <f>IF(AND(191&gt;=$NR$6,191&lt;=$NS$6),IF($NP$6="Single_Point",IF(191=$NR$6,$NN$6,0),IF($NP$6="Bell_Curve",$NN$6*(191-$NR$6+1)*($NS$6-191+1)/$NU$6,$NN$6/$NT$6)),0)</f>
        <v/>
      </c>
      <c r="GN6" s="228">
        <f>IF(AND(192&gt;=$NR$6,192&lt;=$NS$6),IF($NP$6="Single_Point",IF(192=$NR$6,$NN$6,0),IF($NP$6="Bell_Curve",$NN$6*(192-$NR$6+1)*($NS$6-192+1)/$NU$6,$NN$6/$NT$6)),0)</f>
        <v/>
      </c>
      <c r="GO6" s="228">
        <f>IF(AND(193&gt;=$NR$6,193&lt;=$NS$6),IF($NP$6="Single_Point",IF(193=$NR$6,$NN$6,0),IF($NP$6="Bell_Curve",$NN$6*(193-$NR$6+1)*($NS$6-193+1)/$NU$6,$NN$6/$NT$6)),0)</f>
        <v/>
      </c>
      <c r="GP6" s="228">
        <f>IF(AND(194&gt;=$NR$6,194&lt;=$NS$6),IF($NP$6="Single_Point",IF(194=$NR$6,$NN$6,0),IF($NP$6="Bell_Curve",$NN$6*(194-$NR$6+1)*($NS$6-194+1)/$NU$6,$NN$6/$NT$6)),0)</f>
        <v/>
      </c>
      <c r="GQ6" s="228">
        <f>IF(AND(195&gt;=$NR$6,195&lt;=$NS$6),IF($NP$6="Single_Point",IF(195=$NR$6,$NN$6,0),IF($NP$6="Bell_Curve",$NN$6*(195-$NR$6+1)*($NS$6-195+1)/$NU$6,$NN$6/$NT$6)),0)</f>
        <v/>
      </c>
      <c r="GR6" s="228">
        <f>IF(AND(196&gt;=$NR$6,196&lt;=$NS$6),IF($NP$6="Single_Point",IF(196=$NR$6,$NN$6,0),IF($NP$6="Bell_Curve",$NN$6*(196-$NR$6+1)*($NS$6-196+1)/$NU$6,$NN$6/$NT$6)),0)</f>
        <v/>
      </c>
      <c r="GS6" s="228">
        <f>IF(AND(197&gt;=$NR$6,197&lt;=$NS$6),IF($NP$6="Single_Point",IF(197=$NR$6,$NN$6,0),IF($NP$6="Bell_Curve",$NN$6*(197-$NR$6+1)*($NS$6-197+1)/$NU$6,$NN$6/$NT$6)),0)</f>
        <v/>
      </c>
      <c r="GT6" s="228">
        <f>IF(AND(198&gt;=$NR$6,198&lt;=$NS$6),IF($NP$6="Single_Point",IF(198=$NR$6,$NN$6,0),IF($NP$6="Bell_Curve",$NN$6*(198-$NR$6+1)*($NS$6-198+1)/$NU$6,$NN$6/$NT$6)),0)</f>
        <v/>
      </c>
      <c r="GU6" s="228">
        <f>IF(AND(199&gt;=$NR$6,199&lt;=$NS$6),IF($NP$6="Single_Point",IF(199=$NR$6,$NN$6,0),IF($NP$6="Bell_Curve",$NN$6*(199-$NR$6+1)*($NS$6-199+1)/$NU$6,$NN$6/$NT$6)),0)</f>
        <v/>
      </c>
      <c r="GV6" s="228">
        <f>IF(AND(200&gt;=$NR$6,200&lt;=$NS$6),IF($NP$6="Single_Point",IF(200=$NR$6,$NN$6,0),IF($NP$6="Bell_Curve",$NN$6*(200-$NR$6+1)*($NS$6-200+1)/$NU$6,$NN$6/$NT$6)),0)</f>
        <v/>
      </c>
      <c r="GW6" s="228">
        <f>IF(AND(201&gt;=$NR$6,201&lt;=$NS$6),IF($NP$6="Single_Point",IF(201=$NR$6,$NN$6,0),IF($NP$6="Bell_Curve",$NN$6*(201-$NR$6+1)*($NS$6-201+1)/$NU$6,$NN$6/$NT$6)),0)</f>
        <v/>
      </c>
      <c r="GX6" s="228">
        <f>IF(AND(202&gt;=$NR$6,202&lt;=$NS$6),IF($NP$6="Single_Point",IF(202=$NR$6,$NN$6,0),IF($NP$6="Bell_Curve",$NN$6*(202-$NR$6+1)*($NS$6-202+1)/$NU$6,$NN$6/$NT$6)),0)</f>
        <v/>
      </c>
      <c r="GY6" s="228">
        <f>IF(AND(203&gt;=$NR$6,203&lt;=$NS$6),IF($NP$6="Single_Point",IF(203=$NR$6,$NN$6,0),IF($NP$6="Bell_Curve",$NN$6*(203-$NR$6+1)*($NS$6-203+1)/$NU$6,$NN$6/$NT$6)),0)</f>
        <v/>
      </c>
      <c r="GZ6" s="228">
        <f>IF(AND(204&gt;=$NR$6,204&lt;=$NS$6),IF($NP$6="Single_Point",IF(204=$NR$6,$NN$6,0),IF($NP$6="Bell_Curve",$NN$6*(204-$NR$6+1)*($NS$6-204+1)/$NU$6,$NN$6/$NT$6)),0)</f>
        <v/>
      </c>
      <c r="HA6" s="228">
        <f>IF(AND(205&gt;=$NR$6,205&lt;=$NS$6),IF($NP$6="Single_Point",IF(205=$NR$6,$NN$6,0),IF($NP$6="Bell_Curve",$NN$6*(205-$NR$6+1)*($NS$6-205+1)/$NU$6,$NN$6/$NT$6)),0)</f>
        <v/>
      </c>
      <c r="HB6" s="228">
        <f>IF(AND(206&gt;=$NR$6,206&lt;=$NS$6),IF($NP$6="Single_Point",IF(206=$NR$6,$NN$6,0),IF($NP$6="Bell_Curve",$NN$6*(206-$NR$6+1)*($NS$6-206+1)/$NU$6,$NN$6/$NT$6)),0)</f>
        <v/>
      </c>
      <c r="HC6" s="228">
        <f>IF(AND(207&gt;=$NR$6,207&lt;=$NS$6),IF($NP$6="Single_Point",IF(207=$NR$6,$NN$6,0),IF($NP$6="Bell_Curve",$NN$6*(207-$NR$6+1)*($NS$6-207+1)/$NU$6,$NN$6/$NT$6)),0)</f>
        <v/>
      </c>
      <c r="HD6" s="228">
        <f>IF(AND(208&gt;=$NR$6,208&lt;=$NS$6),IF($NP$6="Single_Point",IF(208=$NR$6,$NN$6,0),IF($NP$6="Bell_Curve",$NN$6*(208-$NR$6+1)*($NS$6-208+1)/$NU$6,$NN$6/$NT$6)),0)</f>
        <v/>
      </c>
      <c r="HE6" s="228">
        <f>IF(AND(209&gt;=$NR$6,209&lt;=$NS$6),IF($NP$6="Single_Point",IF(209=$NR$6,$NN$6,0),IF($NP$6="Bell_Curve",$NN$6*(209-$NR$6+1)*($NS$6-209+1)/$NU$6,$NN$6/$NT$6)),0)</f>
        <v/>
      </c>
      <c r="HF6" s="228">
        <f>IF(AND(210&gt;=$NR$6,210&lt;=$NS$6),IF($NP$6="Single_Point",IF(210=$NR$6,$NN$6,0),IF($NP$6="Bell_Curve",$NN$6*(210-$NR$6+1)*($NS$6-210+1)/$NU$6,$NN$6/$NT$6)),0)</f>
        <v/>
      </c>
      <c r="HG6" s="228">
        <f>IF(AND(211&gt;=$NR$6,211&lt;=$NS$6),IF($NP$6="Single_Point",IF(211=$NR$6,$NN$6,0),IF($NP$6="Bell_Curve",$NN$6*(211-$NR$6+1)*($NS$6-211+1)/$NU$6,$NN$6/$NT$6)),0)</f>
        <v/>
      </c>
      <c r="HH6" s="228">
        <f>IF(AND(212&gt;=$NR$6,212&lt;=$NS$6),IF($NP$6="Single_Point",IF(212=$NR$6,$NN$6,0),IF($NP$6="Bell_Curve",$NN$6*(212-$NR$6+1)*($NS$6-212+1)/$NU$6,$NN$6/$NT$6)),0)</f>
        <v/>
      </c>
      <c r="HI6" s="228">
        <f>IF(AND(213&gt;=$NR$6,213&lt;=$NS$6),IF($NP$6="Single_Point",IF(213=$NR$6,$NN$6,0),IF($NP$6="Bell_Curve",$NN$6*(213-$NR$6+1)*($NS$6-213+1)/$NU$6,$NN$6/$NT$6)),0)</f>
        <v/>
      </c>
      <c r="HJ6" s="228">
        <f>IF(AND(214&gt;=$NR$6,214&lt;=$NS$6),IF($NP$6="Single_Point",IF(214=$NR$6,$NN$6,0),IF($NP$6="Bell_Curve",$NN$6*(214-$NR$6+1)*($NS$6-214+1)/$NU$6,$NN$6/$NT$6)),0)</f>
        <v/>
      </c>
      <c r="HK6" s="228">
        <f>IF(AND(215&gt;=$NR$6,215&lt;=$NS$6),IF($NP$6="Single_Point",IF(215=$NR$6,$NN$6,0),IF($NP$6="Bell_Curve",$NN$6*(215-$NR$6+1)*($NS$6-215+1)/$NU$6,$NN$6/$NT$6)),0)</f>
        <v/>
      </c>
      <c r="HL6" s="228">
        <f>IF(AND(216&gt;=$NR$6,216&lt;=$NS$6),IF($NP$6="Single_Point",IF(216=$NR$6,$NN$6,0),IF($NP$6="Bell_Curve",$NN$6*(216-$NR$6+1)*($NS$6-216+1)/$NU$6,$NN$6/$NT$6)),0)</f>
        <v/>
      </c>
      <c r="HM6" s="228">
        <f>IF(AND(217&gt;=$NR$6,217&lt;=$NS$6),IF($NP$6="Single_Point",IF(217=$NR$6,$NN$6,0),IF($NP$6="Bell_Curve",$NN$6*(217-$NR$6+1)*($NS$6-217+1)/$NU$6,$NN$6/$NT$6)),0)</f>
        <v/>
      </c>
      <c r="HN6" s="228">
        <f>IF(AND(218&gt;=$NR$6,218&lt;=$NS$6),IF($NP$6="Single_Point",IF(218=$NR$6,$NN$6,0),IF($NP$6="Bell_Curve",$NN$6*(218-$NR$6+1)*($NS$6-218+1)/$NU$6,$NN$6/$NT$6)),0)</f>
        <v/>
      </c>
      <c r="HO6" s="228">
        <f>IF(AND(219&gt;=$NR$6,219&lt;=$NS$6),IF($NP$6="Single_Point",IF(219=$NR$6,$NN$6,0),IF($NP$6="Bell_Curve",$NN$6*(219-$NR$6+1)*($NS$6-219+1)/$NU$6,$NN$6/$NT$6)),0)</f>
        <v/>
      </c>
      <c r="HP6" s="228">
        <f>IF(AND(220&gt;=$NR$6,220&lt;=$NS$6),IF($NP$6="Single_Point",IF(220=$NR$6,$NN$6,0),IF($NP$6="Bell_Curve",$NN$6*(220-$NR$6+1)*($NS$6-220+1)/$NU$6,$NN$6/$NT$6)),0)</f>
        <v/>
      </c>
      <c r="HQ6" s="228">
        <f>IF(AND(221&gt;=$NR$6,221&lt;=$NS$6),IF($NP$6="Single_Point",IF(221=$NR$6,$NN$6,0),IF($NP$6="Bell_Curve",$NN$6*(221-$NR$6+1)*($NS$6-221+1)/$NU$6,$NN$6/$NT$6)),0)</f>
        <v/>
      </c>
      <c r="HR6" s="228">
        <f>IF(AND(222&gt;=$NR$6,222&lt;=$NS$6),IF($NP$6="Single_Point",IF(222=$NR$6,$NN$6,0),IF($NP$6="Bell_Curve",$NN$6*(222-$NR$6+1)*($NS$6-222+1)/$NU$6,$NN$6/$NT$6)),0)</f>
        <v/>
      </c>
      <c r="HS6" s="228">
        <f>IF(AND(223&gt;=$NR$6,223&lt;=$NS$6),IF($NP$6="Single_Point",IF(223=$NR$6,$NN$6,0),IF($NP$6="Bell_Curve",$NN$6*(223-$NR$6+1)*($NS$6-223+1)/$NU$6,$NN$6/$NT$6)),0)</f>
        <v/>
      </c>
      <c r="HT6" s="228">
        <f>IF(AND(224&gt;=$NR$6,224&lt;=$NS$6),IF($NP$6="Single_Point",IF(224=$NR$6,$NN$6,0),IF($NP$6="Bell_Curve",$NN$6*(224-$NR$6+1)*($NS$6-224+1)/$NU$6,$NN$6/$NT$6)),0)</f>
        <v/>
      </c>
      <c r="HU6" s="228">
        <f>IF(AND(225&gt;=$NR$6,225&lt;=$NS$6),IF($NP$6="Single_Point",IF(225=$NR$6,$NN$6,0),IF($NP$6="Bell_Curve",$NN$6*(225-$NR$6+1)*($NS$6-225+1)/$NU$6,$NN$6/$NT$6)),0)</f>
        <v/>
      </c>
      <c r="HV6" s="228">
        <f>IF(AND(226&gt;=$NR$6,226&lt;=$NS$6),IF($NP$6="Single_Point",IF(226=$NR$6,$NN$6,0),IF($NP$6="Bell_Curve",$NN$6*(226-$NR$6+1)*($NS$6-226+1)/$NU$6,$NN$6/$NT$6)),0)</f>
        <v/>
      </c>
      <c r="HW6" s="228">
        <f>IF(AND(227&gt;=$NR$6,227&lt;=$NS$6),IF($NP$6="Single_Point",IF(227=$NR$6,$NN$6,0),IF($NP$6="Bell_Curve",$NN$6*(227-$NR$6+1)*($NS$6-227+1)/$NU$6,$NN$6/$NT$6)),0)</f>
        <v/>
      </c>
      <c r="HX6" s="228">
        <f>IF(AND(228&gt;=$NR$6,228&lt;=$NS$6),IF($NP$6="Single_Point",IF(228=$NR$6,$NN$6,0),IF($NP$6="Bell_Curve",$NN$6*(228-$NR$6+1)*($NS$6-228+1)/$NU$6,$NN$6/$NT$6)),0)</f>
        <v/>
      </c>
      <c r="HY6" s="228">
        <f>IF(AND(229&gt;=$NR$6,229&lt;=$NS$6),IF($NP$6="Single_Point",IF(229=$NR$6,$NN$6,0),IF($NP$6="Bell_Curve",$NN$6*(229-$NR$6+1)*($NS$6-229+1)/$NU$6,$NN$6/$NT$6)),0)</f>
        <v/>
      </c>
      <c r="HZ6" s="228">
        <f>IF(AND(230&gt;=$NR$6,230&lt;=$NS$6),IF($NP$6="Single_Point",IF(230=$NR$6,$NN$6,0),IF($NP$6="Bell_Curve",$NN$6*(230-$NR$6+1)*($NS$6-230+1)/$NU$6,$NN$6/$NT$6)),0)</f>
        <v/>
      </c>
      <c r="IA6" s="228">
        <f>IF(AND(231&gt;=$NR$6,231&lt;=$NS$6),IF($NP$6="Single_Point",IF(231=$NR$6,$NN$6,0),IF($NP$6="Bell_Curve",$NN$6*(231-$NR$6+1)*($NS$6-231+1)/$NU$6,$NN$6/$NT$6)),0)</f>
        <v/>
      </c>
      <c r="IB6" s="228">
        <f>IF(AND(232&gt;=$NR$6,232&lt;=$NS$6),IF($NP$6="Single_Point",IF(232=$NR$6,$NN$6,0),IF($NP$6="Bell_Curve",$NN$6*(232-$NR$6+1)*($NS$6-232+1)/$NU$6,$NN$6/$NT$6)),0)</f>
        <v/>
      </c>
      <c r="IC6" s="228">
        <f>IF(AND(233&gt;=$NR$6,233&lt;=$NS$6),IF($NP$6="Single_Point",IF(233=$NR$6,$NN$6,0),IF($NP$6="Bell_Curve",$NN$6*(233-$NR$6+1)*($NS$6-233+1)/$NU$6,$NN$6/$NT$6)),0)</f>
        <v/>
      </c>
      <c r="ID6" s="228">
        <f>IF(AND(234&gt;=$NR$6,234&lt;=$NS$6),IF($NP$6="Single_Point",IF(234=$NR$6,$NN$6,0),IF($NP$6="Bell_Curve",$NN$6*(234-$NR$6+1)*($NS$6-234+1)/$NU$6,$NN$6/$NT$6)),0)</f>
        <v/>
      </c>
      <c r="IE6" s="228">
        <f>IF(AND(235&gt;=$NR$6,235&lt;=$NS$6),IF($NP$6="Single_Point",IF(235=$NR$6,$NN$6,0),IF($NP$6="Bell_Curve",$NN$6*(235-$NR$6+1)*($NS$6-235+1)/$NU$6,$NN$6/$NT$6)),0)</f>
        <v/>
      </c>
      <c r="IF6" s="228">
        <f>IF(AND(236&gt;=$NR$6,236&lt;=$NS$6),IF($NP$6="Single_Point",IF(236=$NR$6,$NN$6,0),IF($NP$6="Bell_Curve",$NN$6*(236-$NR$6+1)*($NS$6-236+1)/$NU$6,$NN$6/$NT$6)),0)</f>
        <v/>
      </c>
      <c r="IG6" s="228">
        <f>IF(AND(237&gt;=$NR$6,237&lt;=$NS$6),IF($NP$6="Single_Point",IF(237=$NR$6,$NN$6,0),IF($NP$6="Bell_Curve",$NN$6*(237-$NR$6+1)*($NS$6-237+1)/$NU$6,$NN$6/$NT$6)),0)</f>
        <v/>
      </c>
      <c r="IH6" s="228">
        <f>IF(AND(238&gt;=$NR$6,238&lt;=$NS$6),IF($NP$6="Single_Point",IF(238=$NR$6,$NN$6,0),IF($NP$6="Bell_Curve",$NN$6*(238-$NR$6+1)*($NS$6-238+1)/$NU$6,$NN$6/$NT$6)),0)</f>
        <v/>
      </c>
      <c r="II6" s="228">
        <f>IF(AND(239&gt;=$NR$6,239&lt;=$NS$6),IF($NP$6="Single_Point",IF(239=$NR$6,$NN$6,0),IF($NP$6="Bell_Curve",$NN$6*(239-$NR$6+1)*($NS$6-239+1)/$NU$6,$NN$6/$NT$6)),0)</f>
        <v/>
      </c>
      <c r="IJ6" s="228">
        <f>IF(AND(240&gt;=$NR$6,240&lt;=$NS$6),IF($NP$6="Single_Point",IF(240=$NR$6,$NN$6,0),IF($NP$6="Bell_Curve",$NN$6*(240-$NR$6+1)*($NS$6-240+1)/$NU$6,$NN$6/$NT$6)),0)</f>
        <v/>
      </c>
      <c r="IK6" s="228">
        <f>IF(AND(241&gt;=$NR$6,241&lt;=$NS$6),IF($NP$6="Single_Point",IF(241=$NR$6,$NN$6,0),IF($NP$6="Bell_Curve",$NN$6*(241-$NR$6+1)*($NS$6-241+1)/$NU$6,$NN$6/$NT$6)),0)</f>
        <v/>
      </c>
      <c r="IL6" s="228">
        <f>IF(AND(242&gt;=$NR$6,242&lt;=$NS$6),IF($NP$6="Single_Point",IF(242=$NR$6,$NN$6,0),IF($NP$6="Bell_Curve",$NN$6*(242-$NR$6+1)*($NS$6-242+1)/$NU$6,$NN$6/$NT$6)),0)</f>
        <v/>
      </c>
      <c r="IM6" s="228">
        <f>IF(AND(243&gt;=$NR$6,243&lt;=$NS$6),IF($NP$6="Single_Point",IF(243=$NR$6,$NN$6,0),IF($NP$6="Bell_Curve",$NN$6*(243-$NR$6+1)*($NS$6-243+1)/$NU$6,$NN$6/$NT$6)),0)</f>
        <v/>
      </c>
      <c r="IN6" s="228">
        <f>IF(AND(244&gt;=$NR$6,244&lt;=$NS$6),IF($NP$6="Single_Point",IF(244=$NR$6,$NN$6,0),IF($NP$6="Bell_Curve",$NN$6*(244-$NR$6+1)*($NS$6-244+1)/$NU$6,$NN$6/$NT$6)),0)</f>
        <v/>
      </c>
      <c r="IO6" s="228">
        <f>IF(AND(245&gt;=$NR$6,245&lt;=$NS$6),IF($NP$6="Single_Point",IF(245=$NR$6,$NN$6,0),IF($NP$6="Bell_Curve",$NN$6*(245-$NR$6+1)*($NS$6-245+1)/$NU$6,$NN$6/$NT$6)),0)</f>
        <v/>
      </c>
      <c r="IP6" s="228">
        <f>IF(AND(246&gt;=$NR$6,246&lt;=$NS$6),IF($NP$6="Single_Point",IF(246=$NR$6,$NN$6,0),IF($NP$6="Bell_Curve",$NN$6*(246-$NR$6+1)*($NS$6-246+1)/$NU$6,$NN$6/$NT$6)),0)</f>
        <v/>
      </c>
      <c r="IQ6" s="228">
        <f>IF(AND(247&gt;=$NR$6,247&lt;=$NS$6),IF($NP$6="Single_Point",IF(247=$NR$6,$NN$6,0),IF($NP$6="Bell_Curve",$NN$6*(247-$NR$6+1)*($NS$6-247+1)/$NU$6,$NN$6/$NT$6)),0)</f>
        <v/>
      </c>
      <c r="IR6" s="228">
        <f>IF(AND(248&gt;=$NR$6,248&lt;=$NS$6),IF($NP$6="Single_Point",IF(248=$NR$6,$NN$6,0),IF($NP$6="Bell_Curve",$NN$6*(248-$NR$6+1)*($NS$6-248+1)/$NU$6,$NN$6/$NT$6)),0)</f>
        <v/>
      </c>
      <c r="IS6" s="228">
        <f>IF(AND(249&gt;=$NR$6,249&lt;=$NS$6),IF($NP$6="Single_Point",IF(249=$NR$6,$NN$6,0),IF($NP$6="Bell_Curve",$NN$6*(249-$NR$6+1)*($NS$6-249+1)/$NU$6,$NN$6/$NT$6)),0)</f>
        <v/>
      </c>
      <c r="IT6" s="228">
        <f>IF(AND(250&gt;=$NR$6,250&lt;=$NS$6),IF($NP$6="Single_Point",IF(250=$NR$6,$NN$6,0),IF($NP$6="Bell_Curve",$NN$6*(250-$NR$6+1)*($NS$6-250+1)/$NU$6,$NN$6/$NT$6)),0)</f>
        <v/>
      </c>
      <c r="IU6" s="228">
        <f>IF(AND(251&gt;=$NR$6,251&lt;=$NS$6),IF($NP$6="Single_Point",IF(251=$NR$6,$NN$6,0),IF($NP$6="Bell_Curve",$NN$6*(251-$NR$6+1)*($NS$6-251+1)/$NU$6,$NN$6/$NT$6)),0)</f>
        <v/>
      </c>
      <c r="IV6" s="228">
        <f>IF(AND(252&gt;=$NR$6,252&lt;=$NS$6),IF($NP$6="Single_Point",IF(252=$NR$6,$NN$6,0),IF($NP$6="Bell_Curve",$NN$6*(252-$NR$6+1)*($NS$6-252+1)/$NU$6,$NN$6/$NT$6)),0)</f>
        <v/>
      </c>
      <c r="IW6" s="228">
        <f>IF(AND(253&gt;=$NR$6,253&lt;=$NS$6),IF($NP$6="Single_Point",IF(253=$NR$6,$NN$6,0),IF($NP$6="Bell_Curve",$NN$6*(253-$NR$6+1)*($NS$6-253+1)/$NU$6,$NN$6/$NT$6)),0)</f>
        <v/>
      </c>
      <c r="IX6" s="228">
        <f>IF(AND(254&gt;=$NR$6,254&lt;=$NS$6),IF($NP$6="Single_Point",IF(254=$NR$6,$NN$6,0),IF($NP$6="Bell_Curve",$NN$6*(254-$NR$6+1)*($NS$6-254+1)/$NU$6,$NN$6/$NT$6)),0)</f>
        <v/>
      </c>
      <c r="IY6" s="228">
        <f>IF(AND(255&gt;=$NR$6,255&lt;=$NS$6),IF($NP$6="Single_Point",IF(255=$NR$6,$NN$6,0),IF($NP$6="Bell_Curve",$NN$6*(255-$NR$6+1)*($NS$6-255+1)/$NU$6,$NN$6/$NT$6)),0)</f>
        <v/>
      </c>
      <c r="IZ6" s="228">
        <f>IF(AND(256&gt;=$NR$6,256&lt;=$NS$6),IF($NP$6="Single_Point",IF(256=$NR$6,$NN$6,0),IF($NP$6="Bell_Curve",$NN$6*(256-$NR$6+1)*($NS$6-256+1)/$NU$6,$NN$6/$NT$6)),0)</f>
        <v/>
      </c>
      <c r="JA6" s="228">
        <f>IF(AND(257&gt;=$NR$6,257&lt;=$NS$6),IF($NP$6="Single_Point",IF(257=$NR$6,$NN$6,0),IF($NP$6="Bell_Curve",$NN$6*(257-$NR$6+1)*($NS$6-257+1)/$NU$6,$NN$6/$NT$6)),0)</f>
        <v/>
      </c>
      <c r="JB6" s="228">
        <f>IF(AND(258&gt;=$NR$6,258&lt;=$NS$6),IF($NP$6="Single_Point",IF(258=$NR$6,$NN$6,0),IF($NP$6="Bell_Curve",$NN$6*(258-$NR$6+1)*($NS$6-258+1)/$NU$6,$NN$6/$NT$6)),0)</f>
        <v/>
      </c>
      <c r="JC6" s="228">
        <f>IF(AND(259&gt;=$NR$6,259&lt;=$NS$6),IF($NP$6="Single_Point",IF(259=$NR$6,$NN$6,0),IF($NP$6="Bell_Curve",$NN$6*(259-$NR$6+1)*($NS$6-259+1)/$NU$6,$NN$6/$NT$6)),0)</f>
        <v/>
      </c>
      <c r="JD6" s="228">
        <f>IF(AND(260&gt;=$NR$6,260&lt;=$NS$6),IF($NP$6="Single_Point",IF(260=$NR$6,$NN$6,0),IF($NP$6="Bell_Curve",$NN$6*(260-$NR$6+1)*($NS$6-260+1)/$NU$6,$NN$6/$NT$6)),0)</f>
        <v/>
      </c>
      <c r="JE6" s="228">
        <f>IF(AND(261&gt;=$NR$6,261&lt;=$NS$6),IF($NP$6="Single_Point",IF(261=$NR$6,$NN$6,0),IF($NP$6="Bell_Curve",$NN$6*(261-$NR$6+1)*($NS$6-261+1)/$NU$6,$NN$6/$NT$6)),0)</f>
        <v/>
      </c>
      <c r="JF6" s="228">
        <f>IF(AND(262&gt;=$NR$6,262&lt;=$NS$6),IF($NP$6="Single_Point",IF(262=$NR$6,$NN$6,0),IF($NP$6="Bell_Curve",$NN$6*(262-$NR$6+1)*($NS$6-262+1)/$NU$6,$NN$6/$NT$6)),0)</f>
        <v/>
      </c>
      <c r="JG6" s="228">
        <f>IF(AND(263&gt;=$NR$6,263&lt;=$NS$6),IF($NP$6="Single_Point",IF(263=$NR$6,$NN$6,0),IF($NP$6="Bell_Curve",$NN$6*(263-$NR$6+1)*($NS$6-263+1)/$NU$6,$NN$6/$NT$6)),0)</f>
        <v/>
      </c>
      <c r="JH6" s="228">
        <f>IF(AND(264&gt;=$NR$6,264&lt;=$NS$6),IF($NP$6="Single_Point",IF(264=$NR$6,$NN$6,0),IF($NP$6="Bell_Curve",$NN$6*(264-$NR$6+1)*($NS$6-264+1)/$NU$6,$NN$6/$NT$6)),0)</f>
        <v/>
      </c>
      <c r="JI6" s="228">
        <f>IF(AND(265&gt;=$NR$6,265&lt;=$NS$6),IF($NP$6="Single_Point",IF(265=$NR$6,$NN$6,0),IF($NP$6="Bell_Curve",$NN$6*(265-$NR$6+1)*($NS$6-265+1)/$NU$6,$NN$6/$NT$6)),0)</f>
        <v/>
      </c>
      <c r="JJ6" s="228">
        <f>IF(AND(266&gt;=$NR$6,266&lt;=$NS$6),IF($NP$6="Single_Point",IF(266=$NR$6,$NN$6,0),IF($NP$6="Bell_Curve",$NN$6*(266-$NR$6+1)*($NS$6-266+1)/$NU$6,$NN$6/$NT$6)),0)</f>
        <v/>
      </c>
      <c r="JK6" s="228">
        <f>IF(AND(267&gt;=$NR$6,267&lt;=$NS$6),IF($NP$6="Single_Point",IF(267=$NR$6,$NN$6,0),IF($NP$6="Bell_Curve",$NN$6*(267-$NR$6+1)*($NS$6-267+1)/$NU$6,$NN$6/$NT$6)),0)</f>
        <v/>
      </c>
      <c r="JL6" s="228">
        <f>IF(AND(268&gt;=$NR$6,268&lt;=$NS$6),IF($NP$6="Single_Point",IF(268=$NR$6,$NN$6,0),IF($NP$6="Bell_Curve",$NN$6*(268-$NR$6+1)*($NS$6-268+1)/$NU$6,$NN$6/$NT$6)),0)</f>
        <v/>
      </c>
      <c r="JM6" s="228">
        <f>IF(AND(269&gt;=$NR$6,269&lt;=$NS$6),IF($NP$6="Single_Point",IF(269=$NR$6,$NN$6,0),IF($NP$6="Bell_Curve",$NN$6*(269-$NR$6+1)*($NS$6-269+1)/$NU$6,$NN$6/$NT$6)),0)</f>
        <v/>
      </c>
      <c r="JN6" s="228">
        <f>IF(AND(270&gt;=$NR$6,270&lt;=$NS$6),IF($NP$6="Single_Point",IF(270=$NR$6,$NN$6,0),IF($NP$6="Bell_Curve",$NN$6*(270-$NR$6+1)*($NS$6-270+1)/$NU$6,$NN$6/$NT$6)),0)</f>
        <v/>
      </c>
      <c r="JO6" s="228">
        <f>IF(AND(271&gt;=$NR$6,271&lt;=$NS$6),IF($NP$6="Single_Point",IF(271=$NR$6,$NN$6,0),IF($NP$6="Bell_Curve",$NN$6*(271-$NR$6+1)*($NS$6-271+1)/$NU$6,$NN$6/$NT$6)),0)</f>
        <v/>
      </c>
      <c r="JP6" s="228">
        <f>IF(AND(272&gt;=$NR$6,272&lt;=$NS$6),IF($NP$6="Single_Point",IF(272=$NR$6,$NN$6,0),IF($NP$6="Bell_Curve",$NN$6*(272-$NR$6+1)*($NS$6-272+1)/$NU$6,$NN$6/$NT$6)),0)</f>
        <v/>
      </c>
      <c r="JQ6" s="228">
        <f>IF(AND(273&gt;=$NR$6,273&lt;=$NS$6),IF($NP$6="Single_Point",IF(273=$NR$6,$NN$6,0),IF($NP$6="Bell_Curve",$NN$6*(273-$NR$6+1)*($NS$6-273+1)/$NU$6,$NN$6/$NT$6)),0)</f>
        <v/>
      </c>
      <c r="JR6" s="228">
        <f>IF(AND(274&gt;=$NR$6,274&lt;=$NS$6),IF($NP$6="Single_Point",IF(274=$NR$6,$NN$6,0),IF($NP$6="Bell_Curve",$NN$6*(274-$NR$6+1)*($NS$6-274+1)/$NU$6,$NN$6/$NT$6)),0)</f>
        <v/>
      </c>
      <c r="JS6" s="228">
        <f>IF(AND(275&gt;=$NR$6,275&lt;=$NS$6),IF($NP$6="Single_Point",IF(275=$NR$6,$NN$6,0),IF($NP$6="Bell_Curve",$NN$6*(275-$NR$6+1)*($NS$6-275+1)/$NU$6,$NN$6/$NT$6)),0)</f>
        <v/>
      </c>
      <c r="JT6" s="228">
        <f>IF(AND(276&gt;=$NR$6,276&lt;=$NS$6),IF($NP$6="Single_Point",IF(276=$NR$6,$NN$6,0),IF($NP$6="Bell_Curve",$NN$6*(276-$NR$6+1)*($NS$6-276+1)/$NU$6,$NN$6/$NT$6)),0)</f>
        <v/>
      </c>
      <c r="JU6" s="228">
        <f>IF(AND(277&gt;=$NR$6,277&lt;=$NS$6),IF($NP$6="Single_Point",IF(277=$NR$6,$NN$6,0),IF($NP$6="Bell_Curve",$NN$6*(277-$NR$6+1)*($NS$6-277+1)/$NU$6,$NN$6/$NT$6)),0)</f>
        <v/>
      </c>
      <c r="JV6" s="228">
        <f>IF(AND(278&gt;=$NR$6,278&lt;=$NS$6),IF($NP$6="Single_Point",IF(278=$NR$6,$NN$6,0),IF($NP$6="Bell_Curve",$NN$6*(278-$NR$6+1)*($NS$6-278+1)/$NU$6,$NN$6/$NT$6)),0)</f>
        <v/>
      </c>
      <c r="JW6" s="228">
        <f>IF(AND(279&gt;=$NR$6,279&lt;=$NS$6),IF($NP$6="Single_Point",IF(279=$NR$6,$NN$6,0),IF($NP$6="Bell_Curve",$NN$6*(279-$NR$6+1)*($NS$6-279+1)/$NU$6,$NN$6/$NT$6)),0)</f>
        <v/>
      </c>
      <c r="JX6" s="228">
        <f>IF(AND(280&gt;=$NR$6,280&lt;=$NS$6),IF($NP$6="Single_Point",IF(280=$NR$6,$NN$6,0),IF($NP$6="Bell_Curve",$NN$6*(280-$NR$6+1)*($NS$6-280+1)/$NU$6,$NN$6/$NT$6)),0)</f>
        <v/>
      </c>
      <c r="JY6" s="228">
        <f>IF(AND(281&gt;=$NR$6,281&lt;=$NS$6),IF($NP$6="Single_Point",IF(281=$NR$6,$NN$6,0),IF($NP$6="Bell_Curve",$NN$6*(281-$NR$6+1)*($NS$6-281+1)/$NU$6,$NN$6/$NT$6)),0)</f>
        <v/>
      </c>
      <c r="JZ6" s="228">
        <f>IF(AND(282&gt;=$NR$6,282&lt;=$NS$6),IF($NP$6="Single_Point",IF(282=$NR$6,$NN$6,0),IF($NP$6="Bell_Curve",$NN$6*(282-$NR$6+1)*($NS$6-282+1)/$NU$6,$NN$6/$NT$6)),0)</f>
        <v/>
      </c>
      <c r="KA6" s="228">
        <f>IF(AND(283&gt;=$NR$6,283&lt;=$NS$6),IF($NP$6="Single_Point",IF(283=$NR$6,$NN$6,0),IF($NP$6="Bell_Curve",$NN$6*(283-$NR$6+1)*($NS$6-283+1)/$NU$6,$NN$6/$NT$6)),0)</f>
        <v/>
      </c>
      <c r="KB6" s="228">
        <f>IF(AND(284&gt;=$NR$6,284&lt;=$NS$6),IF($NP$6="Single_Point",IF(284=$NR$6,$NN$6,0),IF($NP$6="Bell_Curve",$NN$6*(284-$NR$6+1)*($NS$6-284+1)/$NU$6,$NN$6/$NT$6)),0)</f>
        <v/>
      </c>
      <c r="KC6" s="228">
        <f>IF(AND(285&gt;=$NR$6,285&lt;=$NS$6),IF($NP$6="Single_Point",IF(285=$NR$6,$NN$6,0),IF($NP$6="Bell_Curve",$NN$6*(285-$NR$6+1)*($NS$6-285+1)/$NU$6,$NN$6/$NT$6)),0)</f>
        <v/>
      </c>
      <c r="KD6" s="228">
        <f>IF(AND(286&gt;=$NR$6,286&lt;=$NS$6),IF($NP$6="Single_Point",IF(286=$NR$6,$NN$6,0),IF($NP$6="Bell_Curve",$NN$6*(286-$NR$6+1)*($NS$6-286+1)/$NU$6,$NN$6/$NT$6)),0)</f>
        <v/>
      </c>
      <c r="KE6" s="228">
        <f>IF(AND(287&gt;=$NR$6,287&lt;=$NS$6),IF($NP$6="Single_Point",IF(287=$NR$6,$NN$6,0),IF($NP$6="Bell_Curve",$NN$6*(287-$NR$6+1)*($NS$6-287+1)/$NU$6,$NN$6/$NT$6)),0)</f>
        <v/>
      </c>
      <c r="KF6" s="228">
        <f>IF(AND(288&gt;=$NR$6,288&lt;=$NS$6),IF($NP$6="Single_Point",IF(288=$NR$6,$NN$6,0),IF($NP$6="Bell_Curve",$NN$6*(288-$NR$6+1)*($NS$6-288+1)/$NU$6,$NN$6/$NT$6)),0)</f>
        <v/>
      </c>
      <c r="KG6" s="228">
        <f>IF(AND(289&gt;=$NR$6,289&lt;=$NS$6),IF($NP$6="Single_Point",IF(289=$NR$6,$NN$6,0),IF($NP$6="Bell_Curve",$NN$6*(289-$NR$6+1)*($NS$6-289+1)/$NU$6,$NN$6/$NT$6)),0)</f>
        <v/>
      </c>
      <c r="KH6" s="228">
        <f>IF(AND(290&gt;=$NR$6,290&lt;=$NS$6),IF($NP$6="Single_Point",IF(290=$NR$6,$NN$6,0),IF($NP$6="Bell_Curve",$NN$6*(290-$NR$6+1)*($NS$6-290+1)/$NU$6,$NN$6/$NT$6)),0)</f>
        <v/>
      </c>
      <c r="KI6" s="228">
        <f>IF(AND(291&gt;=$NR$6,291&lt;=$NS$6),IF($NP$6="Single_Point",IF(291=$NR$6,$NN$6,0),IF($NP$6="Bell_Curve",$NN$6*(291-$NR$6+1)*($NS$6-291+1)/$NU$6,$NN$6/$NT$6)),0)</f>
        <v/>
      </c>
      <c r="KJ6" s="228">
        <f>IF(AND(292&gt;=$NR$6,292&lt;=$NS$6),IF($NP$6="Single_Point",IF(292=$NR$6,$NN$6,0),IF($NP$6="Bell_Curve",$NN$6*(292-$NR$6+1)*($NS$6-292+1)/$NU$6,$NN$6/$NT$6)),0)</f>
        <v/>
      </c>
      <c r="KK6" s="228">
        <f>IF(AND(293&gt;=$NR$6,293&lt;=$NS$6),IF($NP$6="Single_Point",IF(293=$NR$6,$NN$6,0),IF($NP$6="Bell_Curve",$NN$6*(293-$NR$6+1)*($NS$6-293+1)/$NU$6,$NN$6/$NT$6)),0)</f>
        <v/>
      </c>
      <c r="KL6" s="228">
        <f>IF(AND(294&gt;=$NR$6,294&lt;=$NS$6),IF($NP$6="Single_Point",IF(294=$NR$6,$NN$6,0),IF($NP$6="Bell_Curve",$NN$6*(294-$NR$6+1)*($NS$6-294+1)/$NU$6,$NN$6/$NT$6)),0)</f>
        <v/>
      </c>
      <c r="KM6" s="228">
        <f>IF(AND(295&gt;=$NR$6,295&lt;=$NS$6),IF($NP$6="Single_Point",IF(295=$NR$6,$NN$6,0),IF($NP$6="Bell_Curve",$NN$6*(295-$NR$6+1)*($NS$6-295+1)/$NU$6,$NN$6/$NT$6)),0)</f>
        <v/>
      </c>
      <c r="KN6" s="228">
        <f>IF(AND(296&gt;=$NR$6,296&lt;=$NS$6),IF($NP$6="Single_Point",IF(296=$NR$6,$NN$6,0),IF($NP$6="Bell_Curve",$NN$6*(296-$NR$6+1)*($NS$6-296+1)/$NU$6,$NN$6/$NT$6)),0)</f>
        <v/>
      </c>
      <c r="KO6" s="228">
        <f>IF(AND(297&gt;=$NR$6,297&lt;=$NS$6),IF($NP$6="Single_Point",IF(297=$NR$6,$NN$6,0),IF($NP$6="Bell_Curve",$NN$6*(297-$NR$6+1)*($NS$6-297+1)/$NU$6,$NN$6/$NT$6)),0)</f>
        <v/>
      </c>
      <c r="KP6" s="228">
        <f>IF(AND(298&gt;=$NR$6,298&lt;=$NS$6),IF($NP$6="Single_Point",IF(298=$NR$6,$NN$6,0),IF($NP$6="Bell_Curve",$NN$6*(298-$NR$6+1)*($NS$6-298+1)/$NU$6,$NN$6/$NT$6)),0)</f>
        <v/>
      </c>
      <c r="KQ6" s="228">
        <f>IF(AND(299&gt;=$NR$6,299&lt;=$NS$6),IF($NP$6="Single_Point",IF(299=$NR$6,$NN$6,0),IF($NP$6="Bell_Curve",$NN$6*(299-$NR$6+1)*($NS$6-299+1)/$NU$6,$NN$6/$NT$6)),0)</f>
        <v/>
      </c>
      <c r="KR6" s="228">
        <f>IF(AND(300&gt;=$NR$6,300&lt;=$NS$6),IF($NP$6="Single_Point",IF(300=$NR$6,$NN$6,0),IF($NP$6="Bell_Curve",$NN$6*(300-$NR$6+1)*($NS$6-300+1)/$NU$6,$NN$6/$NT$6)),0)</f>
        <v/>
      </c>
      <c r="KS6" s="228">
        <f>IF(AND(301&gt;=$NR$6,301&lt;=$NS$6),IF($NP$6="Single_Point",IF(301=$NR$6,$NN$6,0),IF($NP$6="Bell_Curve",$NN$6*(301-$NR$6+1)*($NS$6-301+1)/$NU$6,$NN$6/$NT$6)),0)</f>
        <v/>
      </c>
      <c r="KT6" s="228">
        <f>IF(AND(302&gt;=$NR$6,302&lt;=$NS$6),IF($NP$6="Single_Point",IF(302=$NR$6,$NN$6,0),IF($NP$6="Bell_Curve",$NN$6*(302-$NR$6+1)*($NS$6-302+1)/$NU$6,$NN$6/$NT$6)),0)</f>
        <v/>
      </c>
      <c r="KU6" s="228">
        <f>IF(AND(303&gt;=$NR$6,303&lt;=$NS$6),IF($NP$6="Single_Point",IF(303=$NR$6,$NN$6,0),IF($NP$6="Bell_Curve",$NN$6*(303-$NR$6+1)*($NS$6-303+1)/$NU$6,$NN$6/$NT$6)),0)</f>
        <v/>
      </c>
      <c r="KV6" s="228">
        <f>IF(AND(304&gt;=$NR$6,304&lt;=$NS$6),IF($NP$6="Single_Point",IF(304=$NR$6,$NN$6,0),IF($NP$6="Bell_Curve",$NN$6*(304-$NR$6+1)*($NS$6-304+1)/$NU$6,$NN$6/$NT$6)),0)</f>
        <v/>
      </c>
      <c r="KW6" s="228">
        <f>IF(AND(305&gt;=$NR$6,305&lt;=$NS$6),IF($NP$6="Single_Point",IF(305=$NR$6,$NN$6,0),IF($NP$6="Bell_Curve",$NN$6*(305-$NR$6+1)*($NS$6-305+1)/$NU$6,$NN$6/$NT$6)),0)</f>
        <v/>
      </c>
      <c r="KX6" s="228">
        <f>IF(AND(306&gt;=$NR$6,306&lt;=$NS$6),IF($NP$6="Single_Point",IF(306=$NR$6,$NN$6,0),IF($NP$6="Bell_Curve",$NN$6*(306-$NR$6+1)*($NS$6-306+1)/$NU$6,$NN$6/$NT$6)),0)</f>
        <v/>
      </c>
      <c r="KY6" s="228">
        <f>IF(AND(307&gt;=$NR$6,307&lt;=$NS$6),IF($NP$6="Single_Point",IF(307=$NR$6,$NN$6,0),IF($NP$6="Bell_Curve",$NN$6*(307-$NR$6+1)*($NS$6-307+1)/$NU$6,$NN$6/$NT$6)),0)</f>
        <v/>
      </c>
      <c r="KZ6" s="228">
        <f>IF(AND(308&gt;=$NR$6,308&lt;=$NS$6),IF($NP$6="Single_Point",IF(308=$NR$6,$NN$6,0),IF($NP$6="Bell_Curve",$NN$6*(308-$NR$6+1)*($NS$6-308+1)/$NU$6,$NN$6/$NT$6)),0)</f>
        <v/>
      </c>
      <c r="LA6" s="228">
        <f>IF(AND(309&gt;=$NR$6,309&lt;=$NS$6),IF($NP$6="Single_Point",IF(309=$NR$6,$NN$6,0),IF($NP$6="Bell_Curve",$NN$6*(309-$NR$6+1)*($NS$6-309+1)/$NU$6,$NN$6/$NT$6)),0)</f>
        <v/>
      </c>
      <c r="LB6" s="228">
        <f>IF(AND(310&gt;=$NR$6,310&lt;=$NS$6),IF($NP$6="Single_Point",IF(310=$NR$6,$NN$6,0),IF($NP$6="Bell_Curve",$NN$6*(310-$NR$6+1)*($NS$6-310+1)/$NU$6,$NN$6/$NT$6)),0)</f>
        <v/>
      </c>
      <c r="LC6" s="228">
        <f>IF(AND(311&gt;=$NR$6,311&lt;=$NS$6),IF($NP$6="Single_Point",IF(311=$NR$6,$NN$6,0),IF($NP$6="Bell_Curve",$NN$6*(311-$NR$6+1)*($NS$6-311+1)/$NU$6,$NN$6/$NT$6)),0)</f>
        <v/>
      </c>
      <c r="LD6" s="228">
        <f>IF(AND(312&gt;=$NR$6,312&lt;=$NS$6),IF($NP$6="Single_Point",IF(312=$NR$6,$NN$6,0),IF($NP$6="Bell_Curve",$NN$6*(312-$NR$6+1)*($NS$6-312+1)/$NU$6,$NN$6/$NT$6)),0)</f>
        <v/>
      </c>
      <c r="LE6" s="228">
        <f>IF(AND(313&gt;=$NR$6,313&lt;=$NS$6),IF($NP$6="Single_Point",IF(313=$NR$6,$NN$6,0),IF($NP$6="Bell_Curve",$NN$6*(313-$NR$6+1)*($NS$6-313+1)/$NU$6,$NN$6/$NT$6)),0)</f>
        <v/>
      </c>
      <c r="LF6" s="228">
        <f>IF(AND(314&gt;=$NR$6,314&lt;=$NS$6),IF($NP$6="Single_Point",IF(314=$NR$6,$NN$6,0),IF($NP$6="Bell_Curve",$NN$6*(314-$NR$6+1)*($NS$6-314+1)/$NU$6,$NN$6/$NT$6)),0)</f>
        <v/>
      </c>
      <c r="LG6" s="228">
        <f>IF(AND(315&gt;=$NR$6,315&lt;=$NS$6),IF($NP$6="Single_Point",IF(315=$NR$6,$NN$6,0),IF($NP$6="Bell_Curve",$NN$6*(315-$NR$6+1)*($NS$6-315+1)/$NU$6,$NN$6/$NT$6)),0)</f>
        <v/>
      </c>
      <c r="LH6" s="228">
        <f>IF(AND(316&gt;=$NR$6,316&lt;=$NS$6),IF($NP$6="Single_Point",IF(316=$NR$6,$NN$6,0),IF($NP$6="Bell_Curve",$NN$6*(316-$NR$6+1)*($NS$6-316+1)/$NU$6,$NN$6/$NT$6)),0)</f>
        <v/>
      </c>
      <c r="LI6" s="228">
        <f>IF(AND(317&gt;=$NR$6,317&lt;=$NS$6),IF($NP$6="Single_Point",IF(317=$NR$6,$NN$6,0),IF($NP$6="Bell_Curve",$NN$6*(317-$NR$6+1)*($NS$6-317+1)/$NU$6,$NN$6/$NT$6)),0)</f>
        <v/>
      </c>
      <c r="LJ6" s="228">
        <f>IF(AND(318&gt;=$NR$6,318&lt;=$NS$6),IF($NP$6="Single_Point",IF(318=$NR$6,$NN$6,0),IF($NP$6="Bell_Curve",$NN$6*(318-$NR$6+1)*($NS$6-318+1)/$NU$6,$NN$6/$NT$6)),0)</f>
        <v/>
      </c>
      <c r="LK6" s="228">
        <f>IF(AND(319&gt;=$NR$6,319&lt;=$NS$6),IF($NP$6="Single_Point",IF(319=$NR$6,$NN$6,0),IF($NP$6="Bell_Curve",$NN$6*(319-$NR$6+1)*($NS$6-319+1)/$NU$6,$NN$6/$NT$6)),0)</f>
        <v/>
      </c>
      <c r="LL6" s="228">
        <f>IF(AND(320&gt;=$NR$6,320&lt;=$NS$6),IF($NP$6="Single_Point",IF(320=$NR$6,$NN$6,0),IF($NP$6="Bell_Curve",$NN$6*(320-$NR$6+1)*($NS$6-320+1)/$NU$6,$NN$6/$NT$6)),0)</f>
        <v/>
      </c>
      <c r="LM6" s="228">
        <f>IF(AND(321&gt;=$NR$6,321&lt;=$NS$6),IF($NP$6="Single_Point",IF(321=$NR$6,$NN$6,0),IF($NP$6="Bell_Curve",$NN$6*(321-$NR$6+1)*($NS$6-321+1)/$NU$6,$NN$6/$NT$6)),0)</f>
        <v/>
      </c>
      <c r="LN6" s="228">
        <f>IF(AND(322&gt;=$NR$6,322&lt;=$NS$6),IF($NP$6="Single_Point",IF(322=$NR$6,$NN$6,0),IF($NP$6="Bell_Curve",$NN$6*(322-$NR$6+1)*($NS$6-322+1)/$NU$6,$NN$6/$NT$6)),0)</f>
        <v/>
      </c>
      <c r="LO6" s="228">
        <f>IF(AND(323&gt;=$NR$6,323&lt;=$NS$6),IF($NP$6="Single_Point",IF(323=$NR$6,$NN$6,0),IF($NP$6="Bell_Curve",$NN$6*(323-$NR$6+1)*($NS$6-323+1)/$NU$6,$NN$6/$NT$6)),0)</f>
        <v/>
      </c>
      <c r="LP6" s="228">
        <f>IF(AND(324&gt;=$NR$6,324&lt;=$NS$6),IF($NP$6="Single_Point",IF(324=$NR$6,$NN$6,0),IF($NP$6="Bell_Curve",$NN$6*(324-$NR$6+1)*($NS$6-324+1)/$NU$6,$NN$6/$NT$6)),0)</f>
        <v/>
      </c>
      <c r="LQ6" s="228">
        <f>IF(AND(325&gt;=$NR$6,325&lt;=$NS$6),IF($NP$6="Single_Point",IF(325=$NR$6,$NN$6,0),IF($NP$6="Bell_Curve",$NN$6*(325-$NR$6+1)*($NS$6-325+1)/$NU$6,$NN$6/$NT$6)),0)</f>
        <v/>
      </c>
      <c r="LR6" s="228">
        <f>IF(AND(326&gt;=$NR$6,326&lt;=$NS$6),IF($NP$6="Single_Point",IF(326=$NR$6,$NN$6,0),IF($NP$6="Bell_Curve",$NN$6*(326-$NR$6+1)*($NS$6-326+1)/$NU$6,$NN$6/$NT$6)),0)</f>
        <v/>
      </c>
      <c r="LS6" s="228">
        <f>IF(AND(327&gt;=$NR$6,327&lt;=$NS$6),IF($NP$6="Single_Point",IF(327=$NR$6,$NN$6,0),IF($NP$6="Bell_Curve",$NN$6*(327-$NR$6+1)*($NS$6-327+1)/$NU$6,$NN$6/$NT$6)),0)</f>
        <v/>
      </c>
      <c r="LT6" s="228">
        <f>IF(AND(328&gt;=$NR$6,328&lt;=$NS$6),IF($NP$6="Single_Point",IF(328=$NR$6,$NN$6,0),IF($NP$6="Bell_Curve",$NN$6*(328-$NR$6+1)*($NS$6-328+1)/$NU$6,$NN$6/$NT$6)),0)</f>
        <v/>
      </c>
      <c r="LU6" s="228">
        <f>IF(AND(329&gt;=$NR$6,329&lt;=$NS$6),IF($NP$6="Single_Point",IF(329=$NR$6,$NN$6,0),IF($NP$6="Bell_Curve",$NN$6*(329-$NR$6+1)*($NS$6-329+1)/$NU$6,$NN$6/$NT$6)),0)</f>
        <v/>
      </c>
      <c r="LV6" s="228">
        <f>IF(AND(330&gt;=$NR$6,330&lt;=$NS$6),IF($NP$6="Single_Point",IF(330=$NR$6,$NN$6,0),IF($NP$6="Bell_Curve",$NN$6*(330-$NR$6+1)*($NS$6-330+1)/$NU$6,$NN$6/$NT$6)),0)</f>
        <v/>
      </c>
      <c r="LW6" s="228">
        <f>IF(AND(331&gt;=$NR$6,331&lt;=$NS$6),IF($NP$6="Single_Point",IF(331=$NR$6,$NN$6,0),IF($NP$6="Bell_Curve",$NN$6*(331-$NR$6+1)*($NS$6-331+1)/$NU$6,$NN$6/$NT$6)),0)</f>
        <v/>
      </c>
      <c r="LX6" s="228">
        <f>IF(AND(332&gt;=$NR$6,332&lt;=$NS$6),IF($NP$6="Single_Point",IF(332=$NR$6,$NN$6,0),IF($NP$6="Bell_Curve",$NN$6*(332-$NR$6+1)*($NS$6-332+1)/$NU$6,$NN$6/$NT$6)),0)</f>
        <v/>
      </c>
      <c r="LY6" s="228">
        <f>IF(AND(333&gt;=$NR$6,333&lt;=$NS$6),IF($NP$6="Single_Point",IF(333=$NR$6,$NN$6,0),IF($NP$6="Bell_Curve",$NN$6*(333-$NR$6+1)*($NS$6-333+1)/$NU$6,$NN$6/$NT$6)),0)</f>
        <v/>
      </c>
      <c r="LZ6" s="228">
        <f>IF(AND(334&gt;=$NR$6,334&lt;=$NS$6),IF($NP$6="Single_Point",IF(334=$NR$6,$NN$6,0),IF($NP$6="Bell_Curve",$NN$6*(334-$NR$6+1)*($NS$6-334+1)/$NU$6,$NN$6/$NT$6)),0)</f>
        <v/>
      </c>
      <c r="MA6" s="228">
        <f>IF(AND(335&gt;=$NR$6,335&lt;=$NS$6),IF($NP$6="Single_Point",IF(335=$NR$6,$NN$6,0),IF($NP$6="Bell_Curve",$NN$6*(335-$NR$6+1)*($NS$6-335+1)/$NU$6,$NN$6/$NT$6)),0)</f>
        <v/>
      </c>
      <c r="MB6" s="228">
        <f>IF(AND(336&gt;=$NR$6,336&lt;=$NS$6),IF($NP$6="Single_Point",IF(336=$NR$6,$NN$6,0),IF($NP$6="Bell_Curve",$NN$6*(336-$NR$6+1)*($NS$6-336+1)/$NU$6,$NN$6/$NT$6)),0)</f>
        <v/>
      </c>
      <c r="MC6" s="228">
        <f>IF(AND(337&gt;=$NR$6,337&lt;=$NS$6),IF($NP$6="Single_Point",IF(337=$NR$6,$NN$6,0),IF($NP$6="Bell_Curve",$NN$6*(337-$NR$6+1)*($NS$6-337+1)/$NU$6,$NN$6/$NT$6)),0)</f>
        <v/>
      </c>
      <c r="MD6" s="228">
        <f>IF(AND(338&gt;=$NR$6,338&lt;=$NS$6),IF($NP$6="Single_Point",IF(338=$NR$6,$NN$6,0),IF($NP$6="Bell_Curve",$NN$6*(338-$NR$6+1)*($NS$6-338+1)/$NU$6,$NN$6/$NT$6)),0)</f>
        <v/>
      </c>
      <c r="ME6" s="228">
        <f>IF(AND(339&gt;=$NR$6,339&lt;=$NS$6),IF($NP$6="Single_Point",IF(339=$NR$6,$NN$6,0),IF($NP$6="Bell_Curve",$NN$6*(339-$NR$6+1)*($NS$6-339+1)/$NU$6,$NN$6/$NT$6)),0)</f>
        <v/>
      </c>
      <c r="MF6" s="228">
        <f>IF(AND(340&gt;=$NR$6,340&lt;=$NS$6),IF($NP$6="Single_Point",IF(340=$NR$6,$NN$6,0),IF($NP$6="Bell_Curve",$NN$6*(340-$NR$6+1)*($NS$6-340+1)/$NU$6,$NN$6/$NT$6)),0)</f>
        <v/>
      </c>
      <c r="MG6" s="228">
        <f>IF(AND(341&gt;=$NR$6,341&lt;=$NS$6),IF($NP$6="Single_Point",IF(341=$NR$6,$NN$6,0),IF($NP$6="Bell_Curve",$NN$6*(341-$NR$6+1)*($NS$6-341+1)/$NU$6,$NN$6/$NT$6)),0)</f>
        <v/>
      </c>
      <c r="MH6" s="228">
        <f>IF(AND(342&gt;=$NR$6,342&lt;=$NS$6),IF($NP$6="Single_Point",IF(342=$NR$6,$NN$6,0),IF($NP$6="Bell_Curve",$NN$6*(342-$NR$6+1)*($NS$6-342+1)/$NU$6,$NN$6/$NT$6)),0)</f>
        <v/>
      </c>
      <c r="MI6" s="228">
        <f>IF(AND(343&gt;=$NR$6,343&lt;=$NS$6),IF($NP$6="Single_Point",IF(343=$NR$6,$NN$6,0),IF($NP$6="Bell_Curve",$NN$6*(343-$NR$6+1)*($NS$6-343+1)/$NU$6,$NN$6/$NT$6)),0)</f>
        <v/>
      </c>
      <c r="MJ6" s="228">
        <f>IF(AND(344&gt;=$NR$6,344&lt;=$NS$6),IF($NP$6="Single_Point",IF(344=$NR$6,$NN$6,0),IF($NP$6="Bell_Curve",$NN$6*(344-$NR$6+1)*($NS$6-344+1)/$NU$6,$NN$6/$NT$6)),0)</f>
        <v/>
      </c>
      <c r="MK6" s="228">
        <f>IF(AND(345&gt;=$NR$6,345&lt;=$NS$6),IF($NP$6="Single_Point",IF(345=$NR$6,$NN$6,0),IF($NP$6="Bell_Curve",$NN$6*(345-$NR$6+1)*($NS$6-345+1)/$NU$6,$NN$6/$NT$6)),0)</f>
        <v/>
      </c>
      <c r="ML6" s="228">
        <f>IF(AND(346&gt;=$NR$6,346&lt;=$NS$6),IF($NP$6="Single_Point",IF(346=$NR$6,$NN$6,0),IF($NP$6="Bell_Curve",$NN$6*(346-$NR$6+1)*($NS$6-346+1)/$NU$6,$NN$6/$NT$6)),0)</f>
        <v/>
      </c>
      <c r="MM6" s="228">
        <f>IF(AND(347&gt;=$NR$6,347&lt;=$NS$6),IF($NP$6="Single_Point",IF(347=$NR$6,$NN$6,0),IF($NP$6="Bell_Curve",$NN$6*(347-$NR$6+1)*($NS$6-347+1)/$NU$6,$NN$6/$NT$6)),0)</f>
        <v/>
      </c>
      <c r="MN6" s="228">
        <f>IF(AND(348&gt;=$NR$6,348&lt;=$NS$6),IF($NP$6="Single_Point",IF(348=$NR$6,$NN$6,0),IF($NP$6="Bell_Curve",$NN$6*(348-$NR$6+1)*($NS$6-348+1)/$NU$6,$NN$6/$NT$6)),0)</f>
        <v/>
      </c>
      <c r="MO6" s="228">
        <f>IF(AND(349&gt;=$NR$6,349&lt;=$NS$6),IF($NP$6="Single_Point",IF(349=$NR$6,$NN$6,0),IF($NP$6="Bell_Curve",$NN$6*(349-$NR$6+1)*($NS$6-349+1)/$NU$6,$NN$6/$NT$6)),0)</f>
        <v/>
      </c>
      <c r="MP6" s="228">
        <f>IF(AND(350&gt;=$NR$6,350&lt;=$NS$6),IF($NP$6="Single_Point",IF(350=$NR$6,$NN$6,0),IF($NP$6="Bell_Curve",$NN$6*(350-$NR$6+1)*($NS$6-350+1)/$NU$6,$NN$6/$NT$6)),0)</f>
        <v/>
      </c>
      <c r="MQ6" s="228">
        <f>IF(AND(351&gt;=$NR$6,351&lt;=$NS$6),IF($NP$6="Single_Point",IF(351=$NR$6,$NN$6,0),IF($NP$6="Bell_Curve",$NN$6*(351-$NR$6+1)*($NS$6-351+1)/$NU$6,$NN$6/$NT$6)),0)</f>
        <v/>
      </c>
      <c r="MR6" s="228">
        <f>IF(AND(352&gt;=$NR$6,352&lt;=$NS$6),IF($NP$6="Single_Point",IF(352=$NR$6,$NN$6,0),IF($NP$6="Bell_Curve",$NN$6*(352-$NR$6+1)*($NS$6-352+1)/$NU$6,$NN$6/$NT$6)),0)</f>
        <v/>
      </c>
      <c r="MS6" s="228">
        <f>IF(AND(353&gt;=$NR$6,353&lt;=$NS$6),IF($NP$6="Single_Point",IF(353=$NR$6,$NN$6,0),IF($NP$6="Bell_Curve",$NN$6*(353-$NR$6+1)*($NS$6-353+1)/$NU$6,$NN$6/$NT$6)),0)</f>
        <v/>
      </c>
      <c r="MT6" s="228">
        <f>IF(AND(354&gt;=$NR$6,354&lt;=$NS$6),IF($NP$6="Single_Point",IF(354=$NR$6,$NN$6,0),IF($NP$6="Bell_Curve",$NN$6*(354-$NR$6+1)*($NS$6-354+1)/$NU$6,$NN$6/$NT$6)),0)</f>
        <v/>
      </c>
      <c r="MU6" s="228">
        <f>IF(AND(355&gt;=$NR$6,355&lt;=$NS$6),IF($NP$6="Single_Point",IF(355=$NR$6,$NN$6,0),IF($NP$6="Bell_Curve",$NN$6*(355-$NR$6+1)*($NS$6-355+1)/$NU$6,$NN$6/$NT$6)),0)</f>
        <v/>
      </c>
      <c r="MV6" s="228">
        <f>IF(AND(356&gt;=$NR$6,356&lt;=$NS$6),IF($NP$6="Single_Point",IF(356=$NR$6,$NN$6,0),IF($NP$6="Bell_Curve",$NN$6*(356-$NR$6+1)*($NS$6-356+1)/$NU$6,$NN$6/$NT$6)),0)</f>
        <v/>
      </c>
      <c r="MW6" s="228">
        <f>IF(AND(357&gt;=$NR$6,357&lt;=$NS$6),IF($NP$6="Single_Point",IF(357=$NR$6,$NN$6,0),IF($NP$6="Bell_Curve",$NN$6*(357-$NR$6+1)*($NS$6-357+1)/$NU$6,$NN$6/$NT$6)),0)</f>
        <v/>
      </c>
      <c r="MX6" s="228">
        <f>IF(AND(358&gt;=$NR$6,358&lt;=$NS$6),IF($NP$6="Single_Point",IF(358=$NR$6,$NN$6,0),IF($NP$6="Bell_Curve",$NN$6*(358-$NR$6+1)*($NS$6-358+1)/$NU$6,$NN$6/$NT$6)),0)</f>
        <v/>
      </c>
      <c r="MY6" s="228">
        <f>IF(AND(359&gt;=$NR$6,359&lt;=$NS$6),IF($NP$6="Single_Point",IF(359=$NR$6,$NN$6,0),IF($NP$6="Bell_Curve",$NN$6*(359-$NR$6+1)*($NS$6-359+1)/$NU$6,$NN$6/$NT$6)),0)</f>
        <v/>
      </c>
      <c r="MZ6" s="228">
        <f>IF(AND(360&gt;=$NR$6,360&lt;=$NS$6),IF($NP$6="Single_Point",IF(360=$NR$6,$NN$6,0),IF($NP$6="Bell_Curve",$NN$6*(360-$NR$6+1)*($NS$6-360+1)/$NU$6,$NN$6/$NT$6)),0)</f>
        <v/>
      </c>
      <c r="NA6" s="228">
        <f>IF(AND(361&gt;=$NR$6,361&lt;=$NS$6),IF($NP$6="Single_Point",IF(361=$NR$6,$NN$6,0),IF($NP$6="Bell_Curve",$NN$6*(361-$NR$6+1)*($NS$6-361+1)/$NU$6,$NN$6/$NT$6)),0)</f>
        <v/>
      </c>
      <c r="NB6" s="228">
        <f>IF(AND(362&gt;=$NR$6,362&lt;=$NS$6),IF($NP$6="Single_Point",IF(362=$NR$6,$NN$6,0),IF($NP$6="Bell_Curve",$NN$6*(362-$NR$6+1)*($NS$6-362+1)/$NU$6,$NN$6/$NT$6)),0)</f>
        <v/>
      </c>
      <c r="NC6" s="228">
        <f>IF(AND(363&gt;=$NR$6,363&lt;=$NS$6),IF($NP$6="Single_Point",IF(363=$NR$6,$NN$6,0),IF($NP$6="Bell_Curve",$NN$6*(363-$NR$6+1)*($NS$6-363+1)/$NU$6,$NN$6/$NT$6)),0)</f>
        <v/>
      </c>
      <c r="ND6" s="228">
        <f>IF(AND(364&gt;=$NR$6,364&lt;=$NS$6),IF($NP$6="Single_Point",IF(364=$NR$6,$NN$6,0),IF($NP$6="Bell_Curve",$NN$6*(364-$NR$6+1)*($NS$6-364+1)/$NU$6,$NN$6/$NT$6)),0)</f>
        <v/>
      </c>
      <c r="NE6" s="228">
        <f>IF(AND(365&gt;=$NR$6,365&lt;=$NS$6),IF($NP$6="Single_Point",IF(365=$NR$6,$NN$6,0),IF($NP$6="Bell_Curve",$NN$6*(365-$NR$6+1)*($NS$6-365+1)/$NU$6,$NN$6/$NT$6)),0)</f>
        <v/>
      </c>
      <c r="NF6" s="228">
        <f>IF(AND(366&gt;=$NR$6,366&lt;=$NS$6),IF($NP$6="Single_Point",IF(366=$NR$6,$NN$6,0),IF($NP$6="Bell_Curve",$NN$6*(366-$NR$6+1)*($NS$6-366+1)/$NU$6,$NN$6/$NT$6)),0)</f>
        <v/>
      </c>
      <c r="NG6" s="228">
        <f>IF(AND(367&gt;=$NR$6,367&lt;=$NS$6),IF($NP$6="Single_Point",IF(367=$NR$6,$NN$6,0),IF($NP$6="Bell_Curve",$NN$6*(367-$NR$6+1)*($NS$6-367+1)/$NU$6,$NN$6/$NT$6)),0)</f>
        <v/>
      </c>
      <c r="NH6" s="228">
        <f>IF(AND(368&gt;=$NR$6,368&lt;=$NS$6),IF($NP$6="Single_Point",IF(368=$NR$6,$NN$6,0),IF($NP$6="Bell_Curve",$NN$6*(368-$NR$6+1)*($NS$6-368+1)/$NU$6,$NN$6/$NT$6)),0)</f>
        <v/>
      </c>
      <c r="NI6" s="228">
        <f>IF(AND(369&gt;=$NR$6,369&lt;=$NS$6),IF($NP$6="Single_Point",IF(369=$NR$6,$NN$6,0),IF($NP$6="Bell_Curve",$NN$6*(369-$NR$6+1)*($NS$6-369+1)/$NU$6,$NN$6/$NT$6)),0)</f>
        <v/>
      </c>
      <c r="NJ6" s="228">
        <f>IF(AND(370&gt;=$NR$6,370&lt;=$NS$6),IF($NP$6="Single_Point",IF(370=$NR$6,$NN$6,0),IF($NP$6="Bell_Curve",$NN$6*(370-$NR$6+1)*($NS$6-370+1)/$NU$6,$NN$6/$NT$6)),0)</f>
        <v/>
      </c>
      <c r="NK6" s="228">
        <f>IF(AND(371&gt;=$NR$6,371&lt;=$NS$6),IF($NP$6="Single_Point",IF(371=$NR$6,$NN$6,0),IF($NP$6="Bell_Curve",$NN$6*(371-$NR$6+1)*($NS$6-371+1)/$NU$6,$NN$6/$NT$6)),0)</f>
        <v/>
      </c>
      <c r="NL6" s="247">
        <f>IF(AND(372&gt;=$NR$6,372&lt;=$NS$6),IF($NP$6="Single_Point",IF(372=$NR$6,$NN$6,0),IF($NP$6="Bell_Curve",$NN$6*(372-$NR$6+1)*($NS$6-372+1)/$NU$6,$NN$6/$NT$6)),0)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36" t="inlineStr">
        <is>
          <t>Existing Structure/Demo</t>
        </is>
      </c>
      <c r="D7" s="246">
        <f>SUM(E7:NL7)</f>
        <v/>
      </c>
      <c r="E7" s="228">
        <f>IF(AND(1&gt;=$NR$7,1&lt;=$NS$7),IF($NP$7="Single_Point",IF(1=$NR$7,$NN$7,0),IF($NP$7="Bell_Curve",$NN$7*(1-$NR$7+1)*($NS$7-1+1)/$NU$7,$NN$7/$NT$7)),0)</f>
        <v/>
      </c>
      <c r="F7" s="228">
        <f>IF(AND(2&gt;=$NR$7,2&lt;=$NS$7),IF($NP$7="Single_Point",IF(2=$NR$7,$NN$7,0),IF($NP$7="Bell_Curve",$NN$7*(2-$NR$7+1)*($NS$7-2+1)/$NU$7,$NN$7/$NT$7)),0)</f>
        <v/>
      </c>
      <c r="G7" s="228">
        <f>IF(AND(3&gt;=$NR$7,3&lt;=$NS$7),IF($NP$7="Single_Point",IF(3=$NR$7,$NN$7,0),IF($NP$7="Bell_Curve",$NN$7*(3-$NR$7+1)*($NS$7-3+1)/$NU$7,$NN$7/$NT$7)),0)</f>
        <v/>
      </c>
      <c r="H7" s="228">
        <f>IF(AND(4&gt;=$NR$7,4&lt;=$NS$7),IF($NP$7="Single_Point",IF(4=$NR$7,$NN$7,0),IF($NP$7="Bell_Curve",$NN$7*(4-$NR$7+1)*($NS$7-4+1)/$NU$7,$NN$7/$NT$7)),0)</f>
        <v/>
      </c>
      <c r="I7" s="228">
        <f>IF(AND(5&gt;=$NR$7,5&lt;=$NS$7),IF($NP$7="Single_Point",IF(5=$NR$7,$NN$7,0),IF($NP$7="Bell_Curve",$NN$7*(5-$NR$7+1)*($NS$7-5+1)/$NU$7,$NN$7/$NT$7)),0)</f>
        <v/>
      </c>
      <c r="J7" s="228">
        <f>IF(AND(6&gt;=$NR$7,6&lt;=$NS$7),IF($NP$7="Single_Point",IF(6=$NR$7,$NN$7,0),IF($NP$7="Bell_Curve",$NN$7*(6-$NR$7+1)*($NS$7-6+1)/$NU$7,$NN$7/$NT$7)),0)</f>
        <v/>
      </c>
      <c r="K7" s="228">
        <f>IF(AND(7&gt;=$NR$7,7&lt;=$NS$7),IF($NP$7="Single_Point",IF(7=$NR$7,$NN$7,0),IF($NP$7="Bell_Curve",$NN$7*(7-$NR$7+1)*($NS$7-7+1)/$NU$7,$NN$7/$NT$7)),0)</f>
        <v/>
      </c>
      <c r="L7" s="228">
        <f>IF(AND(8&gt;=$NR$7,8&lt;=$NS$7),IF($NP$7="Single_Point",IF(8=$NR$7,$NN$7,0),IF($NP$7="Bell_Curve",$NN$7*(8-$NR$7+1)*($NS$7-8+1)/$NU$7,$NN$7/$NT$7)),0)</f>
        <v/>
      </c>
      <c r="M7" s="228">
        <f>IF(AND(9&gt;=$NR$7,9&lt;=$NS$7),IF($NP$7="Single_Point",IF(9=$NR$7,$NN$7,0),IF($NP$7="Bell_Curve",$NN$7*(9-$NR$7+1)*($NS$7-9+1)/$NU$7,$NN$7/$NT$7)),0)</f>
        <v/>
      </c>
      <c r="N7" s="228">
        <f>IF(AND(10&gt;=$NR$7,10&lt;=$NS$7),IF($NP$7="Single_Point",IF(10=$NR$7,$NN$7,0),IF($NP$7="Bell_Curve",$NN$7*(10-$NR$7+1)*($NS$7-10+1)/$NU$7,$NN$7/$NT$7)),0)</f>
        <v/>
      </c>
      <c r="O7" s="228">
        <f>IF(AND(11&gt;=$NR$7,11&lt;=$NS$7),IF($NP$7="Single_Point",IF(11=$NR$7,$NN$7,0),IF($NP$7="Bell_Curve",$NN$7*(11-$NR$7+1)*($NS$7-11+1)/$NU$7,$NN$7/$NT$7)),0)</f>
        <v/>
      </c>
      <c r="P7" s="228">
        <f>IF(AND(12&gt;=$NR$7,12&lt;=$NS$7),IF($NP$7="Single_Point",IF(12=$NR$7,$NN$7,0),IF($NP$7="Bell_Curve",$NN$7*(12-$NR$7+1)*($NS$7-12+1)/$NU$7,$NN$7/$NT$7)),0)</f>
        <v/>
      </c>
      <c r="Q7" s="228">
        <f>IF(AND(13&gt;=$NR$7,13&lt;=$NS$7),IF($NP$7="Single_Point",IF(13=$NR$7,$NN$7,0),IF($NP$7="Bell_Curve",$NN$7*(13-$NR$7+1)*($NS$7-13+1)/$NU$7,$NN$7/$NT$7)),0)</f>
        <v/>
      </c>
      <c r="R7" s="228">
        <f>IF(AND(14&gt;=$NR$7,14&lt;=$NS$7),IF($NP$7="Single_Point",IF(14=$NR$7,$NN$7,0),IF($NP$7="Bell_Curve",$NN$7*(14-$NR$7+1)*($NS$7-14+1)/$NU$7,$NN$7/$NT$7)),0)</f>
        <v/>
      </c>
      <c r="S7" s="228">
        <f>IF(AND(15&gt;=$NR$7,15&lt;=$NS$7),IF($NP$7="Single_Point",IF(15=$NR$7,$NN$7,0),IF($NP$7="Bell_Curve",$NN$7*(15-$NR$7+1)*($NS$7-15+1)/$NU$7,$NN$7/$NT$7)),0)</f>
        <v/>
      </c>
      <c r="T7" s="228">
        <f>IF(AND(16&gt;=$NR$7,16&lt;=$NS$7),IF($NP$7="Single_Point",IF(16=$NR$7,$NN$7,0),IF($NP$7="Bell_Curve",$NN$7*(16-$NR$7+1)*($NS$7-16+1)/$NU$7,$NN$7/$NT$7)),0)</f>
        <v/>
      </c>
      <c r="U7" s="228">
        <f>IF(AND(17&gt;=$NR$7,17&lt;=$NS$7),IF($NP$7="Single_Point",IF(17=$NR$7,$NN$7,0),IF($NP$7="Bell_Curve",$NN$7*(17-$NR$7+1)*($NS$7-17+1)/$NU$7,$NN$7/$NT$7)),0)</f>
        <v/>
      </c>
      <c r="V7" s="228">
        <f>IF(AND(18&gt;=$NR$7,18&lt;=$NS$7),IF($NP$7="Single_Point",IF(18=$NR$7,$NN$7,0),IF($NP$7="Bell_Curve",$NN$7*(18-$NR$7+1)*($NS$7-18+1)/$NU$7,$NN$7/$NT$7)),0)</f>
        <v/>
      </c>
      <c r="W7" s="228">
        <f>IF(AND(19&gt;=$NR$7,19&lt;=$NS$7),IF($NP$7="Single_Point",IF(19=$NR$7,$NN$7,0),IF($NP$7="Bell_Curve",$NN$7*(19-$NR$7+1)*($NS$7-19+1)/$NU$7,$NN$7/$NT$7)),0)</f>
        <v/>
      </c>
      <c r="X7" s="228">
        <f>IF(AND(20&gt;=$NR$7,20&lt;=$NS$7),IF($NP$7="Single_Point",IF(20=$NR$7,$NN$7,0),IF($NP$7="Bell_Curve",$NN$7*(20-$NR$7+1)*($NS$7-20+1)/$NU$7,$NN$7/$NT$7)),0)</f>
        <v/>
      </c>
      <c r="Y7" s="228">
        <f>IF(AND(21&gt;=$NR$7,21&lt;=$NS$7),IF($NP$7="Single_Point",IF(21=$NR$7,$NN$7,0),IF($NP$7="Bell_Curve",$NN$7*(21-$NR$7+1)*($NS$7-21+1)/$NU$7,$NN$7/$NT$7)),0)</f>
        <v/>
      </c>
      <c r="Z7" s="228">
        <f>IF(AND(22&gt;=$NR$7,22&lt;=$NS$7),IF($NP$7="Single_Point",IF(22=$NR$7,$NN$7,0),IF($NP$7="Bell_Curve",$NN$7*(22-$NR$7+1)*($NS$7-22+1)/$NU$7,$NN$7/$NT$7)),0)</f>
        <v/>
      </c>
      <c r="AA7" s="228">
        <f>IF(AND(23&gt;=$NR$7,23&lt;=$NS$7),IF($NP$7="Single_Point",IF(23=$NR$7,$NN$7,0),IF($NP$7="Bell_Curve",$NN$7*(23-$NR$7+1)*($NS$7-23+1)/$NU$7,$NN$7/$NT$7)),0)</f>
        <v/>
      </c>
      <c r="AB7" s="228">
        <f>IF(AND(24&gt;=$NR$7,24&lt;=$NS$7),IF($NP$7="Single_Point",IF(24=$NR$7,$NN$7,0),IF($NP$7="Bell_Curve",$NN$7*(24-$NR$7+1)*($NS$7-24+1)/$NU$7,$NN$7/$NT$7)),0)</f>
        <v/>
      </c>
      <c r="AC7" s="228">
        <f>IF(AND(25&gt;=$NR$7,25&lt;=$NS$7),IF($NP$7="Single_Point",IF(25=$NR$7,$NN$7,0),IF($NP$7="Bell_Curve",$NN$7*(25-$NR$7+1)*($NS$7-25+1)/$NU$7,$NN$7/$NT$7)),0)</f>
        <v/>
      </c>
      <c r="AD7" s="228">
        <f>IF(AND(26&gt;=$NR$7,26&lt;=$NS$7),IF($NP$7="Single_Point",IF(26=$NR$7,$NN$7,0),IF($NP$7="Bell_Curve",$NN$7*(26-$NR$7+1)*($NS$7-26+1)/$NU$7,$NN$7/$NT$7)),0)</f>
        <v/>
      </c>
      <c r="AE7" s="228">
        <f>IF(AND(27&gt;=$NR$7,27&lt;=$NS$7),IF($NP$7="Single_Point",IF(27=$NR$7,$NN$7,0),IF($NP$7="Bell_Curve",$NN$7*(27-$NR$7+1)*($NS$7-27+1)/$NU$7,$NN$7/$NT$7)),0)</f>
        <v/>
      </c>
      <c r="AF7" s="228">
        <f>IF(AND(28&gt;=$NR$7,28&lt;=$NS$7),IF($NP$7="Single_Point",IF(28=$NR$7,$NN$7,0),IF($NP$7="Bell_Curve",$NN$7*(28-$NR$7+1)*($NS$7-28+1)/$NU$7,$NN$7/$NT$7)),0)</f>
        <v/>
      </c>
      <c r="AG7" s="228">
        <f>IF(AND(29&gt;=$NR$7,29&lt;=$NS$7),IF($NP$7="Single_Point",IF(29=$NR$7,$NN$7,0),IF($NP$7="Bell_Curve",$NN$7*(29-$NR$7+1)*($NS$7-29+1)/$NU$7,$NN$7/$NT$7)),0)</f>
        <v/>
      </c>
      <c r="AH7" s="228">
        <f>IF(AND(30&gt;=$NR$7,30&lt;=$NS$7),IF($NP$7="Single_Point",IF(30=$NR$7,$NN$7,0),IF($NP$7="Bell_Curve",$NN$7*(30-$NR$7+1)*($NS$7-30+1)/$NU$7,$NN$7/$NT$7)),0)</f>
        <v/>
      </c>
      <c r="AI7" s="228">
        <f>IF(AND(31&gt;=$NR$7,31&lt;=$NS$7),IF($NP$7="Single_Point",IF(31=$NR$7,$NN$7,0),IF($NP$7="Bell_Curve",$NN$7*(31-$NR$7+1)*($NS$7-31+1)/$NU$7,$NN$7/$NT$7)),0)</f>
        <v/>
      </c>
      <c r="AJ7" s="228">
        <f>IF(AND(32&gt;=$NR$7,32&lt;=$NS$7),IF($NP$7="Single_Point",IF(32=$NR$7,$NN$7,0),IF($NP$7="Bell_Curve",$NN$7*(32-$NR$7+1)*($NS$7-32+1)/$NU$7,$NN$7/$NT$7)),0)</f>
        <v/>
      </c>
      <c r="AK7" s="228">
        <f>IF(AND(33&gt;=$NR$7,33&lt;=$NS$7),IF($NP$7="Single_Point",IF(33=$NR$7,$NN$7,0),IF($NP$7="Bell_Curve",$NN$7*(33-$NR$7+1)*($NS$7-33+1)/$NU$7,$NN$7/$NT$7)),0)</f>
        <v/>
      </c>
      <c r="AL7" s="228">
        <f>IF(AND(34&gt;=$NR$7,34&lt;=$NS$7),IF($NP$7="Single_Point",IF(34=$NR$7,$NN$7,0),IF($NP$7="Bell_Curve",$NN$7*(34-$NR$7+1)*($NS$7-34+1)/$NU$7,$NN$7/$NT$7)),0)</f>
        <v/>
      </c>
      <c r="AM7" s="228">
        <f>IF(AND(35&gt;=$NR$7,35&lt;=$NS$7),IF($NP$7="Single_Point",IF(35=$NR$7,$NN$7,0),IF($NP$7="Bell_Curve",$NN$7*(35-$NR$7+1)*($NS$7-35+1)/$NU$7,$NN$7/$NT$7)),0)</f>
        <v/>
      </c>
      <c r="AN7" s="228">
        <f>IF(AND(36&gt;=$NR$7,36&lt;=$NS$7),IF($NP$7="Single_Point",IF(36=$NR$7,$NN$7,0),IF($NP$7="Bell_Curve",$NN$7*(36-$NR$7+1)*($NS$7-36+1)/$NU$7,$NN$7/$NT$7)),0)</f>
        <v/>
      </c>
      <c r="AO7" s="228">
        <f>IF(AND(37&gt;=$NR$7,37&lt;=$NS$7),IF($NP$7="Single_Point",IF(37=$NR$7,$NN$7,0),IF($NP$7="Bell_Curve",$NN$7*(37-$NR$7+1)*($NS$7-37+1)/$NU$7,$NN$7/$NT$7)),0)</f>
        <v/>
      </c>
      <c r="AP7" s="228">
        <f>IF(AND(38&gt;=$NR$7,38&lt;=$NS$7),IF($NP$7="Single_Point",IF(38=$NR$7,$NN$7,0),IF($NP$7="Bell_Curve",$NN$7*(38-$NR$7+1)*($NS$7-38+1)/$NU$7,$NN$7/$NT$7)),0)</f>
        <v/>
      </c>
      <c r="AQ7" s="228">
        <f>IF(AND(39&gt;=$NR$7,39&lt;=$NS$7),IF($NP$7="Single_Point",IF(39=$NR$7,$NN$7,0),IF($NP$7="Bell_Curve",$NN$7*(39-$NR$7+1)*($NS$7-39+1)/$NU$7,$NN$7/$NT$7)),0)</f>
        <v/>
      </c>
      <c r="AR7" s="228">
        <f>IF(AND(40&gt;=$NR$7,40&lt;=$NS$7),IF($NP$7="Single_Point",IF(40=$NR$7,$NN$7,0),IF($NP$7="Bell_Curve",$NN$7*(40-$NR$7+1)*($NS$7-40+1)/$NU$7,$NN$7/$NT$7)),0)</f>
        <v/>
      </c>
      <c r="AS7" s="228">
        <f>IF(AND(41&gt;=$NR$7,41&lt;=$NS$7),IF($NP$7="Single_Point",IF(41=$NR$7,$NN$7,0),IF($NP$7="Bell_Curve",$NN$7*(41-$NR$7+1)*($NS$7-41+1)/$NU$7,$NN$7/$NT$7)),0)</f>
        <v/>
      </c>
      <c r="AT7" s="228">
        <f>IF(AND(42&gt;=$NR$7,42&lt;=$NS$7),IF($NP$7="Single_Point",IF(42=$NR$7,$NN$7,0),IF($NP$7="Bell_Curve",$NN$7*(42-$NR$7+1)*($NS$7-42+1)/$NU$7,$NN$7/$NT$7)),0)</f>
        <v/>
      </c>
      <c r="AU7" s="228">
        <f>IF(AND(43&gt;=$NR$7,43&lt;=$NS$7),IF($NP$7="Single_Point",IF(43=$NR$7,$NN$7,0),IF($NP$7="Bell_Curve",$NN$7*(43-$NR$7+1)*($NS$7-43+1)/$NU$7,$NN$7/$NT$7)),0)</f>
        <v/>
      </c>
      <c r="AV7" s="228">
        <f>IF(AND(44&gt;=$NR$7,44&lt;=$NS$7),IF($NP$7="Single_Point",IF(44=$NR$7,$NN$7,0),IF($NP$7="Bell_Curve",$NN$7*(44-$NR$7+1)*($NS$7-44+1)/$NU$7,$NN$7/$NT$7)),0)</f>
        <v/>
      </c>
      <c r="AW7" s="228">
        <f>IF(AND(45&gt;=$NR$7,45&lt;=$NS$7),IF($NP$7="Single_Point",IF(45=$NR$7,$NN$7,0),IF($NP$7="Bell_Curve",$NN$7*(45-$NR$7+1)*($NS$7-45+1)/$NU$7,$NN$7/$NT$7)),0)</f>
        <v/>
      </c>
      <c r="AX7" s="228">
        <f>IF(AND(46&gt;=$NR$7,46&lt;=$NS$7),IF($NP$7="Single_Point",IF(46=$NR$7,$NN$7,0),IF($NP$7="Bell_Curve",$NN$7*(46-$NR$7+1)*($NS$7-46+1)/$NU$7,$NN$7/$NT$7)),0)</f>
        <v/>
      </c>
      <c r="AY7" s="228">
        <f>IF(AND(47&gt;=$NR$7,47&lt;=$NS$7),IF($NP$7="Single_Point",IF(47=$NR$7,$NN$7,0),IF($NP$7="Bell_Curve",$NN$7*(47-$NR$7+1)*($NS$7-47+1)/$NU$7,$NN$7/$NT$7)),0)</f>
        <v/>
      </c>
      <c r="AZ7" s="228">
        <f>IF(AND(48&gt;=$NR$7,48&lt;=$NS$7),IF($NP$7="Single_Point",IF(48=$NR$7,$NN$7,0),IF($NP$7="Bell_Curve",$NN$7*(48-$NR$7+1)*($NS$7-48+1)/$NU$7,$NN$7/$NT$7)),0)</f>
        <v/>
      </c>
      <c r="BA7" s="228">
        <f>IF(AND(49&gt;=$NR$7,49&lt;=$NS$7),IF($NP$7="Single_Point",IF(49=$NR$7,$NN$7,0),IF($NP$7="Bell_Curve",$NN$7*(49-$NR$7+1)*($NS$7-49+1)/$NU$7,$NN$7/$NT$7)),0)</f>
        <v/>
      </c>
      <c r="BB7" s="228">
        <f>IF(AND(50&gt;=$NR$7,50&lt;=$NS$7),IF($NP$7="Single_Point",IF(50=$NR$7,$NN$7,0),IF($NP$7="Bell_Curve",$NN$7*(50-$NR$7+1)*($NS$7-50+1)/$NU$7,$NN$7/$NT$7)),0)</f>
        <v/>
      </c>
      <c r="BC7" s="228">
        <f>IF(AND(51&gt;=$NR$7,51&lt;=$NS$7),IF($NP$7="Single_Point",IF(51=$NR$7,$NN$7,0),IF($NP$7="Bell_Curve",$NN$7*(51-$NR$7+1)*($NS$7-51+1)/$NU$7,$NN$7/$NT$7)),0)</f>
        <v/>
      </c>
      <c r="BD7" s="228">
        <f>IF(AND(52&gt;=$NR$7,52&lt;=$NS$7),IF($NP$7="Single_Point",IF(52=$NR$7,$NN$7,0),IF($NP$7="Bell_Curve",$NN$7*(52-$NR$7+1)*($NS$7-52+1)/$NU$7,$NN$7/$NT$7)),0)</f>
        <v/>
      </c>
      <c r="BE7" s="228">
        <f>IF(AND(53&gt;=$NR$7,53&lt;=$NS$7),IF($NP$7="Single_Point",IF(53=$NR$7,$NN$7,0),IF($NP$7="Bell_Curve",$NN$7*(53-$NR$7+1)*($NS$7-53+1)/$NU$7,$NN$7/$NT$7)),0)</f>
        <v/>
      </c>
      <c r="BF7" s="228">
        <f>IF(AND(54&gt;=$NR$7,54&lt;=$NS$7),IF($NP$7="Single_Point",IF(54=$NR$7,$NN$7,0),IF($NP$7="Bell_Curve",$NN$7*(54-$NR$7+1)*($NS$7-54+1)/$NU$7,$NN$7/$NT$7)),0)</f>
        <v/>
      </c>
      <c r="BG7" s="228">
        <f>IF(AND(55&gt;=$NR$7,55&lt;=$NS$7),IF($NP$7="Single_Point",IF(55=$NR$7,$NN$7,0),IF($NP$7="Bell_Curve",$NN$7*(55-$NR$7+1)*($NS$7-55+1)/$NU$7,$NN$7/$NT$7)),0)</f>
        <v/>
      </c>
      <c r="BH7" s="228">
        <f>IF(AND(56&gt;=$NR$7,56&lt;=$NS$7),IF($NP$7="Single_Point",IF(56=$NR$7,$NN$7,0),IF($NP$7="Bell_Curve",$NN$7*(56-$NR$7+1)*($NS$7-56+1)/$NU$7,$NN$7/$NT$7)),0)</f>
        <v/>
      </c>
      <c r="BI7" s="228">
        <f>IF(AND(57&gt;=$NR$7,57&lt;=$NS$7),IF($NP$7="Single_Point",IF(57=$NR$7,$NN$7,0),IF($NP$7="Bell_Curve",$NN$7*(57-$NR$7+1)*($NS$7-57+1)/$NU$7,$NN$7/$NT$7)),0)</f>
        <v/>
      </c>
      <c r="BJ7" s="228">
        <f>IF(AND(58&gt;=$NR$7,58&lt;=$NS$7),IF($NP$7="Single_Point",IF(58=$NR$7,$NN$7,0),IF($NP$7="Bell_Curve",$NN$7*(58-$NR$7+1)*($NS$7-58+1)/$NU$7,$NN$7/$NT$7)),0)</f>
        <v/>
      </c>
      <c r="BK7" s="228">
        <f>IF(AND(59&gt;=$NR$7,59&lt;=$NS$7),IF($NP$7="Single_Point",IF(59=$NR$7,$NN$7,0),IF($NP$7="Bell_Curve",$NN$7*(59-$NR$7+1)*($NS$7-59+1)/$NU$7,$NN$7/$NT$7)),0)</f>
        <v/>
      </c>
      <c r="BL7" s="228">
        <f>IF(AND(60&gt;=$NR$7,60&lt;=$NS$7),IF($NP$7="Single_Point",IF(60=$NR$7,$NN$7,0),IF($NP$7="Bell_Curve",$NN$7*(60-$NR$7+1)*($NS$7-60+1)/$NU$7,$NN$7/$NT$7)),0)</f>
        <v/>
      </c>
      <c r="BM7" s="228">
        <f>IF(AND(61&gt;=$NR$7,61&lt;=$NS$7),IF($NP$7="Single_Point",IF(61=$NR$7,$NN$7,0),IF($NP$7="Bell_Curve",$NN$7*(61-$NR$7+1)*($NS$7-61+1)/$NU$7,$NN$7/$NT$7)),0)</f>
        <v/>
      </c>
      <c r="BN7" s="228">
        <f>IF(AND(62&gt;=$NR$7,62&lt;=$NS$7),IF($NP$7="Single_Point",IF(62=$NR$7,$NN$7,0),IF($NP$7="Bell_Curve",$NN$7*(62-$NR$7+1)*($NS$7-62+1)/$NU$7,$NN$7/$NT$7)),0)</f>
        <v/>
      </c>
      <c r="BO7" s="228">
        <f>IF(AND(63&gt;=$NR$7,63&lt;=$NS$7),IF($NP$7="Single_Point",IF(63=$NR$7,$NN$7,0),IF($NP$7="Bell_Curve",$NN$7*(63-$NR$7+1)*($NS$7-63+1)/$NU$7,$NN$7/$NT$7)),0)</f>
        <v/>
      </c>
      <c r="BP7" s="228">
        <f>IF(AND(64&gt;=$NR$7,64&lt;=$NS$7),IF($NP$7="Single_Point",IF(64=$NR$7,$NN$7,0),IF($NP$7="Bell_Curve",$NN$7*(64-$NR$7+1)*($NS$7-64+1)/$NU$7,$NN$7/$NT$7)),0)</f>
        <v/>
      </c>
      <c r="BQ7" s="228">
        <f>IF(AND(65&gt;=$NR$7,65&lt;=$NS$7),IF($NP$7="Single_Point",IF(65=$NR$7,$NN$7,0),IF($NP$7="Bell_Curve",$NN$7*(65-$NR$7+1)*($NS$7-65+1)/$NU$7,$NN$7/$NT$7)),0)</f>
        <v/>
      </c>
      <c r="BR7" s="228">
        <f>IF(AND(66&gt;=$NR$7,66&lt;=$NS$7),IF($NP$7="Single_Point",IF(66=$NR$7,$NN$7,0),IF($NP$7="Bell_Curve",$NN$7*(66-$NR$7+1)*($NS$7-66+1)/$NU$7,$NN$7/$NT$7)),0)</f>
        <v/>
      </c>
      <c r="BS7" s="228">
        <f>IF(AND(67&gt;=$NR$7,67&lt;=$NS$7),IF($NP$7="Single_Point",IF(67=$NR$7,$NN$7,0),IF($NP$7="Bell_Curve",$NN$7*(67-$NR$7+1)*($NS$7-67+1)/$NU$7,$NN$7/$NT$7)),0)</f>
        <v/>
      </c>
      <c r="BT7" s="228">
        <f>IF(AND(68&gt;=$NR$7,68&lt;=$NS$7),IF($NP$7="Single_Point",IF(68=$NR$7,$NN$7,0),IF($NP$7="Bell_Curve",$NN$7*(68-$NR$7+1)*($NS$7-68+1)/$NU$7,$NN$7/$NT$7)),0)</f>
        <v/>
      </c>
      <c r="BU7" s="228">
        <f>IF(AND(69&gt;=$NR$7,69&lt;=$NS$7),IF($NP$7="Single_Point",IF(69=$NR$7,$NN$7,0),IF($NP$7="Bell_Curve",$NN$7*(69-$NR$7+1)*($NS$7-69+1)/$NU$7,$NN$7/$NT$7)),0)</f>
        <v/>
      </c>
      <c r="BV7" s="228">
        <f>IF(AND(70&gt;=$NR$7,70&lt;=$NS$7),IF($NP$7="Single_Point",IF(70=$NR$7,$NN$7,0),IF($NP$7="Bell_Curve",$NN$7*(70-$NR$7+1)*($NS$7-70+1)/$NU$7,$NN$7/$NT$7)),0)</f>
        <v/>
      </c>
      <c r="BW7" s="228">
        <f>IF(AND(71&gt;=$NR$7,71&lt;=$NS$7),IF($NP$7="Single_Point",IF(71=$NR$7,$NN$7,0),IF($NP$7="Bell_Curve",$NN$7*(71-$NR$7+1)*($NS$7-71+1)/$NU$7,$NN$7/$NT$7)),0)</f>
        <v/>
      </c>
      <c r="BX7" s="228">
        <f>IF(AND(72&gt;=$NR$7,72&lt;=$NS$7),IF($NP$7="Single_Point",IF(72=$NR$7,$NN$7,0),IF($NP$7="Bell_Curve",$NN$7*(72-$NR$7+1)*($NS$7-72+1)/$NU$7,$NN$7/$NT$7)),0)</f>
        <v/>
      </c>
      <c r="BY7" s="228">
        <f>IF(AND(73&gt;=$NR$7,73&lt;=$NS$7),IF($NP$7="Single_Point",IF(73=$NR$7,$NN$7,0),IF($NP$7="Bell_Curve",$NN$7*(73-$NR$7+1)*($NS$7-73+1)/$NU$7,$NN$7/$NT$7)),0)</f>
        <v/>
      </c>
      <c r="BZ7" s="228">
        <f>IF(AND(74&gt;=$NR$7,74&lt;=$NS$7),IF($NP$7="Single_Point",IF(74=$NR$7,$NN$7,0),IF($NP$7="Bell_Curve",$NN$7*(74-$NR$7+1)*($NS$7-74+1)/$NU$7,$NN$7/$NT$7)),0)</f>
        <v/>
      </c>
      <c r="CA7" s="228">
        <f>IF(AND(75&gt;=$NR$7,75&lt;=$NS$7),IF($NP$7="Single_Point",IF(75=$NR$7,$NN$7,0),IF($NP$7="Bell_Curve",$NN$7*(75-$NR$7+1)*($NS$7-75+1)/$NU$7,$NN$7/$NT$7)),0)</f>
        <v/>
      </c>
      <c r="CB7" s="228">
        <f>IF(AND(76&gt;=$NR$7,76&lt;=$NS$7),IF($NP$7="Single_Point",IF(76=$NR$7,$NN$7,0),IF($NP$7="Bell_Curve",$NN$7*(76-$NR$7+1)*($NS$7-76+1)/$NU$7,$NN$7/$NT$7)),0)</f>
        <v/>
      </c>
      <c r="CC7" s="228">
        <f>IF(AND(77&gt;=$NR$7,77&lt;=$NS$7),IF($NP$7="Single_Point",IF(77=$NR$7,$NN$7,0),IF($NP$7="Bell_Curve",$NN$7*(77-$NR$7+1)*($NS$7-77+1)/$NU$7,$NN$7/$NT$7)),0)</f>
        <v/>
      </c>
      <c r="CD7" s="228">
        <f>IF(AND(78&gt;=$NR$7,78&lt;=$NS$7),IF($NP$7="Single_Point",IF(78=$NR$7,$NN$7,0),IF($NP$7="Bell_Curve",$NN$7*(78-$NR$7+1)*($NS$7-78+1)/$NU$7,$NN$7/$NT$7)),0)</f>
        <v/>
      </c>
      <c r="CE7" s="228">
        <f>IF(AND(79&gt;=$NR$7,79&lt;=$NS$7),IF($NP$7="Single_Point",IF(79=$NR$7,$NN$7,0),IF($NP$7="Bell_Curve",$NN$7*(79-$NR$7+1)*($NS$7-79+1)/$NU$7,$NN$7/$NT$7)),0)</f>
        <v/>
      </c>
      <c r="CF7" s="228">
        <f>IF(AND(80&gt;=$NR$7,80&lt;=$NS$7),IF($NP$7="Single_Point",IF(80=$NR$7,$NN$7,0),IF($NP$7="Bell_Curve",$NN$7*(80-$NR$7+1)*($NS$7-80+1)/$NU$7,$NN$7/$NT$7)),0)</f>
        <v/>
      </c>
      <c r="CG7" s="228">
        <f>IF(AND(81&gt;=$NR$7,81&lt;=$NS$7),IF($NP$7="Single_Point",IF(81=$NR$7,$NN$7,0),IF($NP$7="Bell_Curve",$NN$7*(81-$NR$7+1)*($NS$7-81+1)/$NU$7,$NN$7/$NT$7)),0)</f>
        <v/>
      </c>
      <c r="CH7" s="228">
        <f>IF(AND(82&gt;=$NR$7,82&lt;=$NS$7),IF($NP$7="Single_Point",IF(82=$NR$7,$NN$7,0),IF($NP$7="Bell_Curve",$NN$7*(82-$NR$7+1)*($NS$7-82+1)/$NU$7,$NN$7/$NT$7)),0)</f>
        <v/>
      </c>
      <c r="CI7" s="228">
        <f>IF(AND(83&gt;=$NR$7,83&lt;=$NS$7),IF($NP$7="Single_Point",IF(83=$NR$7,$NN$7,0),IF($NP$7="Bell_Curve",$NN$7*(83-$NR$7+1)*($NS$7-83+1)/$NU$7,$NN$7/$NT$7)),0)</f>
        <v/>
      </c>
      <c r="CJ7" s="228">
        <f>IF(AND(84&gt;=$NR$7,84&lt;=$NS$7),IF($NP$7="Single_Point",IF(84=$NR$7,$NN$7,0),IF($NP$7="Bell_Curve",$NN$7*(84-$NR$7+1)*($NS$7-84+1)/$NU$7,$NN$7/$NT$7)),0)</f>
        <v/>
      </c>
      <c r="CK7" s="228">
        <f>IF(AND(85&gt;=$NR$7,85&lt;=$NS$7),IF($NP$7="Single_Point",IF(85=$NR$7,$NN$7,0),IF($NP$7="Bell_Curve",$NN$7*(85-$NR$7+1)*($NS$7-85+1)/$NU$7,$NN$7/$NT$7)),0)</f>
        <v/>
      </c>
      <c r="CL7" s="228">
        <f>IF(AND(86&gt;=$NR$7,86&lt;=$NS$7),IF($NP$7="Single_Point",IF(86=$NR$7,$NN$7,0),IF($NP$7="Bell_Curve",$NN$7*(86-$NR$7+1)*($NS$7-86+1)/$NU$7,$NN$7/$NT$7)),0)</f>
        <v/>
      </c>
      <c r="CM7" s="228">
        <f>IF(AND(87&gt;=$NR$7,87&lt;=$NS$7),IF($NP$7="Single_Point",IF(87=$NR$7,$NN$7,0),IF($NP$7="Bell_Curve",$NN$7*(87-$NR$7+1)*($NS$7-87+1)/$NU$7,$NN$7/$NT$7)),0)</f>
        <v/>
      </c>
      <c r="CN7" s="228">
        <f>IF(AND(88&gt;=$NR$7,88&lt;=$NS$7),IF($NP$7="Single_Point",IF(88=$NR$7,$NN$7,0),IF($NP$7="Bell_Curve",$NN$7*(88-$NR$7+1)*($NS$7-88+1)/$NU$7,$NN$7/$NT$7)),0)</f>
        <v/>
      </c>
      <c r="CO7" s="228">
        <f>IF(AND(89&gt;=$NR$7,89&lt;=$NS$7),IF($NP$7="Single_Point",IF(89=$NR$7,$NN$7,0),IF($NP$7="Bell_Curve",$NN$7*(89-$NR$7+1)*($NS$7-89+1)/$NU$7,$NN$7/$NT$7)),0)</f>
        <v/>
      </c>
      <c r="CP7" s="228">
        <f>IF(AND(90&gt;=$NR$7,90&lt;=$NS$7),IF($NP$7="Single_Point",IF(90=$NR$7,$NN$7,0),IF($NP$7="Bell_Curve",$NN$7*(90-$NR$7+1)*($NS$7-90+1)/$NU$7,$NN$7/$NT$7)),0)</f>
        <v/>
      </c>
      <c r="CQ7" s="228">
        <f>IF(AND(91&gt;=$NR$7,91&lt;=$NS$7),IF($NP$7="Single_Point",IF(91=$NR$7,$NN$7,0),IF($NP$7="Bell_Curve",$NN$7*(91-$NR$7+1)*($NS$7-91+1)/$NU$7,$NN$7/$NT$7)),0)</f>
        <v/>
      </c>
      <c r="CR7" s="228">
        <f>IF(AND(92&gt;=$NR$7,92&lt;=$NS$7),IF($NP$7="Single_Point",IF(92=$NR$7,$NN$7,0),IF($NP$7="Bell_Curve",$NN$7*(92-$NR$7+1)*($NS$7-92+1)/$NU$7,$NN$7/$NT$7)),0)</f>
        <v/>
      </c>
      <c r="CS7" s="228">
        <f>IF(AND(93&gt;=$NR$7,93&lt;=$NS$7),IF($NP$7="Single_Point",IF(93=$NR$7,$NN$7,0),IF($NP$7="Bell_Curve",$NN$7*(93-$NR$7+1)*($NS$7-93+1)/$NU$7,$NN$7/$NT$7)),0)</f>
        <v/>
      </c>
      <c r="CT7" s="228">
        <f>IF(AND(94&gt;=$NR$7,94&lt;=$NS$7),IF($NP$7="Single_Point",IF(94=$NR$7,$NN$7,0),IF($NP$7="Bell_Curve",$NN$7*(94-$NR$7+1)*($NS$7-94+1)/$NU$7,$NN$7/$NT$7)),0)</f>
        <v/>
      </c>
      <c r="CU7" s="228">
        <f>IF(AND(95&gt;=$NR$7,95&lt;=$NS$7),IF($NP$7="Single_Point",IF(95=$NR$7,$NN$7,0),IF($NP$7="Bell_Curve",$NN$7*(95-$NR$7+1)*($NS$7-95+1)/$NU$7,$NN$7/$NT$7)),0)</f>
        <v/>
      </c>
      <c r="CV7" s="228">
        <f>IF(AND(96&gt;=$NR$7,96&lt;=$NS$7),IF($NP$7="Single_Point",IF(96=$NR$7,$NN$7,0),IF($NP$7="Bell_Curve",$NN$7*(96-$NR$7+1)*($NS$7-96+1)/$NU$7,$NN$7/$NT$7)),0)</f>
        <v/>
      </c>
      <c r="CW7" s="228">
        <f>IF(AND(97&gt;=$NR$7,97&lt;=$NS$7),IF($NP$7="Single_Point",IF(97=$NR$7,$NN$7,0),IF($NP$7="Bell_Curve",$NN$7*(97-$NR$7+1)*($NS$7-97+1)/$NU$7,$NN$7/$NT$7)),0)</f>
        <v/>
      </c>
      <c r="CX7" s="228">
        <f>IF(AND(98&gt;=$NR$7,98&lt;=$NS$7),IF($NP$7="Single_Point",IF(98=$NR$7,$NN$7,0),IF($NP$7="Bell_Curve",$NN$7*(98-$NR$7+1)*($NS$7-98+1)/$NU$7,$NN$7/$NT$7)),0)</f>
        <v/>
      </c>
      <c r="CY7" s="228">
        <f>IF(AND(99&gt;=$NR$7,99&lt;=$NS$7),IF($NP$7="Single_Point",IF(99=$NR$7,$NN$7,0),IF($NP$7="Bell_Curve",$NN$7*(99-$NR$7+1)*($NS$7-99+1)/$NU$7,$NN$7/$NT$7)),0)</f>
        <v/>
      </c>
      <c r="CZ7" s="228">
        <f>IF(AND(100&gt;=$NR$7,100&lt;=$NS$7),IF($NP$7="Single_Point",IF(100=$NR$7,$NN$7,0),IF($NP$7="Bell_Curve",$NN$7*(100-$NR$7+1)*($NS$7-100+1)/$NU$7,$NN$7/$NT$7)),0)</f>
        <v/>
      </c>
      <c r="DA7" s="228">
        <f>IF(AND(101&gt;=$NR$7,101&lt;=$NS$7),IF($NP$7="Single_Point",IF(101=$NR$7,$NN$7,0),IF($NP$7="Bell_Curve",$NN$7*(101-$NR$7+1)*($NS$7-101+1)/$NU$7,$NN$7/$NT$7)),0)</f>
        <v/>
      </c>
      <c r="DB7" s="228">
        <f>IF(AND(102&gt;=$NR$7,102&lt;=$NS$7),IF($NP$7="Single_Point",IF(102=$NR$7,$NN$7,0),IF($NP$7="Bell_Curve",$NN$7*(102-$NR$7+1)*($NS$7-102+1)/$NU$7,$NN$7/$NT$7)),0)</f>
        <v/>
      </c>
      <c r="DC7" s="228">
        <f>IF(AND(103&gt;=$NR$7,103&lt;=$NS$7),IF($NP$7="Single_Point",IF(103=$NR$7,$NN$7,0),IF($NP$7="Bell_Curve",$NN$7*(103-$NR$7+1)*($NS$7-103+1)/$NU$7,$NN$7/$NT$7)),0)</f>
        <v/>
      </c>
      <c r="DD7" s="228">
        <f>IF(AND(104&gt;=$NR$7,104&lt;=$NS$7),IF($NP$7="Single_Point",IF(104=$NR$7,$NN$7,0),IF($NP$7="Bell_Curve",$NN$7*(104-$NR$7+1)*($NS$7-104+1)/$NU$7,$NN$7/$NT$7)),0)</f>
        <v/>
      </c>
      <c r="DE7" s="228">
        <f>IF(AND(105&gt;=$NR$7,105&lt;=$NS$7),IF($NP$7="Single_Point",IF(105=$NR$7,$NN$7,0),IF($NP$7="Bell_Curve",$NN$7*(105-$NR$7+1)*($NS$7-105+1)/$NU$7,$NN$7/$NT$7)),0)</f>
        <v/>
      </c>
      <c r="DF7" s="228">
        <f>IF(AND(106&gt;=$NR$7,106&lt;=$NS$7),IF($NP$7="Single_Point",IF(106=$NR$7,$NN$7,0),IF($NP$7="Bell_Curve",$NN$7*(106-$NR$7+1)*($NS$7-106+1)/$NU$7,$NN$7/$NT$7)),0)</f>
        <v/>
      </c>
      <c r="DG7" s="228">
        <f>IF(AND(107&gt;=$NR$7,107&lt;=$NS$7),IF($NP$7="Single_Point",IF(107=$NR$7,$NN$7,0),IF($NP$7="Bell_Curve",$NN$7*(107-$NR$7+1)*($NS$7-107+1)/$NU$7,$NN$7/$NT$7)),0)</f>
        <v/>
      </c>
      <c r="DH7" s="228">
        <f>IF(AND(108&gt;=$NR$7,108&lt;=$NS$7),IF($NP$7="Single_Point",IF(108=$NR$7,$NN$7,0),IF($NP$7="Bell_Curve",$NN$7*(108-$NR$7+1)*($NS$7-108+1)/$NU$7,$NN$7/$NT$7)),0)</f>
        <v/>
      </c>
      <c r="DI7" s="228">
        <f>IF(AND(109&gt;=$NR$7,109&lt;=$NS$7),IF($NP$7="Single_Point",IF(109=$NR$7,$NN$7,0),IF($NP$7="Bell_Curve",$NN$7*(109-$NR$7+1)*($NS$7-109+1)/$NU$7,$NN$7/$NT$7)),0)</f>
        <v/>
      </c>
      <c r="DJ7" s="228">
        <f>IF(AND(110&gt;=$NR$7,110&lt;=$NS$7),IF($NP$7="Single_Point",IF(110=$NR$7,$NN$7,0),IF($NP$7="Bell_Curve",$NN$7*(110-$NR$7+1)*($NS$7-110+1)/$NU$7,$NN$7/$NT$7)),0)</f>
        <v/>
      </c>
      <c r="DK7" s="228">
        <f>IF(AND(111&gt;=$NR$7,111&lt;=$NS$7),IF($NP$7="Single_Point",IF(111=$NR$7,$NN$7,0),IF($NP$7="Bell_Curve",$NN$7*(111-$NR$7+1)*($NS$7-111+1)/$NU$7,$NN$7/$NT$7)),0)</f>
        <v/>
      </c>
      <c r="DL7" s="228">
        <f>IF(AND(112&gt;=$NR$7,112&lt;=$NS$7),IF($NP$7="Single_Point",IF(112=$NR$7,$NN$7,0),IF($NP$7="Bell_Curve",$NN$7*(112-$NR$7+1)*($NS$7-112+1)/$NU$7,$NN$7/$NT$7)),0)</f>
        <v/>
      </c>
      <c r="DM7" s="228">
        <f>IF(AND(113&gt;=$NR$7,113&lt;=$NS$7),IF($NP$7="Single_Point",IF(113=$NR$7,$NN$7,0),IF($NP$7="Bell_Curve",$NN$7*(113-$NR$7+1)*($NS$7-113+1)/$NU$7,$NN$7/$NT$7)),0)</f>
        <v/>
      </c>
      <c r="DN7" s="228">
        <f>IF(AND(114&gt;=$NR$7,114&lt;=$NS$7),IF($NP$7="Single_Point",IF(114=$NR$7,$NN$7,0),IF($NP$7="Bell_Curve",$NN$7*(114-$NR$7+1)*($NS$7-114+1)/$NU$7,$NN$7/$NT$7)),0)</f>
        <v/>
      </c>
      <c r="DO7" s="228">
        <f>IF(AND(115&gt;=$NR$7,115&lt;=$NS$7),IF($NP$7="Single_Point",IF(115=$NR$7,$NN$7,0),IF($NP$7="Bell_Curve",$NN$7*(115-$NR$7+1)*($NS$7-115+1)/$NU$7,$NN$7/$NT$7)),0)</f>
        <v/>
      </c>
      <c r="DP7" s="228">
        <f>IF(AND(116&gt;=$NR$7,116&lt;=$NS$7),IF($NP$7="Single_Point",IF(116=$NR$7,$NN$7,0),IF($NP$7="Bell_Curve",$NN$7*(116-$NR$7+1)*($NS$7-116+1)/$NU$7,$NN$7/$NT$7)),0)</f>
        <v/>
      </c>
      <c r="DQ7" s="228">
        <f>IF(AND(117&gt;=$NR$7,117&lt;=$NS$7),IF($NP$7="Single_Point",IF(117=$NR$7,$NN$7,0),IF($NP$7="Bell_Curve",$NN$7*(117-$NR$7+1)*($NS$7-117+1)/$NU$7,$NN$7/$NT$7)),0)</f>
        <v/>
      </c>
      <c r="DR7" s="228">
        <f>IF(AND(118&gt;=$NR$7,118&lt;=$NS$7),IF($NP$7="Single_Point",IF(118=$NR$7,$NN$7,0),IF($NP$7="Bell_Curve",$NN$7*(118-$NR$7+1)*($NS$7-118+1)/$NU$7,$NN$7/$NT$7)),0)</f>
        <v/>
      </c>
      <c r="DS7" s="228">
        <f>IF(AND(119&gt;=$NR$7,119&lt;=$NS$7),IF($NP$7="Single_Point",IF(119=$NR$7,$NN$7,0),IF($NP$7="Bell_Curve",$NN$7*(119-$NR$7+1)*($NS$7-119+1)/$NU$7,$NN$7/$NT$7)),0)</f>
        <v/>
      </c>
      <c r="DT7" s="228">
        <f>IF(AND(120&gt;=$NR$7,120&lt;=$NS$7),IF($NP$7="Single_Point",IF(120=$NR$7,$NN$7,0),IF($NP$7="Bell_Curve",$NN$7*(120-$NR$7+1)*($NS$7-120+1)/$NU$7,$NN$7/$NT$7)),0)</f>
        <v/>
      </c>
      <c r="DU7" s="228">
        <f>IF(AND(121&gt;=$NR$7,121&lt;=$NS$7),IF($NP$7="Single_Point",IF(121=$NR$7,$NN$7,0),IF($NP$7="Bell_Curve",$NN$7*(121-$NR$7+1)*($NS$7-121+1)/$NU$7,$NN$7/$NT$7)),0)</f>
        <v/>
      </c>
      <c r="DV7" s="228">
        <f>IF(AND(122&gt;=$NR$7,122&lt;=$NS$7),IF($NP$7="Single_Point",IF(122=$NR$7,$NN$7,0),IF($NP$7="Bell_Curve",$NN$7*(122-$NR$7+1)*($NS$7-122+1)/$NU$7,$NN$7/$NT$7)),0)</f>
        <v/>
      </c>
      <c r="DW7" s="228">
        <f>IF(AND(123&gt;=$NR$7,123&lt;=$NS$7),IF($NP$7="Single_Point",IF(123=$NR$7,$NN$7,0),IF($NP$7="Bell_Curve",$NN$7*(123-$NR$7+1)*($NS$7-123+1)/$NU$7,$NN$7/$NT$7)),0)</f>
        <v/>
      </c>
      <c r="DX7" s="228">
        <f>IF(AND(124&gt;=$NR$7,124&lt;=$NS$7),IF($NP$7="Single_Point",IF(124=$NR$7,$NN$7,0),IF($NP$7="Bell_Curve",$NN$7*(124-$NR$7+1)*($NS$7-124+1)/$NU$7,$NN$7/$NT$7)),0)</f>
        <v/>
      </c>
      <c r="DY7" s="228">
        <f>IF(AND(125&gt;=$NR$7,125&lt;=$NS$7),IF($NP$7="Single_Point",IF(125=$NR$7,$NN$7,0),IF($NP$7="Bell_Curve",$NN$7*(125-$NR$7+1)*($NS$7-125+1)/$NU$7,$NN$7/$NT$7)),0)</f>
        <v/>
      </c>
      <c r="DZ7" s="228">
        <f>IF(AND(126&gt;=$NR$7,126&lt;=$NS$7),IF($NP$7="Single_Point",IF(126=$NR$7,$NN$7,0),IF($NP$7="Bell_Curve",$NN$7*(126-$NR$7+1)*($NS$7-126+1)/$NU$7,$NN$7/$NT$7)),0)</f>
        <v/>
      </c>
      <c r="EA7" s="228">
        <f>IF(AND(127&gt;=$NR$7,127&lt;=$NS$7),IF($NP$7="Single_Point",IF(127=$NR$7,$NN$7,0),IF($NP$7="Bell_Curve",$NN$7*(127-$NR$7+1)*($NS$7-127+1)/$NU$7,$NN$7/$NT$7)),0)</f>
        <v/>
      </c>
      <c r="EB7" s="228">
        <f>IF(AND(128&gt;=$NR$7,128&lt;=$NS$7),IF($NP$7="Single_Point",IF(128=$NR$7,$NN$7,0),IF($NP$7="Bell_Curve",$NN$7*(128-$NR$7+1)*($NS$7-128+1)/$NU$7,$NN$7/$NT$7)),0)</f>
        <v/>
      </c>
      <c r="EC7" s="228">
        <f>IF(AND(129&gt;=$NR$7,129&lt;=$NS$7),IF($NP$7="Single_Point",IF(129=$NR$7,$NN$7,0),IF($NP$7="Bell_Curve",$NN$7*(129-$NR$7+1)*($NS$7-129+1)/$NU$7,$NN$7/$NT$7)),0)</f>
        <v/>
      </c>
      <c r="ED7" s="228">
        <f>IF(AND(130&gt;=$NR$7,130&lt;=$NS$7),IF($NP$7="Single_Point",IF(130=$NR$7,$NN$7,0),IF($NP$7="Bell_Curve",$NN$7*(130-$NR$7+1)*($NS$7-130+1)/$NU$7,$NN$7/$NT$7)),0)</f>
        <v/>
      </c>
      <c r="EE7" s="228">
        <f>IF(AND(131&gt;=$NR$7,131&lt;=$NS$7),IF($NP$7="Single_Point",IF(131=$NR$7,$NN$7,0),IF($NP$7="Bell_Curve",$NN$7*(131-$NR$7+1)*($NS$7-131+1)/$NU$7,$NN$7/$NT$7)),0)</f>
        <v/>
      </c>
      <c r="EF7" s="228">
        <f>IF(AND(132&gt;=$NR$7,132&lt;=$NS$7),IF($NP$7="Single_Point",IF(132=$NR$7,$NN$7,0),IF($NP$7="Bell_Curve",$NN$7*(132-$NR$7+1)*($NS$7-132+1)/$NU$7,$NN$7/$NT$7)),0)</f>
        <v/>
      </c>
      <c r="EG7" s="228">
        <f>IF(AND(133&gt;=$NR$7,133&lt;=$NS$7),IF($NP$7="Single_Point",IF(133=$NR$7,$NN$7,0),IF($NP$7="Bell_Curve",$NN$7*(133-$NR$7+1)*($NS$7-133+1)/$NU$7,$NN$7/$NT$7)),0)</f>
        <v/>
      </c>
      <c r="EH7" s="228">
        <f>IF(AND(134&gt;=$NR$7,134&lt;=$NS$7),IF($NP$7="Single_Point",IF(134=$NR$7,$NN$7,0),IF($NP$7="Bell_Curve",$NN$7*(134-$NR$7+1)*($NS$7-134+1)/$NU$7,$NN$7/$NT$7)),0)</f>
        <v/>
      </c>
      <c r="EI7" s="228">
        <f>IF(AND(135&gt;=$NR$7,135&lt;=$NS$7),IF($NP$7="Single_Point",IF(135=$NR$7,$NN$7,0),IF($NP$7="Bell_Curve",$NN$7*(135-$NR$7+1)*($NS$7-135+1)/$NU$7,$NN$7/$NT$7)),0)</f>
        <v/>
      </c>
      <c r="EJ7" s="228">
        <f>IF(AND(136&gt;=$NR$7,136&lt;=$NS$7),IF($NP$7="Single_Point",IF(136=$NR$7,$NN$7,0),IF($NP$7="Bell_Curve",$NN$7*(136-$NR$7+1)*($NS$7-136+1)/$NU$7,$NN$7/$NT$7)),0)</f>
        <v/>
      </c>
      <c r="EK7" s="228">
        <f>IF(AND(137&gt;=$NR$7,137&lt;=$NS$7),IF($NP$7="Single_Point",IF(137=$NR$7,$NN$7,0),IF($NP$7="Bell_Curve",$NN$7*(137-$NR$7+1)*($NS$7-137+1)/$NU$7,$NN$7/$NT$7)),0)</f>
        <v/>
      </c>
      <c r="EL7" s="228">
        <f>IF(AND(138&gt;=$NR$7,138&lt;=$NS$7),IF($NP$7="Single_Point",IF(138=$NR$7,$NN$7,0),IF($NP$7="Bell_Curve",$NN$7*(138-$NR$7+1)*($NS$7-138+1)/$NU$7,$NN$7/$NT$7)),0)</f>
        <v/>
      </c>
      <c r="EM7" s="228">
        <f>IF(AND(139&gt;=$NR$7,139&lt;=$NS$7),IF($NP$7="Single_Point",IF(139=$NR$7,$NN$7,0),IF($NP$7="Bell_Curve",$NN$7*(139-$NR$7+1)*($NS$7-139+1)/$NU$7,$NN$7/$NT$7)),0)</f>
        <v/>
      </c>
      <c r="EN7" s="228">
        <f>IF(AND(140&gt;=$NR$7,140&lt;=$NS$7),IF($NP$7="Single_Point",IF(140=$NR$7,$NN$7,0),IF($NP$7="Bell_Curve",$NN$7*(140-$NR$7+1)*($NS$7-140+1)/$NU$7,$NN$7/$NT$7)),0)</f>
        <v/>
      </c>
      <c r="EO7" s="228">
        <f>IF(AND(141&gt;=$NR$7,141&lt;=$NS$7),IF($NP$7="Single_Point",IF(141=$NR$7,$NN$7,0),IF($NP$7="Bell_Curve",$NN$7*(141-$NR$7+1)*($NS$7-141+1)/$NU$7,$NN$7/$NT$7)),0)</f>
        <v/>
      </c>
      <c r="EP7" s="228">
        <f>IF(AND(142&gt;=$NR$7,142&lt;=$NS$7),IF($NP$7="Single_Point",IF(142=$NR$7,$NN$7,0),IF($NP$7="Bell_Curve",$NN$7*(142-$NR$7+1)*($NS$7-142+1)/$NU$7,$NN$7/$NT$7)),0)</f>
        <v/>
      </c>
      <c r="EQ7" s="228">
        <f>IF(AND(143&gt;=$NR$7,143&lt;=$NS$7),IF($NP$7="Single_Point",IF(143=$NR$7,$NN$7,0),IF($NP$7="Bell_Curve",$NN$7*(143-$NR$7+1)*($NS$7-143+1)/$NU$7,$NN$7/$NT$7)),0)</f>
        <v/>
      </c>
      <c r="ER7" s="228">
        <f>IF(AND(144&gt;=$NR$7,144&lt;=$NS$7),IF($NP$7="Single_Point",IF(144=$NR$7,$NN$7,0),IF($NP$7="Bell_Curve",$NN$7*(144-$NR$7+1)*($NS$7-144+1)/$NU$7,$NN$7/$NT$7)),0)</f>
        <v/>
      </c>
      <c r="ES7" s="228">
        <f>IF(AND(145&gt;=$NR$7,145&lt;=$NS$7),IF($NP$7="Single_Point",IF(145=$NR$7,$NN$7,0),IF($NP$7="Bell_Curve",$NN$7*(145-$NR$7+1)*($NS$7-145+1)/$NU$7,$NN$7/$NT$7)),0)</f>
        <v/>
      </c>
      <c r="ET7" s="228">
        <f>IF(AND(146&gt;=$NR$7,146&lt;=$NS$7),IF($NP$7="Single_Point",IF(146=$NR$7,$NN$7,0),IF($NP$7="Bell_Curve",$NN$7*(146-$NR$7+1)*($NS$7-146+1)/$NU$7,$NN$7/$NT$7)),0)</f>
        <v/>
      </c>
      <c r="EU7" s="228">
        <f>IF(AND(147&gt;=$NR$7,147&lt;=$NS$7),IF($NP$7="Single_Point",IF(147=$NR$7,$NN$7,0),IF($NP$7="Bell_Curve",$NN$7*(147-$NR$7+1)*($NS$7-147+1)/$NU$7,$NN$7/$NT$7)),0)</f>
        <v/>
      </c>
      <c r="EV7" s="228">
        <f>IF(AND(148&gt;=$NR$7,148&lt;=$NS$7),IF($NP$7="Single_Point",IF(148=$NR$7,$NN$7,0),IF($NP$7="Bell_Curve",$NN$7*(148-$NR$7+1)*($NS$7-148+1)/$NU$7,$NN$7/$NT$7)),0)</f>
        <v/>
      </c>
      <c r="EW7" s="228">
        <f>IF(AND(149&gt;=$NR$7,149&lt;=$NS$7),IF($NP$7="Single_Point",IF(149=$NR$7,$NN$7,0),IF($NP$7="Bell_Curve",$NN$7*(149-$NR$7+1)*($NS$7-149+1)/$NU$7,$NN$7/$NT$7)),0)</f>
        <v/>
      </c>
      <c r="EX7" s="228">
        <f>IF(AND(150&gt;=$NR$7,150&lt;=$NS$7),IF($NP$7="Single_Point",IF(150=$NR$7,$NN$7,0),IF($NP$7="Bell_Curve",$NN$7*(150-$NR$7+1)*($NS$7-150+1)/$NU$7,$NN$7/$NT$7)),0)</f>
        <v/>
      </c>
      <c r="EY7" s="228">
        <f>IF(AND(151&gt;=$NR$7,151&lt;=$NS$7),IF($NP$7="Single_Point",IF(151=$NR$7,$NN$7,0),IF($NP$7="Bell_Curve",$NN$7*(151-$NR$7+1)*($NS$7-151+1)/$NU$7,$NN$7/$NT$7)),0)</f>
        <v/>
      </c>
      <c r="EZ7" s="228">
        <f>IF(AND(152&gt;=$NR$7,152&lt;=$NS$7),IF($NP$7="Single_Point",IF(152=$NR$7,$NN$7,0),IF($NP$7="Bell_Curve",$NN$7*(152-$NR$7+1)*($NS$7-152+1)/$NU$7,$NN$7/$NT$7)),0)</f>
        <v/>
      </c>
      <c r="FA7" s="228">
        <f>IF(AND(153&gt;=$NR$7,153&lt;=$NS$7),IF($NP$7="Single_Point",IF(153=$NR$7,$NN$7,0),IF($NP$7="Bell_Curve",$NN$7*(153-$NR$7+1)*($NS$7-153+1)/$NU$7,$NN$7/$NT$7)),0)</f>
        <v/>
      </c>
      <c r="FB7" s="228">
        <f>IF(AND(154&gt;=$NR$7,154&lt;=$NS$7),IF($NP$7="Single_Point",IF(154=$NR$7,$NN$7,0),IF($NP$7="Bell_Curve",$NN$7*(154-$NR$7+1)*($NS$7-154+1)/$NU$7,$NN$7/$NT$7)),0)</f>
        <v/>
      </c>
      <c r="FC7" s="228">
        <f>IF(AND(155&gt;=$NR$7,155&lt;=$NS$7),IF($NP$7="Single_Point",IF(155=$NR$7,$NN$7,0),IF($NP$7="Bell_Curve",$NN$7*(155-$NR$7+1)*($NS$7-155+1)/$NU$7,$NN$7/$NT$7)),0)</f>
        <v/>
      </c>
      <c r="FD7" s="228">
        <f>IF(AND(156&gt;=$NR$7,156&lt;=$NS$7),IF($NP$7="Single_Point",IF(156=$NR$7,$NN$7,0),IF($NP$7="Bell_Curve",$NN$7*(156-$NR$7+1)*($NS$7-156+1)/$NU$7,$NN$7/$NT$7)),0)</f>
        <v/>
      </c>
      <c r="FE7" s="228">
        <f>IF(AND(157&gt;=$NR$7,157&lt;=$NS$7),IF($NP$7="Single_Point",IF(157=$NR$7,$NN$7,0),IF($NP$7="Bell_Curve",$NN$7*(157-$NR$7+1)*($NS$7-157+1)/$NU$7,$NN$7/$NT$7)),0)</f>
        <v/>
      </c>
      <c r="FF7" s="228">
        <f>IF(AND(158&gt;=$NR$7,158&lt;=$NS$7),IF($NP$7="Single_Point",IF(158=$NR$7,$NN$7,0),IF($NP$7="Bell_Curve",$NN$7*(158-$NR$7+1)*($NS$7-158+1)/$NU$7,$NN$7/$NT$7)),0)</f>
        <v/>
      </c>
      <c r="FG7" s="228">
        <f>IF(AND(159&gt;=$NR$7,159&lt;=$NS$7),IF($NP$7="Single_Point",IF(159=$NR$7,$NN$7,0),IF($NP$7="Bell_Curve",$NN$7*(159-$NR$7+1)*($NS$7-159+1)/$NU$7,$NN$7/$NT$7)),0)</f>
        <v/>
      </c>
      <c r="FH7" s="228">
        <f>IF(AND(160&gt;=$NR$7,160&lt;=$NS$7),IF($NP$7="Single_Point",IF(160=$NR$7,$NN$7,0),IF($NP$7="Bell_Curve",$NN$7*(160-$NR$7+1)*($NS$7-160+1)/$NU$7,$NN$7/$NT$7)),0)</f>
        <v/>
      </c>
      <c r="FI7" s="228">
        <f>IF(AND(161&gt;=$NR$7,161&lt;=$NS$7),IF($NP$7="Single_Point",IF(161=$NR$7,$NN$7,0),IF($NP$7="Bell_Curve",$NN$7*(161-$NR$7+1)*($NS$7-161+1)/$NU$7,$NN$7/$NT$7)),0)</f>
        <v/>
      </c>
      <c r="FJ7" s="228">
        <f>IF(AND(162&gt;=$NR$7,162&lt;=$NS$7),IF($NP$7="Single_Point",IF(162=$NR$7,$NN$7,0),IF($NP$7="Bell_Curve",$NN$7*(162-$NR$7+1)*($NS$7-162+1)/$NU$7,$NN$7/$NT$7)),0)</f>
        <v/>
      </c>
      <c r="FK7" s="228">
        <f>IF(AND(163&gt;=$NR$7,163&lt;=$NS$7),IF($NP$7="Single_Point",IF(163=$NR$7,$NN$7,0),IF($NP$7="Bell_Curve",$NN$7*(163-$NR$7+1)*($NS$7-163+1)/$NU$7,$NN$7/$NT$7)),0)</f>
        <v/>
      </c>
      <c r="FL7" s="228">
        <f>IF(AND(164&gt;=$NR$7,164&lt;=$NS$7),IF($NP$7="Single_Point",IF(164=$NR$7,$NN$7,0),IF($NP$7="Bell_Curve",$NN$7*(164-$NR$7+1)*($NS$7-164+1)/$NU$7,$NN$7/$NT$7)),0)</f>
        <v/>
      </c>
      <c r="FM7" s="228">
        <f>IF(AND(165&gt;=$NR$7,165&lt;=$NS$7),IF($NP$7="Single_Point",IF(165=$NR$7,$NN$7,0),IF($NP$7="Bell_Curve",$NN$7*(165-$NR$7+1)*($NS$7-165+1)/$NU$7,$NN$7/$NT$7)),0)</f>
        <v/>
      </c>
      <c r="FN7" s="228">
        <f>IF(AND(166&gt;=$NR$7,166&lt;=$NS$7),IF($NP$7="Single_Point",IF(166=$NR$7,$NN$7,0),IF($NP$7="Bell_Curve",$NN$7*(166-$NR$7+1)*($NS$7-166+1)/$NU$7,$NN$7/$NT$7)),0)</f>
        <v/>
      </c>
      <c r="FO7" s="228">
        <f>IF(AND(167&gt;=$NR$7,167&lt;=$NS$7),IF($NP$7="Single_Point",IF(167=$NR$7,$NN$7,0),IF($NP$7="Bell_Curve",$NN$7*(167-$NR$7+1)*($NS$7-167+1)/$NU$7,$NN$7/$NT$7)),0)</f>
        <v/>
      </c>
      <c r="FP7" s="228">
        <f>IF(AND(168&gt;=$NR$7,168&lt;=$NS$7),IF($NP$7="Single_Point",IF(168=$NR$7,$NN$7,0),IF($NP$7="Bell_Curve",$NN$7*(168-$NR$7+1)*($NS$7-168+1)/$NU$7,$NN$7/$NT$7)),0)</f>
        <v/>
      </c>
      <c r="FQ7" s="228">
        <f>IF(AND(169&gt;=$NR$7,169&lt;=$NS$7),IF($NP$7="Single_Point",IF(169=$NR$7,$NN$7,0),IF($NP$7="Bell_Curve",$NN$7*(169-$NR$7+1)*($NS$7-169+1)/$NU$7,$NN$7/$NT$7)),0)</f>
        <v/>
      </c>
      <c r="FR7" s="228">
        <f>IF(AND(170&gt;=$NR$7,170&lt;=$NS$7),IF($NP$7="Single_Point",IF(170=$NR$7,$NN$7,0),IF($NP$7="Bell_Curve",$NN$7*(170-$NR$7+1)*($NS$7-170+1)/$NU$7,$NN$7/$NT$7)),0)</f>
        <v/>
      </c>
      <c r="FS7" s="228">
        <f>IF(AND(171&gt;=$NR$7,171&lt;=$NS$7),IF($NP$7="Single_Point",IF(171=$NR$7,$NN$7,0),IF($NP$7="Bell_Curve",$NN$7*(171-$NR$7+1)*($NS$7-171+1)/$NU$7,$NN$7/$NT$7)),0)</f>
        <v/>
      </c>
      <c r="FT7" s="228">
        <f>IF(AND(172&gt;=$NR$7,172&lt;=$NS$7),IF($NP$7="Single_Point",IF(172=$NR$7,$NN$7,0),IF($NP$7="Bell_Curve",$NN$7*(172-$NR$7+1)*($NS$7-172+1)/$NU$7,$NN$7/$NT$7)),0)</f>
        <v/>
      </c>
      <c r="FU7" s="228">
        <f>IF(AND(173&gt;=$NR$7,173&lt;=$NS$7),IF($NP$7="Single_Point",IF(173=$NR$7,$NN$7,0),IF($NP$7="Bell_Curve",$NN$7*(173-$NR$7+1)*($NS$7-173+1)/$NU$7,$NN$7/$NT$7)),0)</f>
        <v/>
      </c>
      <c r="FV7" s="228">
        <f>IF(AND(174&gt;=$NR$7,174&lt;=$NS$7),IF($NP$7="Single_Point",IF(174=$NR$7,$NN$7,0),IF($NP$7="Bell_Curve",$NN$7*(174-$NR$7+1)*($NS$7-174+1)/$NU$7,$NN$7/$NT$7)),0)</f>
        <v/>
      </c>
      <c r="FW7" s="228">
        <f>IF(AND(175&gt;=$NR$7,175&lt;=$NS$7),IF($NP$7="Single_Point",IF(175=$NR$7,$NN$7,0),IF($NP$7="Bell_Curve",$NN$7*(175-$NR$7+1)*($NS$7-175+1)/$NU$7,$NN$7/$NT$7)),0)</f>
        <v/>
      </c>
      <c r="FX7" s="228">
        <f>IF(AND(176&gt;=$NR$7,176&lt;=$NS$7),IF($NP$7="Single_Point",IF(176=$NR$7,$NN$7,0),IF($NP$7="Bell_Curve",$NN$7*(176-$NR$7+1)*($NS$7-176+1)/$NU$7,$NN$7/$NT$7)),0)</f>
        <v/>
      </c>
      <c r="FY7" s="228">
        <f>IF(AND(177&gt;=$NR$7,177&lt;=$NS$7),IF($NP$7="Single_Point",IF(177=$NR$7,$NN$7,0),IF($NP$7="Bell_Curve",$NN$7*(177-$NR$7+1)*($NS$7-177+1)/$NU$7,$NN$7/$NT$7)),0)</f>
        <v/>
      </c>
      <c r="FZ7" s="228">
        <f>IF(AND(178&gt;=$NR$7,178&lt;=$NS$7),IF($NP$7="Single_Point",IF(178=$NR$7,$NN$7,0),IF($NP$7="Bell_Curve",$NN$7*(178-$NR$7+1)*($NS$7-178+1)/$NU$7,$NN$7/$NT$7)),0)</f>
        <v/>
      </c>
      <c r="GA7" s="228">
        <f>IF(AND(179&gt;=$NR$7,179&lt;=$NS$7),IF($NP$7="Single_Point",IF(179=$NR$7,$NN$7,0),IF($NP$7="Bell_Curve",$NN$7*(179-$NR$7+1)*($NS$7-179+1)/$NU$7,$NN$7/$NT$7)),0)</f>
        <v/>
      </c>
      <c r="GB7" s="228">
        <f>IF(AND(180&gt;=$NR$7,180&lt;=$NS$7),IF($NP$7="Single_Point",IF(180=$NR$7,$NN$7,0),IF($NP$7="Bell_Curve",$NN$7*(180-$NR$7+1)*($NS$7-180+1)/$NU$7,$NN$7/$NT$7)),0)</f>
        <v/>
      </c>
      <c r="GC7" s="228">
        <f>IF(AND(181&gt;=$NR$7,181&lt;=$NS$7),IF($NP$7="Single_Point",IF(181=$NR$7,$NN$7,0),IF($NP$7="Bell_Curve",$NN$7*(181-$NR$7+1)*($NS$7-181+1)/$NU$7,$NN$7/$NT$7)),0)</f>
        <v/>
      </c>
      <c r="GD7" s="228">
        <f>IF(AND(182&gt;=$NR$7,182&lt;=$NS$7),IF($NP$7="Single_Point",IF(182=$NR$7,$NN$7,0),IF($NP$7="Bell_Curve",$NN$7*(182-$NR$7+1)*($NS$7-182+1)/$NU$7,$NN$7/$NT$7)),0)</f>
        <v/>
      </c>
      <c r="GE7" s="228">
        <f>IF(AND(183&gt;=$NR$7,183&lt;=$NS$7),IF($NP$7="Single_Point",IF(183=$NR$7,$NN$7,0),IF($NP$7="Bell_Curve",$NN$7*(183-$NR$7+1)*($NS$7-183+1)/$NU$7,$NN$7/$NT$7)),0)</f>
        <v/>
      </c>
      <c r="GF7" s="228">
        <f>IF(AND(184&gt;=$NR$7,184&lt;=$NS$7),IF($NP$7="Single_Point",IF(184=$NR$7,$NN$7,0),IF($NP$7="Bell_Curve",$NN$7*(184-$NR$7+1)*($NS$7-184+1)/$NU$7,$NN$7/$NT$7)),0)</f>
        <v/>
      </c>
      <c r="GG7" s="228">
        <f>IF(AND(185&gt;=$NR$7,185&lt;=$NS$7),IF($NP$7="Single_Point",IF(185=$NR$7,$NN$7,0),IF($NP$7="Bell_Curve",$NN$7*(185-$NR$7+1)*($NS$7-185+1)/$NU$7,$NN$7/$NT$7)),0)</f>
        <v/>
      </c>
      <c r="GH7" s="228">
        <f>IF(AND(186&gt;=$NR$7,186&lt;=$NS$7),IF($NP$7="Single_Point",IF(186=$NR$7,$NN$7,0),IF($NP$7="Bell_Curve",$NN$7*(186-$NR$7+1)*($NS$7-186+1)/$NU$7,$NN$7/$NT$7)),0)</f>
        <v/>
      </c>
      <c r="GI7" s="228">
        <f>IF(AND(187&gt;=$NR$7,187&lt;=$NS$7),IF($NP$7="Single_Point",IF(187=$NR$7,$NN$7,0),IF($NP$7="Bell_Curve",$NN$7*(187-$NR$7+1)*($NS$7-187+1)/$NU$7,$NN$7/$NT$7)),0)</f>
        <v/>
      </c>
      <c r="GJ7" s="228">
        <f>IF(AND(188&gt;=$NR$7,188&lt;=$NS$7),IF($NP$7="Single_Point",IF(188=$NR$7,$NN$7,0),IF($NP$7="Bell_Curve",$NN$7*(188-$NR$7+1)*($NS$7-188+1)/$NU$7,$NN$7/$NT$7)),0)</f>
        <v/>
      </c>
      <c r="GK7" s="228">
        <f>IF(AND(189&gt;=$NR$7,189&lt;=$NS$7),IF($NP$7="Single_Point",IF(189=$NR$7,$NN$7,0),IF($NP$7="Bell_Curve",$NN$7*(189-$NR$7+1)*($NS$7-189+1)/$NU$7,$NN$7/$NT$7)),0)</f>
        <v/>
      </c>
      <c r="GL7" s="228">
        <f>IF(AND(190&gt;=$NR$7,190&lt;=$NS$7),IF($NP$7="Single_Point",IF(190=$NR$7,$NN$7,0),IF($NP$7="Bell_Curve",$NN$7*(190-$NR$7+1)*($NS$7-190+1)/$NU$7,$NN$7/$NT$7)),0)</f>
        <v/>
      </c>
      <c r="GM7" s="228">
        <f>IF(AND(191&gt;=$NR$7,191&lt;=$NS$7),IF($NP$7="Single_Point",IF(191=$NR$7,$NN$7,0),IF($NP$7="Bell_Curve",$NN$7*(191-$NR$7+1)*($NS$7-191+1)/$NU$7,$NN$7/$NT$7)),0)</f>
        <v/>
      </c>
      <c r="GN7" s="228">
        <f>IF(AND(192&gt;=$NR$7,192&lt;=$NS$7),IF($NP$7="Single_Point",IF(192=$NR$7,$NN$7,0),IF($NP$7="Bell_Curve",$NN$7*(192-$NR$7+1)*($NS$7-192+1)/$NU$7,$NN$7/$NT$7)),0)</f>
        <v/>
      </c>
      <c r="GO7" s="228">
        <f>IF(AND(193&gt;=$NR$7,193&lt;=$NS$7),IF($NP$7="Single_Point",IF(193=$NR$7,$NN$7,0),IF($NP$7="Bell_Curve",$NN$7*(193-$NR$7+1)*($NS$7-193+1)/$NU$7,$NN$7/$NT$7)),0)</f>
        <v/>
      </c>
      <c r="GP7" s="228">
        <f>IF(AND(194&gt;=$NR$7,194&lt;=$NS$7),IF($NP$7="Single_Point",IF(194=$NR$7,$NN$7,0),IF($NP$7="Bell_Curve",$NN$7*(194-$NR$7+1)*($NS$7-194+1)/$NU$7,$NN$7/$NT$7)),0)</f>
        <v/>
      </c>
      <c r="GQ7" s="228">
        <f>IF(AND(195&gt;=$NR$7,195&lt;=$NS$7),IF($NP$7="Single_Point",IF(195=$NR$7,$NN$7,0),IF($NP$7="Bell_Curve",$NN$7*(195-$NR$7+1)*($NS$7-195+1)/$NU$7,$NN$7/$NT$7)),0)</f>
        <v/>
      </c>
      <c r="GR7" s="228">
        <f>IF(AND(196&gt;=$NR$7,196&lt;=$NS$7),IF($NP$7="Single_Point",IF(196=$NR$7,$NN$7,0),IF($NP$7="Bell_Curve",$NN$7*(196-$NR$7+1)*($NS$7-196+1)/$NU$7,$NN$7/$NT$7)),0)</f>
        <v/>
      </c>
      <c r="GS7" s="228">
        <f>IF(AND(197&gt;=$NR$7,197&lt;=$NS$7),IF($NP$7="Single_Point",IF(197=$NR$7,$NN$7,0),IF($NP$7="Bell_Curve",$NN$7*(197-$NR$7+1)*($NS$7-197+1)/$NU$7,$NN$7/$NT$7)),0)</f>
        <v/>
      </c>
      <c r="GT7" s="228">
        <f>IF(AND(198&gt;=$NR$7,198&lt;=$NS$7),IF($NP$7="Single_Point",IF(198=$NR$7,$NN$7,0),IF($NP$7="Bell_Curve",$NN$7*(198-$NR$7+1)*($NS$7-198+1)/$NU$7,$NN$7/$NT$7)),0)</f>
        <v/>
      </c>
      <c r="GU7" s="228">
        <f>IF(AND(199&gt;=$NR$7,199&lt;=$NS$7),IF($NP$7="Single_Point",IF(199=$NR$7,$NN$7,0),IF($NP$7="Bell_Curve",$NN$7*(199-$NR$7+1)*($NS$7-199+1)/$NU$7,$NN$7/$NT$7)),0)</f>
        <v/>
      </c>
      <c r="GV7" s="228">
        <f>IF(AND(200&gt;=$NR$7,200&lt;=$NS$7),IF($NP$7="Single_Point",IF(200=$NR$7,$NN$7,0),IF($NP$7="Bell_Curve",$NN$7*(200-$NR$7+1)*($NS$7-200+1)/$NU$7,$NN$7/$NT$7)),0)</f>
        <v/>
      </c>
      <c r="GW7" s="228">
        <f>IF(AND(201&gt;=$NR$7,201&lt;=$NS$7),IF($NP$7="Single_Point",IF(201=$NR$7,$NN$7,0),IF($NP$7="Bell_Curve",$NN$7*(201-$NR$7+1)*($NS$7-201+1)/$NU$7,$NN$7/$NT$7)),0)</f>
        <v/>
      </c>
      <c r="GX7" s="228">
        <f>IF(AND(202&gt;=$NR$7,202&lt;=$NS$7),IF($NP$7="Single_Point",IF(202=$NR$7,$NN$7,0),IF($NP$7="Bell_Curve",$NN$7*(202-$NR$7+1)*($NS$7-202+1)/$NU$7,$NN$7/$NT$7)),0)</f>
        <v/>
      </c>
      <c r="GY7" s="228">
        <f>IF(AND(203&gt;=$NR$7,203&lt;=$NS$7),IF($NP$7="Single_Point",IF(203=$NR$7,$NN$7,0),IF($NP$7="Bell_Curve",$NN$7*(203-$NR$7+1)*($NS$7-203+1)/$NU$7,$NN$7/$NT$7)),0)</f>
        <v/>
      </c>
      <c r="GZ7" s="228">
        <f>IF(AND(204&gt;=$NR$7,204&lt;=$NS$7),IF($NP$7="Single_Point",IF(204=$NR$7,$NN$7,0),IF($NP$7="Bell_Curve",$NN$7*(204-$NR$7+1)*($NS$7-204+1)/$NU$7,$NN$7/$NT$7)),0)</f>
        <v/>
      </c>
      <c r="HA7" s="228">
        <f>IF(AND(205&gt;=$NR$7,205&lt;=$NS$7),IF($NP$7="Single_Point",IF(205=$NR$7,$NN$7,0),IF($NP$7="Bell_Curve",$NN$7*(205-$NR$7+1)*($NS$7-205+1)/$NU$7,$NN$7/$NT$7)),0)</f>
        <v/>
      </c>
      <c r="HB7" s="228">
        <f>IF(AND(206&gt;=$NR$7,206&lt;=$NS$7),IF($NP$7="Single_Point",IF(206=$NR$7,$NN$7,0),IF($NP$7="Bell_Curve",$NN$7*(206-$NR$7+1)*($NS$7-206+1)/$NU$7,$NN$7/$NT$7)),0)</f>
        <v/>
      </c>
      <c r="HC7" s="228">
        <f>IF(AND(207&gt;=$NR$7,207&lt;=$NS$7),IF($NP$7="Single_Point",IF(207=$NR$7,$NN$7,0),IF($NP$7="Bell_Curve",$NN$7*(207-$NR$7+1)*($NS$7-207+1)/$NU$7,$NN$7/$NT$7)),0)</f>
        <v/>
      </c>
      <c r="HD7" s="228">
        <f>IF(AND(208&gt;=$NR$7,208&lt;=$NS$7),IF($NP$7="Single_Point",IF(208=$NR$7,$NN$7,0),IF($NP$7="Bell_Curve",$NN$7*(208-$NR$7+1)*($NS$7-208+1)/$NU$7,$NN$7/$NT$7)),0)</f>
        <v/>
      </c>
      <c r="HE7" s="228">
        <f>IF(AND(209&gt;=$NR$7,209&lt;=$NS$7),IF($NP$7="Single_Point",IF(209=$NR$7,$NN$7,0),IF($NP$7="Bell_Curve",$NN$7*(209-$NR$7+1)*($NS$7-209+1)/$NU$7,$NN$7/$NT$7)),0)</f>
        <v/>
      </c>
      <c r="HF7" s="228">
        <f>IF(AND(210&gt;=$NR$7,210&lt;=$NS$7),IF($NP$7="Single_Point",IF(210=$NR$7,$NN$7,0),IF($NP$7="Bell_Curve",$NN$7*(210-$NR$7+1)*($NS$7-210+1)/$NU$7,$NN$7/$NT$7)),0)</f>
        <v/>
      </c>
      <c r="HG7" s="228">
        <f>IF(AND(211&gt;=$NR$7,211&lt;=$NS$7),IF($NP$7="Single_Point",IF(211=$NR$7,$NN$7,0),IF($NP$7="Bell_Curve",$NN$7*(211-$NR$7+1)*($NS$7-211+1)/$NU$7,$NN$7/$NT$7)),0)</f>
        <v/>
      </c>
      <c r="HH7" s="228">
        <f>IF(AND(212&gt;=$NR$7,212&lt;=$NS$7),IF($NP$7="Single_Point",IF(212=$NR$7,$NN$7,0),IF($NP$7="Bell_Curve",$NN$7*(212-$NR$7+1)*($NS$7-212+1)/$NU$7,$NN$7/$NT$7)),0)</f>
        <v/>
      </c>
      <c r="HI7" s="228">
        <f>IF(AND(213&gt;=$NR$7,213&lt;=$NS$7),IF($NP$7="Single_Point",IF(213=$NR$7,$NN$7,0),IF($NP$7="Bell_Curve",$NN$7*(213-$NR$7+1)*($NS$7-213+1)/$NU$7,$NN$7/$NT$7)),0)</f>
        <v/>
      </c>
      <c r="HJ7" s="228">
        <f>IF(AND(214&gt;=$NR$7,214&lt;=$NS$7),IF($NP$7="Single_Point",IF(214=$NR$7,$NN$7,0),IF($NP$7="Bell_Curve",$NN$7*(214-$NR$7+1)*($NS$7-214+1)/$NU$7,$NN$7/$NT$7)),0)</f>
        <v/>
      </c>
      <c r="HK7" s="228">
        <f>IF(AND(215&gt;=$NR$7,215&lt;=$NS$7),IF($NP$7="Single_Point",IF(215=$NR$7,$NN$7,0),IF($NP$7="Bell_Curve",$NN$7*(215-$NR$7+1)*($NS$7-215+1)/$NU$7,$NN$7/$NT$7)),0)</f>
        <v/>
      </c>
      <c r="HL7" s="228">
        <f>IF(AND(216&gt;=$NR$7,216&lt;=$NS$7),IF($NP$7="Single_Point",IF(216=$NR$7,$NN$7,0),IF($NP$7="Bell_Curve",$NN$7*(216-$NR$7+1)*($NS$7-216+1)/$NU$7,$NN$7/$NT$7)),0)</f>
        <v/>
      </c>
      <c r="HM7" s="228">
        <f>IF(AND(217&gt;=$NR$7,217&lt;=$NS$7),IF($NP$7="Single_Point",IF(217=$NR$7,$NN$7,0),IF($NP$7="Bell_Curve",$NN$7*(217-$NR$7+1)*($NS$7-217+1)/$NU$7,$NN$7/$NT$7)),0)</f>
        <v/>
      </c>
      <c r="HN7" s="228">
        <f>IF(AND(218&gt;=$NR$7,218&lt;=$NS$7),IF($NP$7="Single_Point",IF(218=$NR$7,$NN$7,0),IF($NP$7="Bell_Curve",$NN$7*(218-$NR$7+1)*($NS$7-218+1)/$NU$7,$NN$7/$NT$7)),0)</f>
        <v/>
      </c>
      <c r="HO7" s="228">
        <f>IF(AND(219&gt;=$NR$7,219&lt;=$NS$7),IF($NP$7="Single_Point",IF(219=$NR$7,$NN$7,0),IF($NP$7="Bell_Curve",$NN$7*(219-$NR$7+1)*($NS$7-219+1)/$NU$7,$NN$7/$NT$7)),0)</f>
        <v/>
      </c>
      <c r="HP7" s="228">
        <f>IF(AND(220&gt;=$NR$7,220&lt;=$NS$7),IF($NP$7="Single_Point",IF(220=$NR$7,$NN$7,0),IF($NP$7="Bell_Curve",$NN$7*(220-$NR$7+1)*($NS$7-220+1)/$NU$7,$NN$7/$NT$7)),0)</f>
        <v/>
      </c>
      <c r="HQ7" s="228">
        <f>IF(AND(221&gt;=$NR$7,221&lt;=$NS$7),IF($NP$7="Single_Point",IF(221=$NR$7,$NN$7,0),IF($NP$7="Bell_Curve",$NN$7*(221-$NR$7+1)*($NS$7-221+1)/$NU$7,$NN$7/$NT$7)),0)</f>
        <v/>
      </c>
      <c r="HR7" s="228">
        <f>IF(AND(222&gt;=$NR$7,222&lt;=$NS$7),IF($NP$7="Single_Point",IF(222=$NR$7,$NN$7,0),IF($NP$7="Bell_Curve",$NN$7*(222-$NR$7+1)*($NS$7-222+1)/$NU$7,$NN$7/$NT$7)),0)</f>
        <v/>
      </c>
      <c r="HS7" s="228">
        <f>IF(AND(223&gt;=$NR$7,223&lt;=$NS$7),IF($NP$7="Single_Point",IF(223=$NR$7,$NN$7,0),IF($NP$7="Bell_Curve",$NN$7*(223-$NR$7+1)*($NS$7-223+1)/$NU$7,$NN$7/$NT$7)),0)</f>
        <v/>
      </c>
      <c r="HT7" s="228">
        <f>IF(AND(224&gt;=$NR$7,224&lt;=$NS$7),IF($NP$7="Single_Point",IF(224=$NR$7,$NN$7,0),IF($NP$7="Bell_Curve",$NN$7*(224-$NR$7+1)*($NS$7-224+1)/$NU$7,$NN$7/$NT$7)),0)</f>
        <v/>
      </c>
      <c r="HU7" s="228">
        <f>IF(AND(225&gt;=$NR$7,225&lt;=$NS$7),IF($NP$7="Single_Point",IF(225=$NR$7,$NN$7,0),IF($NP$7="Bell_Curve",$NN$7*(225-$NR$7+1)*($NS$7-225+1)/$NU$7,$NN$7/$NT$7)),0)</f>
        <v/>
      </c>
      <c r="HV7" s="228">
        <f>IF(AND(226&gt;=$NR$7,226&lt;=$NS$7),IF($NP$7="Single_Point",IF(226=$NR$7,$NN$7,0),IF($NP$7="Bell_Curve",$NN$7*(226-$NR$7+1)*($NS$7-226+1)/$NU$7,$NN$7/$NT$7)),0)</f>
        <v/>
      </c>
      <c r="HW7" s="228">
        <f>IF(AND(227&gt;=$NR$7,227&lt;=$NS$7),IF($NP$7="Single_Point",IF(227=$NR$7,$NN$7,0),IF($NP$7="Bell_Curve",$NN$7*(227-$NR$7+1)*($NS$7-227+1)/$NU$7,$NN$7/$NT$7)),0)</f>
        <v/>
      </c>
      <c r="HX7" s="228">
        <f>IF(AND(228&gt;=$NR$7,228&lt;=$NS$7),IF($NP$7="Single_Point",IF(228=$NR$7,$NN$7,0),IF($NP$7="Bell_Curve",$NN$7*(228-$NR$7+1)*($NS$7-228+1)/$NU$7,$NN$7/$NT$7)),0)</f>
        <v/>
      </c>
      <c r="HY7" s="228">
        <f>IF(AND(229&gt;=$NR$7,229&lt;=$NS$7),IF($NP$7="Single_Point",IF(229=$NR$7,$NN$7,0),IF($NP$7="Bell_Curve",$NN$7*(229-$NR$7+1)*($NS$7-229+1)/$NU$7,$NN$7/$NT$7)),0)</f>
        <v/>
      </c>
      <c r="HZ7" s="228">
        <f>IF(AND(230&gt;=$NR$7,230&lt;=$NS$7),IF($NP$7="Single_Point",IF(230=$NR$7,$NN$7,0),IF($NP$7="Bell_Curve",$NN$7*(230-$NR$7+1)*($NS$7-230+1)/$NU$7,$NN$7/$NT$7)),0)</f>
        <v/>
      </c>
      <c r="IA7" s="228">
        <f>IF(AND(231&gt;=$NR$7,231&lt;=$NS$7),IF($NP$7="Single_Point",IF(231=$NR$7,$NN$7,0),IF($NP$7="Bell_Curve",$NN$7*(231-$NR$7+1)*($NS$7-231+1)/$NU$7,$NN$7/$NT$7)),0)</f>
        <v/>
      </c>
      <c r="IB7" s="228">
        <f>IF(AND(232&gt;=$NR$7,232&lt;=$NS$7),IF($NP$7="Single_Point",IF(232=$NR$7,$NN$7,0),IF($NP$7="Bell_Curve",$NN$7*(232-$NR$7+1)*($NS$7-232+1)/$NU$7,$NN$7/$NT$7)),0)</f>
        <v/>
      </c>
      <c r="IC7" s="228">
        <f>IF(AND(233&gt;=$NR$7,233&lt;=$NS$7),IF($NP$7="Single_Point",IF(233=$NR$7,$NN$7,0),IF($NP$7="Bell_Curve",$NN$7*(233-$NR$7+1)*($NS$7-233+1)/$NU$7,$NN$7/$NT$7)),0)</f>
        <v/>
      </c>
      <c r="ID7" s="228">
        <f>IF(AND(234&gt;=$NR$7,234&lt;=$NS$7),IF($NP$7="Single_Point",IF(234=$NR$7,$NN$7,0),IF($NP$7="Bell_Curve",$NN$7*(234-$NR$7+1)*($NS$7-234+1)/$NU$7,$NN$7/$NT$7)),0)</f>
        <v/>
      </c>
      <c r="IE7" s="228">
        <f>IF(AND(235&gt;=$NR$7,235&lt;=$NS$7),IF($NP$7="Single_Point",IF(235=$NR$7,$NN$7,0),IF($NP$7="Bell_Curve",$NN$7*(235-$NR$7+1)*($NS$7-235+1)/$NU$7,$NN$7/$NT$7)),0)</f>
        <v/>
      </c>
      <c r="IF7" s="228">
        <f>IF(AND(236&gt;=$NR$7,236&lt;=$NS$7),IF($NP$7="Single_Point",IF(236=$NR$7,$NN$7,0),IF($NP$7="Bell_Curve",$NN$7*(236-$NR$7+1)*($NS$7-236+1)/$NU$7,$NN$7/$NT$7)),0)</f>
        <v/>
      </c>
      <c r="IG7" s="228">
        <f>IF(AND(237&gt;=$NR$7,237&lt;=$NS$7),IF($NP$7="Single_Point",IF(237=$NR$7,$NN$7,0),IF($NP$7="Bell_Curve",$NN$7*(237-$NR$7+1)*($NS$7-237+1)/$NU$7,$NN$7/$NT$7)),0)</f>
        <v/>
      </c>
      <c r="IH7" s="228">
        <f>IF(AND(238&gt;=$NR$7,238&lt;=$NS$7),IF($NP$7="Single_Point",IF(238=$NR$7,$NN$7,0),IF($NP$7="Bell_Curve",$NN$7*(238-$NR$7+1)*($NS$7-238+1)/$NU$7,$NN$7/$NT$7)),0)</f>
        <v/>
      </c>
      <c r="II7" s="228">
        <f>IF(AND(239&gt;=$NR$7,239&lt;=$NS$7),IF($NP$7="Single_Point",IF(239=$NR$7,$NN$7,0),IF($NP$7="Bell_Curve",$NN$7*(239-$NR$7+1)*($NS$7-239+1)/$NU$7,$NN$7/$NT$7)),0)</f>
        <v/>
      </c>
      <c r="IJ7" s="228">
        <f>IF(AND(240&gt;=$NR$7,240&lt;=$NS$7),IF($NP$7="Single_Point",IF(240=$NR$7,$NN$7,0),IF($NP$7="Bell_Curve",$NN$7*(240-$NR$7+1)*($NS$7-240+1)/$NU$7,$NN$7/$NT$7)),0)</f>
        <v/>
      </c>
      <c r="IK7" s="228">
        <f>IF(AND(241&gt;=$NR$7,241&lt;=$NS$7),IF($NP$7="Single_Point",IF(241=$NR$7,$NN$7,0),IF($NP$7="Bell_Curve",$NN$7*(241-$NR$7+1)*($NS$7-241+1)/$NU$7,$NN$7/$NT$7)),0)</f>
        <v/>
      </c>
      <c r="IL7" s="228">
        <f>IF(AND(242&gt;=$NR$7,242&lt;=$NS$7),IF($NP$7="Single_Point",IF(242=$NR$7,$NN$7,0),IF($NP$7="Bell_Curve",$NN$7*(242-$NR$7+1)*($NS$7-242+1)/$NU$7,$NN$7/$NT$7)),0)</f>
        <v/>
      </c>
      <c r="IM7" s="228">
        <f>IF(AND(243&gt;=$NR$7,243&lt;=$NS$7),IF($NP$7="Single_Point",IF(243=$NR$7,$NN$7,0),IF($NP$7="Bell_Curve",$NN$7*(243-$NR$7+1)*($NS$7-243+1)/$NU$7,$NN$7/$NT$7)),0)</f>
        <v/>
      </c>
      <c r="IN7" s="228">
        <f>IF(AND(244&gt;=$NR$7,244&lt;=$NS$7),IF($NP$7="Single_Point",IF(244=$NR$7,$NN$7,0),IF($NP$7="Bell_Curve",$NN$7*(244-$NR$7+1)*($NS$7-244+1)/$NU$7,$NN$7/$NT$7)),0)</f>
        <v/>
      </c>
      <c r="IO7" s="228">
        <f>IF(AND(245&gt;=$NR$7,245&lt;=$NS$7),IF($NP$7="Single_Point",IF(245=$NR$7,$NN$7,0),IF($NP$7="Bell_Curve",$NN$7*(245-$NR$7+1)*($NS$7-245+1)/$NU$7,$NN$7/$NT$7)),0)</f>
        <v/>
      </c>
      <c r="IP7" s="228">
        <f>IF(AND(246&gt;=$NR$7,246&lt;=$NS$7),IF($NP$7="Single_Point",IF(246=$NR$7,$NN$7,0),IF($NP$7="Bell_Curve",$NN$7*(246-$NR$7+1)*($NS$7-246+1)/$NU$7,$NN$7/$NT$7)),0)</f>
        <v/>
      </c>
      <c r="IQ7" s="228">
        <f>IF(AND(247&gt;=$NR$7,247&lt;=$NS$7),IF($NP$7="Single_Point",IF(247=$NR$7,$NN$7,0),IF($NP$7="Bell_Curve",$NN$7*(247-$NR$7+1)*($NS$7-247+1)/$NU$7,$NN$7/$NT$7)),0)</f>
        <v/>
      </c>
      <c r="IR7" s="228">
        <f>IF(AND(248&gt;=$NR$7,248&lt;=$NS$7),IF($NP$7="Single_Point",IF(248=$NR$7,$NN$7,0),IF($NP$7="Bell_Curve",$NN$7*(248-$NR$7+1)*($NS$7-248+1)/$NU$7,$NN$7/$NT$7)),0)</f>
        <v/>
      </c>
      <c r="IS7" s="228">
        <f>IF(AND(249&gt;=$NR$7,249&lt;=$NS$7),IF($NP$7="Single_Point",IF(249=$NR$7,$NN$7,0),IF($NP$7="Bell_Curve",$NN$7*(249-$NR$7+1)*($NS$7-249+1)/$NU$7,$NN$7/$NT$7)),0)</f>
        <v/>
      </c>
      <c r="IT7" s="228">
        <f>IF(AND(250&gt;=$NR$7,250&lt;=$NS$7),IF($NP$7="Single_Point",IF(250=$NR$7,$NN$7,0),IF($NP$7="Bell_Curve",$NN$7*(250-$NR$7+1)*($NS$7-250+1)/$NU$7,$NN$7/$NT$7)),0)</f>
        <v/>
      </c>
      <c r="IU7" s="228">
        <f>IF(AND(251&gt;=$NR$7,251&lt;=$NS$7),IF($NP$7="Single_Point",IF(251=$NR$7,$NN$7,0),IF($NP$7="Bell_Curve",$NN$7*(251-$NR$7+1)*($NS$7-251+1)/$NU$7,$NN$7/$NT$7)),0)</f>
        <v/>
      </c>
      <c r="IV7" s="228">
        <f>IF(AND(252&gt;=$NR$7,252&lt;=$NS$7),IF($NP$7="Single_Point",IF(252=$NR$7,$NN$7,0),IF($NP$7="Bell_Curve",$NN$7*(252-$NR$7+1)*($NS$7-252+1)/$NU$7,$NN$7/$NT$7)),0)</f>
        <v/>
      </c>
      <c r="IW7" s="228">
        <f>IF(AND(253&gt;=$NR$7,253&lt;=$NS$7),IF($NP$7="Single_Point",IF(253=$NR$7,$NN$7,0),IF($NP$7="Bell_Curve",$NN$7*(253-$NR$7+1)*($NS$7-253+1)/$NU$7,$NN$7/$NT$7)),0)</f>
        <v/>
      </c>
      <c r="IX7" s="228">
        <f>IF(AND(254&gt;=$NR$7,254&lt;=$NS$7),IF($NP$7="Single_Point",IF(254=$NR$7,$NN$7,0),IF($NP$7="Bell_Curve",$NN$7*(254-$NR$7+1)*($NS$7-254+1)/$NU$7,$NN$7/$NT$7)),0)</f>
        <v/>
      </c>
      <c r="IY7" s="228">
        <f>IF(AND(255&gt;=$NR$7,255&lt;=$NS$7),IF($NP$7="Single_Point",IF(255=$NR$7,$NN$7,0),IF($NP$7="Bell_Curve",$NN$7*(255-$NR$7+1)*($NS$7-255+1)/$NU$7,$NN$7/$NT$7)),0)</f>
        <v/>
      </c>
      <c r="IZ7" s="228">
        <f>IF(AND(256&gt;=$NR$7,256&lt;=$NS$7),IF($NP$7="Single_Point",IF(256=$NR$7,$NN$7,0),IF($NP$7="Bell_Curve",$NN$7*(256-$NR$7+1)*($NS$7-256+1)/$NU$7,$NN$7/$NT$7)),0)</f>
        <v/>
      </c>
      <c r="JA7" s="228">
        <f>IF(AND(257&gt;=$NR$7,257&lt;=$NS$7),IF($NP$7="Single_Point",IF(257=$NR$7,$NN$7,0),IF($NP$7="Bell_Curve",$NN$7*(257-$NR$7+1)*($NS$7-257+1)/$NU$7,$NN$7/$NT$7)),0)</f>
        <v/>
      </c>
      <c r="JB7" s="228">
        <f>IF(AND(258&gt;=$NR$7,258&lt;=$NS$7),IF($NP$7="Single_Point",IF(258=$NR$7,$NN$7,0),IF($NP$7="Bell_Curve",$NN$7*(258-$NR$7+1)*($NS$7-258+1)/$NU$7,$NN$7/$NT$7)),0)</f>
        <v/>
      </c>
      <c r="JC7" s="228">
        <f>IF(AND(259&gt;=$NR$7,259&lt;=$NS$7),IF($NP$7="Single_Point",IF(259=$NR$7,$NN$7,0),IF($NP$7="Bell_Curve",$NN$7*(259-$NR$7+1)*($NS$7-259+1)/$NU$7,$NN$7/$NT$7)),0)</f>
        <v/>
      </c>
      <c r="JD7" s="228">
        <f>IF(AND(260&gt;=$NR$7,260&lt;=$NS$7),IF($NP$7="Single_Point",IF(260=$NR$7,$NN$7,0),IF($NP$7="Bell_Curve",$NN$7*(260-$NR$7+1)*($NS$7-260+1)/$NU$7,$NN$7/$NT$7)),0)</f>
        <v/>
      </c>
      <c r="JE7" s="228">
        <f>IF(AND(261&gt;=$NR$7,261&lt;=$NS$7),IF($NP$7="Single_Point",IF(261=$NR$7,$NN$7,0),IF($NP$7="Bell_Curve",$NN$7*(261-$NR$7+1)*($NS$7-261+1)/$NU$7,$NN$7/$NT$7)),0)</f>
        <v/>
      </c>
      <c r="JF7" s="228">
        <f>IF(AND(262&gt;=$NR$7,262&lt;=$NS$7),IF($NP$7="Single_Point",IF(262=$NR$7,$NN$7,0),IF($NP$7="Bell_Curve",$NN$7*(262-$NR$7+1)*($NS$7-262+1)/$NU$7,$NN$7/$NT$7)),0)</f>
        <v/>
      </c>
      <c r="JG7" s="228">
        <f>IF(AND(263&gt;=$NR$7,263&lt;=$NS$7),IF($NP$7="Single_Point",IF(263=$NR$7,$NN$7,0),IF($NP$7="Bell_Curve",$NN$7*(263-$NR$7+1)*($NS$7-263+1)/$NU$7,$NN$7/$NT$7)),0)</f>
        <v/>
      </c>
      <c r="JH7" s="228">
        <f>IF(AND(264&gt;=$NR$7,264&lt;=$NS$7),IF($NP$7="Single_Point",IF(264=$NR$7,$NN$7,0),IF($NP$7="Bell_Curve",$NN$7*(264-$NR$7+1)*($NS$7-264+1)/$NU$7,$NN$7/$NT$7)),0)</f>
        <v/>
      </c>
      <c r="JI7" s="228">
        <f>IF(AND(265&gt;=$NR$7,265&lt;=$NS$7),IF($NP$7="Single_Point",IF(265=$NR$7,$NN$7,0),IF($NP$7="Bell_Curve",$NN$7*(265-$NR$7+1)*($NS$7-265+1)/$NU$7,$NN$7/$NT$7)),0)</f>
        <v/>
      </c>
      <c r="JJ7" s="228">
        <f>IF(AND(266&gt;=$NR$7,266&lt;=$NS$7),IF($NP$7="Single_Point",IF(266=$NR$7,$NN$7,0),IF($NP$7="Bell_Curve",$NN$7*(266-$NR$7+1)*($NS$7-266+1)/$NU$7,$NN$7/$NT$7)),0)</f>
        <v/>
      </c>
      <c r="JK7" s="228">
        <f>IF(AND(267&gt;=$NR$7,267&lt;=$NS$7),IF($NP$7="Single_Point",IF(267=$NR$7,$NN$7,0),IF($NP$7="Bell_Curve",$NN$7*(267-$NR$7+1)*($NS$7-267+1)/$NU$7,$NN$7/$NT$7)),0)</f>
        <v/>
      </c>
      <c r="JL7" s="228">
        <f>IF(AND(268&gt;=$NR$7,268&lt;=$NS$7),IF($NP$7="Single_Point",IF(268=$NR$7,$NN$7,0),IF($NP$7="Bell_Curve",$NN$7*(268-$NR$7+1)*($NS$7-268+1)/$NU$7,$NN$7/$NT$7)),0)</f>
        <v/>
      </c>
      <c r="JM7" s="228">
        <f>IF(AND(269&gt;=$NR$7,269&lt;=$NS$7),IF($NP$7="Single_Point",IF(269=$NR$7,$NN$7,0),IF($NP$7="Bell_Curve",$NN$7*(269-$NR$7+1)*($NS$7-269+1)/$NU$7,$NN$7/$NT$7)),0)</f>
        <v/>
      </c>
      <c r="JN7" s="228">
        <f>IF(AND(270&gt;=$NR$7,270&lt;=$NS$7),IF($NP$7="Single_Point",IF(270=$NR$7,$NN$7,0),IF($NP$7="Bell_Curve",$NN$7*(270-$NR$7+1)*($NS$7-270+1)/$NU$7,$NN$7/$NT$7)),0)</f>
        <v/>
      </c>
      <c r="JO7" s="228">
        <f>IF(AND(271&gt;=$NR$7,271&lt;=$NS$7),IF($NP$7="Single_Point",IF(271=$NR$7,$NN$7,0),IF($NP$7="Bell_Curve",$NN$7*(271-$NR$7+1)*($NS$7-271+1)/$NU$7,$NN$7/$NT$7)),0)</f>
        <v/>
      </c>
      <c r="JP7" s="228">
        <f>IF(AND(272&gt;=$NR$7,272&lt;=$NS$7),IF($NP$7="Single_Point",IF(272=$NR$7,$NN$7,0),IF($NP$7="Bell_Curve",$NN$7*(272-$NR$7+1)*($NS$7-272+1)/$NU$7,$NN$7/$NT$7)),0)</f>
        <v/>
      </c>
      <c r="JQ7" s="228">
        <f>IF(AND(273&gt;=$NR$7,273&lt;=$NS$7),IF($NP$7="Single_Point",IF(273=$NR$7,$NN$7,0),IF($NP$7="Bell_Curve",$NN$7*(273-$NR$7+1)*($NS$7-273+1)/$NU$7,$NN$7/$NT$7)),0)</f>
        <v/>
      </c>
      <c r="JR7" s="228">
        <f>IF(AND(274&gt;=$NR$7,274&lt;=$NS$7),IF($NP$7="Single_Point",IF(274=$NR$7,$NN$7,0),IF($NP$7="Bell_Curve",$NN$7*(274-$NR$7+1)*($NS$7-274+1)/$NU$7,$NN$7/$NT$7)),0)</f>
        <v/>
      </c>
      <c r="JS7" s="228">
        <f>IF(AND(275&gt;=$NR$7,275&lt;=$NS$7),IF($NP$7="Single_Point",IF(275=$NR$7,$NN$7,0),IF($NP$7="Bell_Curve",$NN$7*(275-$NR$7+1)*($NS$7-275+1)/$NU$7,$NN$7/$NT$7)),0)</f>
        <v/>
      </c>
      <c r="JT7" s="228">
        <f>IF(AND(276&gt;=$NR$7,276&lt;=$NS$7),IF($NP$7="Single_Point",IF(276=$NR$7,$NN$7,0),IF($NP$7="Bell_Curve",$NN$7*(276-$NR$7+1)*($NS$7-276+1)/$NU$7,$NN$7/$NT$7)),0)</f>
        <v/>
      </c>
      <c r="JU7" s="228">
        <f>IF(AND(277&gt;=$NR$7,277&lt;=$NS$7),IF($NP$7="Single_Point",IF(277=$NR$7,$NN$7,0),IF($NP$7="Bell_Curve",$NN$7*(277-$NR$7+1)*($NS$7-277+1)/$NU$7,$NN$7/$NT$7)),0)</f>
        <v/>
      </c>
      <c r="JV7" s="228">
        <f>IF(AND(278&gt;=$NR$7,278&lt;=$NS$7),IF($NP$7="Single_Point",IF(278=$NR$7,$NN$7,0),IF($NP$7="Bell_Curve",$NN$7*(278-$NR$7+1)*($NS$7-278+1)/$NU$7,$NN$7/$NT$7)),0)</f>
        <v/>
      </c>
      <c r="JW7" s="228">
        <f>IF(AND(279&gt;=$NR$7,279&lt;=$NS$7),IF($NP$7="Single_Point",IF(279=$NR$7,$NN$7,0),IF($NP$7="Bell_Curve",$NN$7*(279-$NR$7+1)*($NS$7-279+1)/$NU$7,$NN$7/$NT$7)),0)</f>
        <v/>
      </c>
      <c r="JX7" s="228">
        <f>IF(AND(280&gt;=$NR$7,280&lt;=$NS$7),IF($NP$7="Single_Point",IF(280=$NR$7,$NN$7,0),IF($NP$7="Bell_Curve",$NN$7*(280-$NR$7+1)*($NS$7-280+1)/$NU$7,$NN$7/$NT$7)),0)</f>
        <v/>
      </c>
      <c r="JY7" s="228">
        <f>IF(AND(281&gt;=$NR$7,281&lt;=$NS$7),IF($NP$7="Single_Point",IF(281=$NR$7,$NN$7,0),IF($NP$7="Bell_Curve",$NN$7*(281-$NR$7+1)*($NS$7-281+1)/$NU$7,$NN$7/$NT$7)),0)</f>
        <v/>
      </c>
      <c r="JZ7" s="228">
        <f>IF(AND(282&gt;=$NR$7,282&lt;=$NS$7),IF($NP$7="Single_Point",IF(282=$NR$7,$NN$7,0),IF($NP$7="Bell_Curve",$NN$7*(282-$NR$7+1)*($NS$7-282+1)/$NU$7,$NN$7/$NT$7)),0)</f>
        <v/>
      </c>
      <c r="KA7" s="228">
        <f>IF(AND(283&gt;=$NR$7,283&lt;=$NS$7),IF($NP$7="Single_Point",IF(283=$NR$7,$NN$7,0),IF($NP$7="Bell_Curve",$NN$7*(283-$NR$7+1)*($NS$7-283+1)/$NU$7,$NN$7/$NT$7)),0)</f>
        <v/>
      </c>
      <c r="KB7" s="228">
        <f>IF(AND(284&gt;=$NR$7,284&lt;=$NS$7),IF($NP$7="Single_Point",IF(284=$NR$7,$NN$7,0),IF($NP$7="Bell_Curve",$NN$7*(284-$NR$7+1)*($NS$7-284+1)/$NU$7,$NN$7/$NT$7)),0)</f>
        <v/>
      </c>
      <c r="KC7" s="228">
        <f>IF(AND(285&gt;=$NR$7,285&lt;=$NS$7),IF($NP$7="Single_Point",IF(285=$NR$7,$NN$7,0),IF($NP$7="Bell_Curve",$NN$7*(285-$NR$7+1)*($NS$7-285+1)/$NU$7,$NN$7/$NT$7)),0)</f>
        <v/>
      </c>
      <c r="KD7" s="228">
        <f>IF(AND(286&gt;=$NR$7,286&lt;=$NS$7),IF($NP$7="Single_Point",IF(286=$NR$7,$NN$7,0),IF($NP$7="Bell_Curve",$NN$7*(286-$NR$7+1)*($NS$7-286+1)/$NU$7,$NN$7/$NT$7)),0)</f>
        <v/>
      </c>
      <c r="KE7" s="228">
        <f>IF(AND(287&gt;=$NR$7,287&lt;=$NS$7),IF($NP$7="Single_Point",IF(287=$NR$7,$NN$7,0),IF($NP$7="Bell_Curve",$NN$7*(287-$NR$7+1)*($NS$7-287+1)/$NU$7,$NN$7/$NT$7)),0)</f>
        <v/>
      </c>
      <c r="KF7" s="228">
        <f>IF(AND(288&gt;=$NR$7,288&lt;=$NS$7),IF($NP$7="Single_Point",IF(288=$NR$7,$NN$7,0),IF($NP$7="Bell_Curve",$NN$7*(288-$NR$7+1)*($NS$7-288+1)/$NU$7,$NN$7/$NT$7)),0)</f>
        <v/>
      </c>
      <c r="KG7" s="228">
        <f>IF(AND(289&gt;=$NR$7,289&lt;=$NS$7),IF($NP$7="Single_Point",IF(289=$NR$7,$NN$7,0),IF($NP$7="Bell_Curve",$NN$7*(289-$NR$7+1)*($NS$7-289+1)/$NU$7,$NN$7/$NT$7)),0)</f>
        <v/>
      </c>
      <c r="KH7" s="228">
        <f>IF(AND(290&gt;=$NR$7,290&lt;=$NS$7),IF($NP$7="Single_Point",IF(290=$NR$7,$NN$7,0),IF($NP$7="Bell_Curve",$NN$7*(290-$NR$7+1)*($NS$7-290+1)/$NU$7,$NN$7/$NT$7)),0)</f>
        <v/>
      </c>
      <c r="KI7" s="228">
        <f>IF(AND(291&gt;=$NR$7,291&lt;=$NS$7),IF($NP$7="Single_Point",IF(291=$NR$7,$NN$7,0),IF($NP$7="Bell_Curve",$NN$7*(291-$NR$7+1)*($NS$7-291+1)/$NU$7,$NN$7/$NT$7)),0)</f>
        <v/>
      </c>
      <c r="KJ7" s="228">
        <f>IF(AND(292&gt;=$NR$7,292&lt;=$NS$7),IF($NP$7="Single_Point",IF(292=$NR$7,$NN$7,0),IF($NP$7="Bell_Curve",$NN$7*(292-$NR$7+1)*($NS$7-292+1)/$NU$7,$NN$7/$NT$7)),0)</f>
        <v/>
      </c>
      <c r="KK7" s="228">
        <f>IF(AND(293&gt;=$NR$7,293&lt;=$NS$7),IF($NP$7="Single_Point",IF(293=$NR$7,$NN$7,0),IF($NP$7="Bell_Curve",$NN$7*(293-$NR$7+1)*($NS$7-293+1)/$NU$7,$NN$7/$NT$7)),0)</f>
        <v/>
      </c>
      <c r="KL7" s="228">
        <f>IF(AND(294&gt;=$NR$7,294&lt;=$NS$7),IF($NP$7="Single_Point",IF(294=$NR$7,$NN$7,0),IF($NP$7="Bell_Curve",$NN$7*(294-$NR$7+1)*($NS$7-294+1)/$NU$7,$NN$7/$NT$7)),0)</f>
        <v/>
      </c>
      <c r="KM7" s="228">
        <f>IF(AND(295&gt;=$NR$7,295&lt;=$NS$7),IF($NP$7="Single_Point",IF(295=$NR$7,$NN$7,0),IF($NP$7="Bell_Curve",$NN$7*(295-$NR$7+1)*($NS$7-295+1)/$NU$7,$NN$7/$NT$7)),0)</f>
        <v/>
      </c>
      <c r="KN7" s="228">
        <f>IF(AND(296&gt;=$NR$7,296&lt;=$NS$7),IF($NP$7="Single_Point",IF(296=$NR$7,$NN$7,0),IF($NP$7="Bell_Curve",$NN$7*(296-$NR$7+1)*($NS$7-296+1)/$NU$7,$NN$7/$NT$7)),0)</f>
        <v/>
      </c>
      <c r="KO7" s="228">
        <f>IF(AND(297&gt;=$NR$7,297&lt;=$NS$7),IF($NP$7="Single_Point",IF(297=$NR$7,$NN$7,0),IF($NP$7="Bell_Curve",$NN$7*(297-$NR$7+1)*($NS$7-297+1)/$NU$7,$NN$7/$NT$7)),0)</f>
        <v/>
      </c>
      <c r="KP7" s="228">
        <f>IF(AND(298&gt;=$NR$7,298&lt;=$NS$7),IF($NP$7="Single_Point",IF(298=$NR$7,$NN$7,0),IF($NP$7="Bell_Curve",$NN$7*(298-$NR$7+1)*($NS$7-298+1)/$NU$7,$NN$7/$NT$7)),0)</f>
        <v/>
      </c>
      <c r="KQ7" s="228">
        <f>IF(AND(299&gt;=$NR$7,299&lt;=$NS$7),IF($NP$7="Single_Point",IF(299=$NR$7,$NN$7,0),IF($NP$7="Bell_Curve",$NN$7*(299-$NR$7+1)*($NS$7-299+1)/$NU$7,$NN$7/$NT$7)),0)</f>
        <v/>
      </c>
      <c r="KR7" s="228">
        <f>IF(AND(300&gt;=$NR$7,300&lt;=$NS$7),IF($NP$7="Single_Point",IF(300=$NR$7,$NN$7,0),IF($NP$7="Bell_Curve",$NN$7*(300-$NR$7+1)*($NS$7-300+1)/$NU$7,$NN$7/$NT$7)),0)</f>
        <v/>
      </c>
      <c r="KS7" s="228">
        <f>IF(AND(301&gt;=$NR$7,301&lt;=$NS$7),IF($NP$7="Single_Point",IF(301=$NR$7,$NN$7,0),IF($NP$7="Bell_Curve",$NN$7*(301-$NR$7+1)*($NS$7-301+1)/$NU$7,$NN$7/$NT$7)),0)</f>
        <v/>
      </c>
      <c r="KT7" s="228">
        <f>IF(AND(302&gt;=$NR$7,302&lt;=$NS$7),IF($NP$7="Single_Point",IF(302=$NR$7,$NN$7,0),IF($NP$7="Bell_Curve",$NN$7*(302-$NR$7+1)*($NS$7-302+1)/$NU$7,$NN$7/$NT$7)),0)</f>
        <v/>
      </c>
      <c r="KU7" s="228">
        <f>IF(AND(303&gt;=$NR$7,303&lt;=$NS$7),IF($NP$7="Single_Point",IF(303=$NR$7,$NN$7,0),IF($NP$7="Bell_Curve",$NN$7*(303-$NR$7+1)*($NS$7-303+1)/$NU$7,$NN$7/$NT$7)),0)</f>
        <v/>
      </c>
      <c r="KV7" s="228">
        <f>IF(AND(304&gt;=$NR$7,304&lt;=$NS$7),IF($NP$7="Single_Point",IF(304=$NR$7,$NN$7,0),IF($NP$7="Bell_Curve",$NN$7*(304-$NR$7+1)*($NS$7-304+1)/$NU$7,$NN$7/$NT$7)),0)</f>
        <v/>
      </c>
      <c r="KW7" s="228">
        <f>IF(AND(305&gt;=$NR$7,305&lt;=$NS$7),IF($NP$7="Single_Point",IF(305=$NR$7,$NN$7,0),IF($NP$7="Bell_Curve",$NN$7*(305-$NR$7+1)*($NS$7-305+1)/$NU$7,$NN$7/$NT$7)),0)</f>
        <v/>
      </c>
      <c r="KX7" s="228">
        <f>IF(AND(306&gt;=$NR$7,306&lt;=$NS$7),IF($NP$7="Single_Point",IF(306=$NR$7,$NN$7,0),IF($NP$7="Bell_Curve",$NN$7*(306-$NR$7+1)*($NS$7-306+1)/$NU$7,$NN$7/$NT$7)),0)</f>
        <v/>
      </c>
      <c r="KY7" s="228">
        <f>IF(AND(307&gt;=$NR$7,307&lt;=$NS$7),IF($NP$7="Single_Point",IF(307=$NR$7,$NN$7,0),IF($NP$7="Bell_Curve",$NN$7*(307-$NR$7+1)*($NS$7-307+1)/$NU$7,$NN$7/$NT$7)),0)</f>
        <v/>
      </c>
      <c r="KZ7" s="228">
        <f>IF(AND(308&gt;=$NR$7,308&lt;=$NS$7),IF($NP$7="Single_Point",IF(308=$NR$7,$NN$7,0),IF($NP$7="Bell_Curve",$NN$7*(308-$NR$7+1)*($NS$7-308+1)/$NU$7,$NN$7/$NT$7)),0)</f>
        <v/>
      </c>
      <c r="LA7" s="228">
        <f>IF(AND(309&gt;=$NR$7,309&lt;=$NS$7),IF($NP$7="Single_Point",IF(309=$NR$7,$NN$7,0),IF($NP$7="Bell_Curve",$NN$7*(309-$NR$7+1)*($NS$7-309+1)/$NU$7,$NN$7/$NT$7)),0)</f>
        <v/>
      </c>
      <c r="LB7" s="228">
        <f>IF(AND(310&gt;=$NR$7,310&lt;=$NS$7),IF($NP$7="Single_Point",IF(310=$NR$7,$NN$7,0),IF($NP$7="Bell_Curve",$NN$7*(310-$NR$7+1)*($NS$7-310+1)/$NU$7,$NN$7/$NT$7)),0)</f>
        <v/>
      </c>
      <c r="LC7" s="228">
        <f>IF(AND(311&gt;=$NR$7,311&lt;=$NS$7),IF($NP$7="Single_Point",IF(311=$NR$7,$NN$7,0),IF($NP$7="Bell_Curve",$NN$7*(311-$NR$7+1)*($NS$7-311+1)/$NU$7,$NN$7/$NT$7)),0)</f>
        <v/>
      </c>
      <c r="LD7" s="228">
        <f>IF(AND(312&gt;=$NR$7,312&lt;=$NS$7),IF($NP$7="Single_Point",IF(312=$NR$7,$NN$7,0),IF($NP$7="Bell_Curve",$NN$7*(312-$NR$7+1)*($NS$7-312+1)/$NU$7,$NN$7/$NT$7)),0)</f>
        <v/>
      </c>
      <c r="LE7" s="228">
        <f>IF(AND(313&gt;=$NR$7,313&lt;=$NS$7),IF($NP$7="Single_Point",IF(313=$NR$7,$NN$7,0),IF($NP$7="Bell_Curve",$NN$7*(313-$NR$7+1)*($NS$7-313+1)/$NU$7,$NN$7/$NT$7)),0)</f>
        <v/>
      </c>
      <c r="LF7" s="228">
        <f>IF(AND(314&gt;=$NR$7,314&lt;=$NS$7),IF($NP$7="Single_Point",IF(314=$NR$7,$NN$7,0),IF($NP$7="Bell_Curve",$NN$7*(314-$NR$7+1)*($NS$7-314+1)/$NU$7,$NN$7/$NT$7)),0)</f>
        <v/>
      </c>
      <c r="LG7" s="228">
        <f>IF(AND(315&gt;=$NR$7,315&lt;=$NS$7),IF($NP$7="Single_Point",IF(315=$NR$7,$NN$7,0),IF($NP$7="Bell_Curve",$NN$7*(315-$NR$7+1)*($NS$7-315+1)/$NU$7,$NN$7/$NT$7)),0)</f>
        <v/>
      </c>
      <c r="LH7" s="228">
        <f>IF(AND(316&gt;=$NR$7,316&lt;=$NS$7),IF($NP$7="Single_Point",IF(316=$NR$7,$NN$7,0),IF($NP$7="Bell_Curve",$NN$7*(316-$NR$7+1)*($NS$7-316+1)/$NU$7,$NN$7/$NT$7)),0)</f>
        <v/>
      </c>
      <c r="LI7" s="228">
        <f>IF(AND(317&gt;=$NR$7,317&lt;=$NS$7),IF($NP$7="Single_Point",IF(317=$NR$7,$NN$7,0),IF($NP$7="Bell_Curve",$NN$7*(317-$NR$7+1)*($NS$7-317+1)/$NU$7,$NN$7/$NT$7)),0)</f>
        <v/>
      </c>
      <c r="LJ7" s="228">
        <f>IF(AND(318&gt;=$NR$7,318&lt;=$NS$7),IF($NP$7="Single_Point",IF(318=$NR$7,$NN$7,0),IF($NP$7="Bell_Curve",$NN$7*(318-$NR$7+1)*($NS$7-318+1)/$NU$7,$NN$7/$NT$7)),0)</f>
        <v/>
      </c>
      <c r="LK7" s="228">
        <f>IF(AND(319&gt;=$NR$7,319&lt;=$NS$7),IF($NP$7="Single_Point",IF(319=$NR$7,$NN$7,0),IF($NP$7="Bell_Curve",$NN$7*(319-$NR$7+1)*($NS$7-319+1)/$NU$7,$NN$7/$NT$7)),0)</f>
        <v/>
      </c>
      <c r="LL7" s="228">
        <f>IF(AND(320&gt;=$NR$7,320&lt;=$NS$7),IF($NP$7="Single_Point",IF(320=$NR$7,$NN$7,0),IF($NP$7="Bell_Curve",$NN$7*(320-$NR$7+1)*($NS$7-320+1)/$NU$7,$NN$7/$NT$7)),0)</f>
        <v/>
      </c>
      <c r="LM7" s="228">
        <f>IF(AND(321&gt;=$NR$7,321&lt;=$NS$7),IF($NP$7="Single_Point",IF(321=$NR$7,$NN$7,0),IF($NP$7="Bell_Curve",$NN$7*(321-$NR$7+1)*($NS$7-321+1)/$NU$7,$NN$7/$NT$7)),0)</f>
        <v/>
      </c>
      <c r="LN7" s="228">
        <f>IF(AND(322&gt;=$NR$7,322&lt;=$NS$7),IF($NP$7="Single_Point",IF(322=$NR$7,$NN$7,0),IF($NP$7="Bell_Curve",$NN$7*(322-$NR$7+1)*($NS$7-322+1)/$NU$7,$NN$7/$NT$7)),0)</f>
        <v/>
      </c>
      <c r="LO7" s="228">
        <f>IF(AND(323&gt;=$NR$7,323&lt;=$NS$7),IF($NP$7="Single_Point",IF(323=$NR$7,$NN$7,0),IF($NP$7="Bell_Curve",$NN$7*(323-$NR$7+1)*($NS$7-323+1)/$NU$7,$NN$7/$NT$7)),0)</f>
        <v/>
      </c>
      <c r="LP7" s="228">
        <f>IF(AND(324&gt;=$NR$7,324&lt;=$NS$7),IF($NP$7="Single_Point",IF(324=$NR$7,$NN$7,0),IF($NP$7="Bell_Curve",$NN$7*(324-$NR$7+1)*($NS$7-324+1)/$NU$7,$NN$7/$NT$7)),0)</f>
        <v/>
      </c>
      <c r="LQ7" s="228">
        <f>IF(AND(325&gt;=$NR$7,325&lt;=$NS$7),IF($NP$7="Single_Point",IF(325=$NR$7,$NN$7,0),IF($NP$7="Bell_Curve",$NN$7*(325-$NR$7+1)*($NS$7-325+1)/$NU$7,$NN$7/$NT$7)),0)</f>
        <v/>
      </c>
      <c r="LR7" s="228">
        <f>IF(AND(326&gt;=$NR$7,326&lt;=$NS$7),IF($NP$7="Single_Point",IF(326=$NR$7,$NN$7,0),IF($NP$7="Bell_Curve",$NN$7*(326-$NR$7+1)*($NS$7-326+1)/$NU$7,$NN$7/$NT$7)),0)</f>
        <v/>
      </c>
      <c r="LS7" s="228">
        <f>IF(AND(327&gt;=$NR$7,327&lt;=$NS$7),IF($NP$7="Single_Point",IF(327=$NR$7,$NN$7,0),IF($NP$7="Bell_Curve",$NN$7*(327-$NR$7+1)*($NS$7-327+1)/$NU$7,$NN$7/$NT$7)),0)</f>
        <v/>
      </c>
      <c r="LT7" s="228">
        <f>IF(AND(328&gt;=$NR$7,328&lt;=$NS$7),IF($NP$7="Single_Point",IF(328=$NR$7,$NN$7,0),IF($NP$7="Bell_Curve",$NN$7*(328-$NR$7+1)*($NS$7-328+1)/$NU$7,$NN$7/$NT$7)),0)</f>
        <v/>
      </c>
      <c r="LU7" s="228">
        <f>IF(AND(329&gt;=$NR$7,329&lt;=$NS$7),IF($NP$7="Single_Point",IF(329=$NR$7,$NN$7,0),IF($NP$7="Bell_Curve",$NN$7*(329-$NR$7+1)*($NS$7-329+1)/$NU$7,$NN$7/$NT$7)),0)</f>
        <v/>
      </c>
      <c r="LV7" s="228">
        <f>IF(AND(330&gt;=$NR$7,330&lt;=$NS$7),IF($NP$7="Single_Point",IF(330=$NR$7,$NN$7,0),IF($NP$7="Bell_Curve",$NN$7*(330-$NR$7+1)*($NS$7-330+1)/$NU$7,$NN$7/$NT$7)),0)</f>
        <v/>
      </c>
      <c r="LW7" s="228">
        <f>IF(AND(331&gt;=$NR$7,331&lt;=$NS$7),IF($NP$7="Single_Point",IF(331=$NR$7,$NN$7,0),IF($NP$7="Bell_Curve",$NN$7*(331-$NR$7+1)*($NS$7-331+1)/$NU$7,$NN$7/$NT$7)),0)</f>
        <v/>
      </c>
      <c r="LX7" s="228">
        <f>IF(AND(332&gt;=$NR$7,332&lt;=$NS$7),IF($NP$7="Single_Point",IF(332=$NR$7,$NN$7,0),IF($NP$7="Bell_Curve",$NN$7*(332-$NR$7+1)*($NS$7-332+1)/$NU$7,$NN$7/$NT$7)),0)</f>
        <v/>
      </c>
      <c r="LY7" s="228">
        <f>IF(AND(333&gt;=$NR$7,333&lt;=$NS$7),IF($NP$7="Single_Point",IF(333=$NR$7,$NN$7,0),IF($NP$7="Bell_Curve",$NN$7*(333-$NR$7+1)*($NS$7-333+1)/$NU$7,$NN$7/$NT$7)),0)</f>
        <v/>
      </c>
      <c r="LZ7" s="228">
        <f>IF(AND(334&gt;=$NR$7,334&lt;=$NS$7),IF($NP$7="Single_Point",IF(334=$NR$7,$NN$7,0),IF($NP$7="Bell_Curve",$NN$7*(334-$NR$7+1)*($NS$7-334+1)/$NU$7,$NN$7/$NT$7)),0)</f>
        <v/>
      </c>
      <c r="MA7" s="228">
        <f>IF(AND(335&gt;=$NR$7,335&lt;=$NS$7),IF($NP$7="Single_Point",IF(335=$NR$7,$NN$7,0),IF($NP$7="Bell_Curve",$NN$7*(335-$NR$7+1)*($NS$7-335+1)/$NU$7,$NN$7/$NT$7)),0)</f>
        <v/>
      </c>
      <c r="MB7" s="228">
        <f>IF(AND(336&gt;=$NR$7,336&lt;=$NS$7),IF($NP$7="Single_Point",IF(336=$NR$7,$NN$7,0),IF($NP$7="Bell_Curve",$NN$7*(336-$NR$7+1)*($NS$7-336+1)/$NU$7,$NN$7/$NT$7)),0)</f>
        <v/>
      </c>
      <c r="MC7" s="228">
        <f>IF(AND(337&gt;=$NR$7,337&lt;=$NS$7),IF($NP$7="Single_Point",IF(337=$NR$7,$NN$7,0),IF($NP$7="Bell_Curve",$NN$7*(337-$NR$7+1)*($NS$7-337+1)/$NU$7,$NN$7/$NT$7)),0)</f>
        <v/>
      </c>
      <c r="MD7" s="228">
        <f>IF(AND(338&gt;=$NR$7,338&lt;=$NS$7),IF($NP$7="Single_Point",IF(338=$NR$7,$NN$7,0),IF($NP$7="Bell_Curve",$NN$7*(338-$NR$7+1)*($NS$7-338+1)/$NU$7,$NN$7/$NT$7)),0)</f>
        <v/>
      </c>
      <c r="ME7" s="228">
        <f>IF(AND(339&gt;=$NR$7,339&lt;=$NS$7),IF($NP$7="Single_Point",IF(339=$NR$7,$NN$7,0),IF($NP$7="Bell_Curve",$NN$7*(339-$NR$7+1)*($NS$7-339+1)/$NU$7,$NN$7/$NT$7)),0)</f>
        <v/>
      </c>
      <c r="MF7" s="228">
        <f>IF(AND(340&gt;=$NR$7,340&lt;=$NS$7),IF($NP$7="Single_Point",IF(340=$NR$7,$NN$7,0),IF($NP$7="Bell_Curve",$NN$7*(340-$NR$7+1)*($NS$7-340+1)/$NU$7,$NN$7/$NT$7)),0)</f>
        <v/>
      </c>
      <c r="MG7" s="228">
        <f>IF(AND(341&gt;=$NR$7,341&lt;=$NS$7),IF($NP$7="Single_Point",IF(341=$NR$7,$NN$7,0),IF($NP$7="Bell_Curve",$NN$7*(341-$NR$7+1)*($NS$7-341+1)/$NU$7,$NN$7/$NT$7)),0)</f>
        <v/>
      </c>
      <c r="MH7" s="228">
        <f>IF(AND(342&gt;=$NR$7,342&lt;=$NS$7),IF($NP$7="Single_Point",IF(342=$NR$7,$NN$7,0),IF($NP$7="Bell_Curve",$NN$7*(342-$NR$7+1)*($NS$7-342+1)/$NU$7,$NN$7/$NT$7)),0)</f>
        <v/>
      </c>
      <c r="MI7" s="228">
        <f>IF(AND(343&gt;=$NR$7,343&lt;=$NS$7),IF($NP$7="Single_Point",IF(343=$NR$7,$NN$7,0),IF($NP$7="Bell_Curve",$NN$7*(343-$NR$7+1)*($NS$7-343+1)/$NU$7,$NN$7/$NT$7)),0)</f>
        <v/>
      </c>
      <c r="MJ7" s="228">
        <f>IF(AND(344&gt;=$NR$7,344&lt;=$NS$7),IF($NP$7="Single_Point",IF(344=$NR$7,$NN$7,0),IF($NP$7="Bell_Curve",$NN$7*(344-$NR$7+1)*($NS$7-344+1)/$NU$7,$NN$7/$NT$7)),0)</f>
        <v/>
      </c>
      <c r="MK7" s="228">
        <f>IF(AND(345&gt;=$NR$7,345&lt;=$NS$7),IF($NP$7="Single_Point",IF(345=$NR$7,$NN$7,0),IF($NP$7="Bell_Curve",$NN$7*(345-$NR$7+1)*($NS$7-345+1)/$NU$7,$NN$7/$NT$7)),0)</f>
        <v/>
      </c>
      <c r="ML7" s="228">
        <f>IF(AND(346&gt;=$NR$7,346&lt;=$NS$7),IF($NP$7="Single_Point",IF(346=$NR$7,$NN$7,0),IF($NP$7="Bell_Curve",$NN$7*(346-$NR$7+1)*($NS$7-346+1)/$NU$7,$NN$7/$NT$7)),0)</f>
        <v/>
      </c>
      <c r="MM7" s="228">
        <f>IF(AND(347&gt;=$NR$7,347&lt;=$NS$7),IF($NP$7="Single_Point",IF(347=$NR$7,$NN$7,0),IF($NP$7="Bell_Curve",$NN$7*(347-$NR$7+1)*($NS$7-347+1)/$NU$7,$NN$7/$NT$7)),0)</f>
        <v/>
      </c>
      <c r="MN7" s="228">
        <f>IF(AND(348&gt;=$NR$7,348&lt;=$NS$7),IF($NP$7="Single_Point",IF(348=$NR$7,$NN$7,0),IF($NP$7="Bell_Curve",$NN$7*(348-$NR$7+1)*($NS$7-348+1)/$NU$7,$NN$7/$NT$7)),0)</f>
        <v/>
      </c>
      <c r="MO7" s="228">
        <f>IF(AND(349&gt;=$NR$7,349&lt;=$NS$7),IF($NP$7="Single_Point",IF(349=$NR$7,$NN$7,0),IF($NP$7="Bell_Curve",$NN$7*(349-$NR$7+1)*($NS$7-349+1)/$NU$7,$NN$7/$NT$7)),0)</f>
        <v/>
      </c>
      <c r="MP7" s="228">
        <f>IF(AND(350&gt;=$NR$7,350&lt;=$NS$7),IF($NP$7="Single_Point",IF(350=$NR$7,$NN$7,0),IF($NP$7="Bell_Curve",$NN$7*(350-$NR$7+1)*($NS$7-350+1)/$NU$7,$NN$7/$NT$7)),0)</f>
        <v/>
      </c>
      <c r="MQ7" s="228">
        <f>IF(AND(351&gt;=$NR$7,351&lt;=$NS$7),IF($NP$7="Single_Point",IF(351=$NR$7,$NN$7,0),IF($NP$7="Bell_Curve",$NN$7*(351-$NR$7+1)*($NS$7-351+1)/$NU$7,$NN$7/$NT$7)),0)</f>
        <v/>
      </c>
      <c r="MR7" s="228">
        <f>IF(AND(352&gt;=$NR$7,352&lt;=$NS$7),IF($NP$7="Single_Point",IF(352=$NR$7,$NN$7,0),IF($NP$7="Bell_Curve",$NN$7*(352-$NR$7+1)*($NS$7-352+1)/$NU$7,$NN$7/$NT$7)),0)</f>
        <v/>
      </c>
      <c r="MS7" s="228">
        <f>IF(AND(353&gt;=$NR$7,353&lt;=$NS$7),IF($NP$7="Single_Point",IF(353=$NR$7,$NN$7,0),IF($NP$7="Bell_Curve",$NN$7*(353-$NR$7+1)*($NS$7-353+1)/$NU$7,$NN$7/$NT$7)),0)</f>
        <v/>
      </c>
      <c r="MT7" s="228">
        <f>IF(AND(354&gt;=$NR$7,354&lt;=$NS$7),IF($NP$7="Single_Point",IF(354=$NR$7,$NN$7,0),IF($NP$7="Bell_Curve",$NN$7*(354-$NR$7+1)*($NS$7-354+1)/$NU$7,$NN$7/$NT$7)),0)</f>
        <v/>
      </c>
      <c r="MU7" s="228">
        <f>IF(AND(355&gt;=$NR$7,355&lt;=$NS$7),IF($NP$7="Single_Point",IF(355=$NR$7,$NN$7,0),IF($NP$7="Bell_Curve",$NN$7*(355-$NR$7+1)*($NS$7-355+1)/$NU$7,$NN$7/$NT$7)),0)</f>
        <v/>
      </c>
      <c r="MV7" s="228">
        <f>IF(AND(356&gt;=$NR$7,356&lt;=$NS$7),IF($NP$7="Single_Point",IF(356=$NR$7,$NN$7,0),IF($NP$7="Bell_Curve",$NN$7*(356-$NR$7+1)*($NS$7-356+1)/$NU$7,$NN$7/$NT$7)),0)</f>
        <v/>
      </c>
      <c r="MW7" s="228">
        <f>IF(AND(357&gt;=$NR$7,357&lt;=$NS$7),IF($NP$7="Single_Point",IF(357=$NR$7,$NN$7,0),IF($NP$7="Bell_Curve",$NN$7*(357-$NR$7+1)*($NS$7-357+1)/$NU$7,$NN$7/$NT$7)),0)</f>
        <v/>
      </c>
      <c r="MX7" s="228">
        <f>IF(AND(358&gt;=$NR$7,358&lt;=$NS$7),IF($NP$7="Single_Point",IF(358=$NR$7,$NN$7,0),IF($NP$7="Bell_Curve",$NN$7*(358-$NR$7+1)*($NS$7-358+1)/$NU$7,$NN$7/$NT$7)),0)</f>
        <v/>
      </c>
      <c r="MY7" s="228">
        <f>IF(AND(359&gt;=$NR$7,359&lt;=$NS$7),IF($NP$7="Single_Point",IF(359=$NR$7,$NN$7,0),IF($NP$7="Bell_Curve",$NN$7*(359-$NR$7+1)*($NS$7-359+1)/$NU$7,$NN$7/$NT$7)),0)</f>
        <v/>
      </c>
      <c r="MZ7" s="228">
        <f>IF(AND(360&gt;=$NR$7,360&lt;=$NS$7),IF($NP$7="Single_Point",IF(360=$NR$7,$NN$7,0),IF($NP$7="Bell_Curve",$NN$7*(360-$NR$7+1)*($NS$7-360+1)/$NU$7,$NN$7/$NT$7)),0)</f>
        <v/>
      </c>
      <c r="NA7" s="228">
        <f>IF(AND(361&gt;=$NR$7,361&lt;=$NS$7),IF($NP$7="Single_Point",IF(361=$NR$7,$NN$7,0),IF($NP$7="Bell_Curve",$NN$7*(361-$NR$7+1)*($NS$7-361+1)/$NU$7,$NN$7/$NT$7)),0)</f>
        <v/>
      </c>
      <c r="NB7" s="228">
        <f>IF(AND(362&gt;=$NR$7,362&lt;=$NS$7),IF($NP$7="Single_Point",IF(362=$NR$7,$NN$7,0),IF($NP$7="Bell_Curve",$NN$7*(362-$NR$7+1)*($NS$7-362+1)/$NU$7,$NN$7/$NT$7)),0)</f>
        <v/>
      </c>
      <c r="NC7" s="228">
        <f>IF(AND(363&gt;=$NR$7,363&lt;=$NS$7),IF($NP$7="Single_Point",IF(363=$NR$7,$NN$7,0),IF($NP$7="Bell_Curve",$NN$7*(363-$NR$7+1)*($NS$7-363+1)/$NU$7,$NN$7/$NT$7)),0)</f>
        <v/>
      </c>
      <c r="ND7" s="228">
        <f>IF(AND(364&gt;=$NR$7,364&lt;=$NS$7),IF($NP$7="Single_Point",IF(364=$NR$7,$NN$7,0),IF($NP$7="Bell_Curve",$NN$7*(364-$NR$7+1)*($NS$7-364+1)/$NU$7,$NN$7/$NT$7)),0)</f>
        <v/>
      </c>
      <c r="NE7" s="228">
        <f>IF(AND(365&gt;=$NR$7,365&lt;=$NS$7),IF($NP$7="Single_Point",IF(365=$NR$7,$NN$7,0),IF($NP$7="Bell_Curve",$NN$7*(365-$NR$7+1)*($NS$7-365+1)/$NU$7,$NN$7/$NT$7)),0)</f>
        <v/>
      </c>
      <c r="NF7" s="228">
        <f>IF(AND(366&gt;=$NR$7,366&lt;=$NS$7),IF($NP$7="Single_Point",IF(366=$NR$7,$NN$7,0),IF($NP$7="Bell_Curve",$NN$7*(366-$NR$7+1)*($NS$7-366+1)/$NU$7,$NN$7/$NT$7)),0)</f>
        <v/>
      </c>
      <c r="NG7" s="228">
        <f>IF(AND(367&gt;=$NR$7,367&lt;=$NS$7),IF($NP$7="Single_Point",IF(367=$NR$7,$NN$7,0),IF($NP$7="Bell_Curve",$NN$7*(367-$NR$7+1)*($NS$7-367+1)/$NU$7,$NN$7/$NT$7)),0)</f>
        <v/>
      </c>
      <c r="NH7" s="228">
        <f>IF(AND(368&gt;=$NR$7,368&lt;=$NS$7),IF($NP$7="Single_Point",IF(368=$NR$7,$NN$7,0),IF($NP$7="Bell_Curve",$NN$7*(368-$NR$7+1)*($NS$7-368+1)/$NU$7,$NN$7/$NT$7)),0)</f>
        <v/>
      </c>
      <c r="NI7" s="228">
        <f>IF(AND(369&gt;=$NR$7,369&lt;=$NS$7),IF($NP$7="Single_Point",IF(369=$NR$7,$NN$7,0),IF($NP$7="Bell_Curve",$NN$7*(369-$NR$7+1)*($NS$7-369+1)/$NU$7,$NN$7/$NT$7)),0)</f>
        <v/>
      </c>
      <c r="NJ7" s="228">
        <f>IF(AND(370&gt;=$NR$7,370&lt;=$NS$7),IF($NP$7="Single_Point",IF(370=$NR$7,$NN$7,0),IF($NP$7="Bell_Curve",$NN$7*(370-$NR$7+1)*($NS$7-370+1)/$NU$7,$NN$7/$NT$7)),0)</f>
        <v/>
      </c>
      <c r="NK7" s="228">
        <f>IF(AND(371&gt;=$NR$7,371&lt;=$NS$7),IF($NP$7="Single_Point",IF(371=$NR$7,$NN$7,0),IF($NP$7="Bell_Curve",$NN$7*(371-$NR$7+1)*($NS$7-371+1)/$NU$7,$NN$7/$NT$7)),0)</f>
        <v/>
      </c>
      <c r="NL7" s="247">
        <f>IF(AND(372&gt;=$NR$7,372&lt;=$NS$7),IF($NP$7="Single_Point",IF(372=$NR$7,$NN$7,0),IF($NP$7="Bell_Curve",$NN$7*(372-$NR$7+1)*($NS$7-372+1)/$NU$7,$NN$7/$NT$7)),0)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36" t="inlineStr">
        <is>
          <t>Due Diligence</t>
        </is>
      </c>
      <c r="D8" s="246">
        <f>SUM(E8:NL8)</f>
        <v/>
      </c>
      <c r="E8" s="228">
        <f>IF(AND(1&gt;=$NR$8,1&lt;=$NS$8),IF($NP$8="Single_Point",IF(1=$NR$8,$NN$8,0),IF($NP$8="Bell_Curve",$NN$8*(1-$NR$8+1)*($NS$8-1+1)/$NU$8,$NN$8/$NT$8)),0)</f>
        <v/>
      </c>
      <c r="F8" s="228">
        <f>IF(AND(2&gt;=$NR$8,2&lt;=$NS$8),IF($NP$8="Single_Point",IF(2=$NR$8,$NN$8,0),IF($NP$8="Bell_Curve",$NN$8*(2-$NR$8+1)*($NS$8-2+1)/$NU$8,$NN$8/$NT$8)),0)</f>
        <v/>
      </c>
      <c r="G8" s="228">
        <f>IF(AND(3&gt;=$NR$8,3&lt;=$NS$8),IF($NP$8="Single_Point",IF(3=$NR$8,$NN$8,0),IF($NP$8="Bell_Curve",$NN$8*(3-$NR$8+1)*($NS$8-3+1)/$NU$8,$NN$8/$NT$8)),0)</f>
        <v/>
      </c>
      <c r="H8" s="228">
        <f>IF(AND(4&gt;=$NR$8,4&lt;=$NS$8),IF($NP$8="Single_Point",IF(4=$NR$8,$NN$8,0),IF($NP$8="Bell_Curve",$NN$8*(4-$NR$8+1)*($NS$8-4+1)/$NU$8,$NN$8/$NT$8)),0)</f>
        <v/>
      </c>
      <c r="I8" s="228">
        <f>IF(AND(5&gt;=$NR$8,5&lt;=$NS$8),IF($NP$8="Single_Point",IF(5=$NR$8,$NN$8,0),IF($NP$8="Bell_Curve",$NN$8*(5-$NR$8+1)*($NS$8-5+1)/$NU$8,$NN$8/$NT$8)),0)</f>
        <v/>
      </c>
      <c r="J8" s="228">
        <f>IF(AND(6&gt;=$NR$8,6&lt;=$NS$8),IF($NP$8="Single_Point",IF(6=$NR$8,$NN$8,0),IF($NP$8="Bell_Curve",$NN$8*(6-$NR$8+1)*($NS$8-6+1)/$NU$8,$NN$8/$NT$8)),0)</f>
        <v/>
      </c>
      <c r="K8" s="228">
        <f>IF(AND(7&gt;=$NR$8,7&lt;=$NS$8),IF($NP$8="Single_Point",IF(7=$NR$8,$NN$8,0),IF($NP$8="Bell_Curve",$NN$8*(7-$NR$8+1)*($NS$8-7+1)/$NU$8,$NN$8/$NT$8)),0)</f>
        <v/>
      </c>
      <c r="L8" s="228">
        <f>IF(AND(8&gt;=$NR$8,8&lt;=$NS$8),IF($NP$8="Single_Point",IF(8=$NR$8,$NN$8,0),IF($NP$8="Bell_Curve",$NN$8*(8-$NR$8+1)*($NS$8-8+1)/$NU$8,$NN$8/$NT$8)),0)</f>
        <v/>
      </c>
      <c r="M8" s="228">
        <f>IF(AND(9&gt;=$NR$8,9&lt;=$NS$8),IF($NP$8="Single_Point",IF(9=$NR$8,$NN$8,0),IF($NP$8="Bell_Curve",$NN$8*(9-$NR$8+1)*($NS$8-9+1)/$NU$8,$NN$8/$NT$8)),0)</f>
        <v/>
      </c>
      <c r="N8" s="228">
        <f>IF(AND(10&gt;=$NR$8,10&lt;=$NS$8),IF($NP$8="Single_Point",IF(10=$NR$8,$NN$8,0),IF($NP$8="Bell_Curve",$NN$8*(10-$NR$8+1)*($NS$8-10+1)/$NU$8,$NN$8/$NT$8)),0)</f>
        <v/>
      </c>
      <c r="O8" s="228">
        <f>IF(AND(11&gt;=$NR$8,11&lt;=$NS$8),IF($NP$8="Single_Point",IF(11=$NR$8,$NN$8,0),IF($NP$8="Bell_Curve",$NN$8*(11-$NR$8+1)*($NS$8-11+1)/$NU$8,$NN$8/$NT$8)),0)</f>
        <v/>
      </c>
      <c r="P8" s="228">
        <f>IF(AND(12&gt;=$NR$8,12&lt;=$NS$8),IF($NP$8="Single_Point",IF(12=$NR$8,$NN$8,0),IF($NP$8="Bell_Curve",$NN$8*(12-$NR$8+1)*($NS$8-12+1)/$NU$8,$NN$8/$NT$8)),0)</f>
        <v/>
      </c>
      <c r="Q8" s="228">
        <f>IF(AND(13&gt;=$NR$8,13&lt;=$NS$8),IF($NP$8="Single_Point",IF(13=$NR$8,$NN$8,0),IF($NP$8="Bell_Curve",$NN$8*(13-$NR$8+1)*($NS$8-13+1)/$NU$8,$NN$8/$NT$8)),0)</f>
        <v/>
      </c>
      <c r="R8" s="228">
        <f>IF(AND(14&gt;=$NR$8,14&lt;=$NS$8),IF($NP$8="Single_Point",IF(14=$NR$8,$NN$8,0),IF($NP$8="Bell_Curve",$NN$8*(14-$NR$8+1)*($NS$8-14+1)/$NU$8,$NN$8/$NT$8)),0)</f>
        <v/>
      </c>
      <c r="S8" s="228">
        <f>IF(AND(15&gt;=$NR$8,15&lt;=$NS$8),IF($NP$8="Single_Point",IF(15=$NR$8,$NN$8,0),IF($NP$8="Bell_Curve",$NN$8*(15-$NR$8+1)*($NS$8-15+1)/$NU$8,$NN$8/$NT$8)),0)</f>
        <v/>
      </c>
      <c r="T8" s="228">
        <f>IF(AND(16&gt;=$NR$8,16&lt;=$NS$8),IF($NP$8="Single_Point",IF(16=$NR$8,$NN$8,0),IF($NP$8="Bell_Curve",$NN$8*(16-$NR$8+1)*($NS$8-16+1)/$NU$8,$NN$8/$NT$8)),0)</f>
        <v/>
      </c>
      <c r="U8" s="228">
        <f>IF(AND(17&gt;=$NR$8,17&lt;=$NS$8),IF($NP$8="Single_Point",IF(17=$NR$8,$NN$8,0),IF($NP$8="Bell_Curve",$NN$8*(17-$NR$8+1)*($NS$8-17+1)/$NU$8,$NN$8/$NT$8)),0)</f>
        <v/>
      </c>
      <c r="V8" s="228">
        <f>IF(AND(18&gt;=$NR$8,18&lt;=$NS$8),IF($NP$8="Single_Point",IF(18=$NR$8,$NN$8,0),IF($NP$8="Bell_Curve",$NN$8*(18-$NR$8+1)*($NS$8-18+1)/$NU$8,$NN$8/$NT$8)),0)</f>
        <v/>
      </c>
      <c r="W8" s="228">
        <f>IF(AND(19&gt;=$NR$8,19&lt;=$NS$8),IF($NP$8="Single_Point",IF(19=$NR$8,$NN$8,0),IF($NP$8="Bell_Curve",$NN$8*(19-$NR$8+1)*($NS$8-19+1)/$NU$8,$NN$8/$NT$8)),0)</f>
        <v/>
      </c>
      <c r="X8" s="228">
        <f>IF(AND(20&gt;=$NR$8,20&lt;=$NS$8),IF($NP$8="Single_Point",IF(20=$NR$8,$NN$8,0),IF($NP$8="Bell_Curve",$NN$8*(20-$NR$8+1)*($NS$8-20+1)/$NU$8,$NN$8/$NT$8)),0)</f>
        <v/>
      </c>
      <c r="Y8" s="228">
        <f>IF(AND(21&gt;=$NR$8,21&lt;=$NS$8),IF($NP$8="Single_Point",IF(21=$NR$8,$NN$8,0),IF($NP$8="Bell_Curve",$NN$8*(21-$NR$8+1)*($NS$8-21+1)/$NU$8,$NN$8/$NT$8)),0)</f>
        <v/>
      </c>
      <c r="Z8" s="228">
        <f>IF(AND(22&gt;=$NR$8,22&lt;=$NS$8),IF($NP$8="Single_Point",IF(22=$NR$8,$NN$8,0),IF($NP$8="Bell_Curve",$NN$8*(22-$NR$8+1)*($NS$8-22+1)/$NU$8,$NN$8/$NT$8)),0)</f>
        <v/>
      </c>
      <c r="AA8" s="228">
        <f>IF(AND(23&gt;=$NR$8,23&lt;=$NS$8),IF($NP$8="Single_Point",IF(23=$NR$8,$NN$8,0),IF($NP$8="Bell_Curve",$NN$8*(23-$NR$8+1)*($NS$8-23+1)/$NU$8,$NN$8/$NT$8)),0)</f>
        <v/>
      </c>
      <c r="AB8" s="228">
        <f>IF(AND(24&gt;=$NR$8,24&lt;=$NS$8),IF($NP$8="Single_Point",IF(24=$NR$8,$NN$8,0),IF($NP$8="Bell_Curve",$NN$8*(24-$NR$8+1)*($NS$8-24+1)/$NU$8,$NN$8/$NT$8)),0)</f>
        <v/>
      </c>
      <c r="AC8" s="228">
        <f>IF(AND(25&gt;=$NR$8,25&lt;=$NS$8),IF($NP$8="Single_Point",IF(25=$NR$8,$NN$8,0),IF($NP$8="Bell_Curve",$NN$8*(25-$NR$8+1)*($NS$8-25+1)/$NU$8,$NN$8/$NT$8)),0)</f>
        <v/>
      </c>
      <c r="AD8" s="228">
        <f>IF(AND(26&gt;=$NR$8,26&lt;=$NS$8),IF($NP$8="Single_Point",IF(26=$NR$8,$NN$8,0),IF($NP$8="Bell_Curve",$NN$8*(26-$NR$8+1)*($NS$8-26+1)/$NU$8,$NN$8/$NT$8)),0)</f>
        <v/>
      </c>
      <c r="AE8" s="228">
        <f>IF(AND(27&gt;=$NR$8,27&lt;=$NS$8),IF($NP$8="Single_Point",IF(27=$NR$8,$NN$8,0),IF($NP$8="Bell_Curve",$NN$8*(27-$NR$8+1)*($NS$8-27+1)/$NU$8,$NN$8/$NT$8)),0)</f>
        <v/>
      </c>
      <c r="AF8" s="228">
        <f>IF(AND(28&gt;=$NR$8,28&lt;=$NS$8),IF($NP$8="Single_Point",IF(28=$NR$8,$NN$8,0),IF($NP$8="Bell_Curve",$NN$8*(28-$NR$8+1)*($NS$8-28+1)/$NU$8,$NN$8/$NT$8)),0)</f>
        <v/>
      </c>
      <c r="AG8" s="228">
        <f>IF(AND(29&gt;=$NR$8,29&lt;=$NS$8),IF($NP$8="Single_Point",IF(29=$NR$8,$NN$8,0),IF($NP$8="Bell_Curve",$NN$8*(29-$NR$8+1)*($NS$8-29+1)/$NU$8,$NN$8/$NT$8)),0)</f>
        <v/>
      </c>
      <c r="AH8" s="228">
        <f>IF(AND(30&gt;=$NR$8,30&lt;=$NS$8),IF($NP$8="Single_Point",IF(30=$NR$8,$NN$8,0),IF($NP$8="Bell_Curve",$NN$8*(30-$NR$8+1)*($NS$8-30+1)/$NU$8,$NN$8/$NT$8)),0)</f>
        <v/>
      </c>
      <c r="AI8" s="228">
        <f>IF(AND(31&gt;=$NR$8,31&lt;=$NS$8),IF($NP$8="Single_Point",IF(31=$NR$8,$NN$8,0),IF($NP$8="Bell_Curve",$NN$8*(31-$NR$8+1)*($NS$8-31+1)/$NU$8,$NN$8/$NT$8)),0)</f>
        <v/>
      </c>
      <c r="AJ8" s="228">
        <f>IF(AND(32&gt;=$NR$8,32&lt;=$NS$8),IF($NP$8="Single_Point",IF(32=$NR$8,$NN$8,0),IF($NP$8="Bell_Curve",$NN$8*(32-$NR$8+1)*($NS$8-32+1)/$NU$8,$NN$8/$NT$8)),0)</f>
        <v/>
      </c>
      <c r="AK8" s="228">
        <f>IF(AND(33&gt;=$NR$8,33&lt;=$NS$8),IF($NP$8="Single_Point",IF(33=$NR$8,$NN$8,0),IF($NP$8="Bell_Curve",$NN$8*(33-$NR$8+1)*($NS$8-33+1)/$NU$8,$NN$8/$NT$8)),0)</f>
        <v/>
      </c>
      <c r="AL8" s="228">
        <f>IF(AND(34&gt;=$NR$8,34&lt;=$NS$8),IF($NP$8="Single_Point",IF(34=$NR$8,$NN$8,0),IF($NP$8="Bell_Curve",$NN$8*(34-$NR$8+1)*($NS$8-34+1)/$NU$8,$NN$8/$NT$8)),0)</f>
        <v/>
      </c>
      <c r="AM8" s="228">
        <f>IF(AND(35&gt;=$NR$8,35&lt;=$NS$8),IF($NP$8="Single_Point",IF(35=$NR$8,$NN$8,0),IF($NP$8="Bell_Curve",$NN$8*(35-$NR$8+1)*($NS$8-35+1)/$NU$8,$NN$8/$NT$8)),0)</f>
        <v/>
      </c>
      <c r="AN8" s="228">
        <f>IF(AND(36&gt;=$NR$8,36&lt;=$NS$8),IF($NP$8="Single_Point",IF(36=$NR$8,$NN$8,0),IF($NP$8="Bell_Curve",$NN$8*(36-$NR$8+1)*($NS$8-36+1)/$NU$8,$NN$8/$NT$8)),0)</f>
        <v/>
      </c>
      <c r="AO8" s="228">
        <f>IF(AND(37&gt;=$NR$8,37&lt;=$NS$8),IF($NP$8="Single_Point",IF(37=$NR$8,$NN$8,0),IF($NP$8="Bell_Curve",$NN$8*(37-$NR$8+1)*($NS$8-37+1)/$NU$8,$NN$8/$NT$8)),0)</f>
        <v/>
      </c>
      <c r="AP8" s="228">
        <f>IF(AND(38&gt;=$NR$8,38&lt;=$NS$8),IF($NP$8="Single_Point",IF(38=$NR$8,$NN$8,0),IF($NP$8="Bell_Curve",$NN$8*(38-$NR$8+1)*($NS$8-38+1)/$NU$8,$NN$8/$NT$8)),0)</f>
        <v/>
      </c>
      <c r="AQ8" s="228">
        <f>IF(AND(39&gt;=$NR$8,39&lt;=$NS$8),IF($NP$8="Single_Point",IF(39=$NR$8,$NN$8,0),IF($NP$8="Bell_Curve",$NN$8*(39-$NR$8+1)*($NS$8-39+1)/$NU$8,$NN$8/$NT$8)),0)</f>
        <v/>
      </c>
      <c r="AR8" s="228">
        <f>IF(AND(40&gt;=$NR$8,40&lt;=$NS$8),IF($NP$8="Single_Point",IF(40=$NR$8,$NN$8,0),IF($NP$8="Bell_Curve",$NN$8*(40-$NR$8+1)*($NS$8-40+1)/$NU$8,$NN$8/$NT$8)),0)</f>
        <v/>
      </c>
      <c r="AS8" s="228">
        <f>IF(AND(41&gt;=$NR$8,41&lt;=$NS$8),IF($NP$8="Single_Point",IF(41=$NR$8,$NN$8,0),IF($NP$8="Bell_Curve",$NN$8*(41-$NR$8+1)*($NS$8-41+1)/$NU$8,$NN$8/$NT$8)),0)</f>
        <v/>
      </c>
      <c r="AT8" s="228">
        <f>IF(AND(42&gt;=$NR$8,42&lt;=$NS$8),IF($NP$8="Single_Point",IF(42=$NR$8,$NN$8,0),IF($NP$8="Bell_Curve",$NN$8*(42-$NR$8+1)*($NS$8-42+1)/$NU$8,$NN$8/$NT$8)),0)</f>
        <v/>
      </c>
      <c r="AU8" s="228">
        <f>IF(AND(43&gt;=$NR$8,43&lt;=$NS$8),IF($NP$8="Single_Point",IF(43=$NR$8,$NN$8,0),IF($NP$8="Bell_Curve",$NN$8*(43-$NR$8+1)*($NS$8-43+1)/$NU$8,$NN$8/$NT$8)),0)</f>
        <v/>
      </c>
      <c r="AV8" s="228">
        <f>IF(AND(44&gt;=$NR$8,44&lt;=$NS$8),IF($NP$8="Single_Point",IF(44=$NR$8,$NN$8,0),IF($NP$8="Bell_Curve",$NN$8*(44-$NR$8+1)*($NS$8-44+1)/$NU$8,$NN$8/$NT$8)),0)</f>
        <v/>
      </c>
      <c r="AW8" s="228">
        <f>IF(AND(45&gt;=$NR$8,45&lt;=$NS$8),IF($NP$8="Single_Point",IF(45=$NR$8,$NN$8,0),IF($NP$8="Bell_Curve",$NN$8*(45-$NR$8+1)*($NS$8-45+1)/$NU$8,$NN$8/$NT$8)),0)</f>
        <v/>
      </c>
      <c r="AX8" s="228">
        <f>IF(AND(46&gt;=$NR$8,46&lt;=$NS$8),IF($NP$8="Single_Point",IF(46=$NR$8,$NN$8,0),IF($NP$8="Bell_Curve",$NN$8*(46-$NR$8+1)*($NS$8-46+1)/$NU$8,$NN$8/$NT$8)),0)</f>
        <v/>
      </c>
      <c r="AY8" s="228">
        <f>IF(AND(47&gt;=$NR$8,47&lt;=$NS$8),IF($NP$8="Single_Point",IF(47=$NR$8,$NN$8,0),IF($NP$8="Bell_Curve",$NN$8*(47-$NR$8+1)*($NS$8-47+1)/$NU$8,$NN$8/$NT$8)),0)</f>
        <v/>
      </c>
      <c r="AZ8" s="228">
        <f>IF(AND(48&gt;=$NR$8,48&lt;=$NS$8),IF($NP$8="Single_Point",IF(48=$NR$8,$NN$8,0),IF($NP$8="Bell_Curve",$NN$8*(48-$NR$8+1)*($NS$8-48+1)/$NU$8,$NN$8/$NT$8)),0)</f>
        <v/>
      </c>
      <c r="BA8" s="228">
        <f>IF(AND(49&gt;=$NR$8,49&lt;=$NS$8),IF($NP$8="Single_Point",IF(49=$NR$8,$NN$8,0),IF($NP$8="Bell_Curve",$NN$8*(49-$NR$8+1)*($NS$8-49+1)/$NU$8,$NN$8/$NT$8)),0)</f>
        <v/>
      </c>
      <c r="BB8" s="228">
        <f>IF(AND(50&gt;=$NR$8,50&lt;=$NS$8),IF($NP$8="Single_Point",IF(50=$NR$8,$NN$8,0),IF($NP$8="Bell_Curve",$NN$8*(50-$NR$8+1)*($NS$8-50+1)/$NU$8,$NN$8/$NT$8)),0)</f>
        <v/>
      </c>
      <c r="BC8" s="228">
        <f>IF(AND(51&gt;=$NR$8,51&lt;=$NS$8),IF($NP$8="Single_Point",IF(51=$NR$8,$NN$8,0),IF($NP$8="Bell_Curve",$NN$8*(51-$NR$8+1)*($NS$8-51+1)/$NU$8,$NN$8/$NT$8)),0)</f>
        <v/>
      </c>
      <c r="BD8" s="228">
        <f>IF(AND(52&gt;=$NR$8,52&lt;=$NS$8),IF($NP$8="Single_Point",IF(52=$NR$8,$NN$8,0),IF($NP$8="Bell_Curve",$NN$8*(52-$NR$8+1)*($NS$8-52+1)/$NU$8,$NN$8/$NT$8)),0)</f>
        <v/>
      </c>
      <c r="BE8" s="228">
        <f>IF(AND(53&gt;=$NR$8,53&lt;=$NS$8),IF($NP$8="Single_Point",IF(53=$NR$8,$NN$8,0),IF($NP$8="Bell_Curve",$NN$8*(53-$NR$8+1)*($NS$8-53+1)/$NU$8,$NN$8/$NT$8)),0)</f>
        <v/>
      </c>
      <c r="BF8" s="228">
        <f>IF(AND(54&gt;=$NR$8,54&lt;=$NS$8),IF($NP$8="Single_Point",IF(54=$NR$8,$NN$8,0),IF($NP$8="Bell_Curve",$NN$8*(54-$NR$8+1)*($NS$8-54+1)/$NU$8,$NN$8/$NT$8)),0)</f>
        <v/>
      </c>
      <c r="BG8" s="228">
        <f>IF(AND(55&gt;=$NR$8,55&lt;=$NS$8),IF($NP$8="Single_Point",IF(55=$NR$8,$NN$8,0),IF($NP$8="Bell_Curve",$NN$8*(55-$NR$8+1)*($NS$8-55+1)/$NU$8,$NN$8/$NT$8)),0)</f>
        <v/>
      </c>
      <c r="BH8" s="228">
        <f>IF(AND(56&gt;=$NR$8,56&lt;=$NS$8),IF($NP$8="Single_Point",IF(56=$NR$8,$NN$8,0),IF($NP$8="Bell_Curve",$NN$8*(56-$NR$8+1)*($NS$8-56+1)/$NU$8,$NN$8/$NT$8)),0)</f>
        <v/>
      </c>
      <c r="BI8" s="228">
        <f>IF(AND(57&gt;=$NR$8,57&lt;=$NS$8),IF($NP$8="Single_Point",IF(57=$NR$8,$NN$8,0),IF($NP$8="Bell_Curve",$NN$8*(57-$NR$8+1)*($NS$8-57+1)/$NU$8,$NN$8/$NT$8)),0)</f>
        <v/>
      </c>
      <c r="BJ8" s="228">
        <f>IF(AND(58&gt;=$NR$8,58&lt;=$NS$8),IF($NP$8="Single_Point",IF(58=$NR$8,$NN$8,0),IF($NP$8="Bell_Curve",$NN$8*(58-$NR$8+1)*($NS$8-58+1)/$NU$8,$NN$8/$NT$8)),0)</f>
        <v/>
      </c>
      <c r="BK8" s="228">
        <f>IF(AND(59&gt;=$NR$8,59&lt;=$NS$8),IF($NP$8="Single_Point",IF(59=$NR$8,$NN$8,0),IF($NP$8="Bell_Curve",$NN$8*(59-$NR$8+1)*($NS$8-59+1)/$NU$8,$NN$8/$NT$8)),0)</f>
        <v/>
      </c>
      <c r="BL8" s="228">
        <f>IF(AND(60&gt;=$NR$8,60&lt;=$NS$8),IF($NP$8="Single_Point",IF(60=$NR$8,$NN$8,0),IF($NP$8="Bell_Curve",$NN$8*(60-$NR$8+1)*($NS$8-60+1)/$NU$8,$NN$8/$NT$8)),0)</f>
        <v/>
      </c>
      <c r="BM8" s="228">
        <f>IF(AND(61&gt;=$NR$8,61&lt;=$NS$8),IF($NP$8="Single_Point",IF(61=$NR$8,$NN$8,0),IF($NP$8="Bell_Curve",$NN$8*(61-$NR$8+1)*($NS$8-61+1)/$NU$8,$NN$8/$NT$8)),0)</f>
        <v/>
      </c>
      <c r="BN8" s="228">
        <f>IF(AND(62&gt;=$NR$8,62&lt;=$NS$8),IF($NP$8="Single_Point",IF(62=$NR$8,$NN$8,0),IF($NP$8="Bell_Curve",$NN$8*(62-$NR$8+1)*($NS$8-62+1)/$NU$8,$NN$8/$NT$8)),0)</f>
        <v/>
      </c>
      <c r="BO8" s="228">
        <f>IF(AND(63&gt;=$NR$8,63&lt;=$NS$8),IF($NP$8="Single_Point",IF(63=$NR$8,$NN$8,0),IF($NP$8="Bell_Curve",$NN$8*(63-$NR$8+1)*($NS$8-63+1)/$NU$8,$NN$8/$NT$8)),0)</f>
        <v/>
      </c>
      <c r="BP8" s="228">
        <f>IF(AND(64&gt;=$NR$8,64&lt;=$NS$8),IF($NP$8="Single_Point",IF(64=$NR$8,$NN$8,0),IF($NP$8="Bell_Curve",$NN$8*(64-$NR$8+1)*($NS$8-64+1)/$NU$8,$NN$8/$NT$8)),0)</f>
        <v/>
      </c>
      <c r="BQ8" s="228">
        <f>IF(AND(65&gt;=$NR$8,65&lt;=$NS$8),IF($NP$8="Single_Point",IF(65=$NR$8,$NN$8,0),IF($NP$8="Bell_Curve",$NN$8*(65-$NR$8+1)*($NS$8-65+1)/$NU$8,$NN$8/$NT$8)),0)</f>
        <v/>
      </c>
      <c r="BR8" s="228">
        <f>IF(AND(66&gt;=$NR$8,66&lt;=$NS$8),IF($NP$8="Single_Point",IF(66=$NR$8,$NN$8,0),IF($NP$8="Bell_Curve",$NN$8*(66-$NR$8+1)*($NS$8-66+1)/$NU$8,$NN$8/$NT$8)),0)</f>
        <v/>
      </c>
      <c r="BS8" s="228">
        <f>IF(AND(67&gt;=$NR$8,67&lt;=$NS$8),IF($NP$8="Single_Point",IF(67=$NR$8,$NN$8,0),IF($NP$8="Bell_Curve",$NN$8*(67-$NR$8+1)*($NS$8-67+1)/$NU$8,$NN$8/$NT$8)),0)</f>
        <v/>
      </c>
      <c r="BT8" s="228">
        <f>IF(AND(68&gt;=$NR$8,68&lt;=$NS$8),IF($NP$8="Single_Point",IF(68=$NR$8,$NN$8,0),IF($NP$8="Bell_Curve",$NN$8*(68-$NR$8+1)*($NS$8-68+1)/$NU$8,$NN$8/$NT$8)),0)</f>
        <v/>
      </c>
      <c r="BU8" s="228">
        <f>IF(AND(69&gt;=$NR$8,69&lt;=$NS$8),IF($NP$8="Single_Point",IF(69=$NR$8,$NN$8,0),IF($NP$8="Bell_Curve",$NN$8*(69-$NR$8+1)*($NS$8-69+1)/$NU$8,$NN$8/$NT$8)),0)</f>
        <v/>
      </c>
      <c r="BV8" s="228">
        <f>IF(AND(70&gt;=$NR$8,70&lt;=$NS$8),IF($NP$8="Single_Point",IF(70=$NR$8,$NN$8,0),IF($NP$8="Bell_Curve",$NN$8*(70-$NR$8+1)*($NS$8-70+1)/$NU$8,$NN$8/$NT$8)),0)</f>
        <v/>
      </c>
      <c r="BW8" s="228">
        <f>IF(AND(71&gt;=$NR$8,71&lt;=$NS$8),IF($NP$8="Single_Point",IF(71=$NR$8,$NN$8,0),IF($NP$8="Bell_Curve",$NN$8*(71-$NR$8+1)*($NS$8-71+1)/$NU$8,$NN$8/$NT$8)),0)</f>
        <v/>
      </c>
      <c r="BX8" s="228">
        <f>IF(AND(72&gt;=$NR$8,72&lt;=$NS$8),IF($NP$8="Single_Point",IF(72=$NR$8,$NN$8,0),IF($NP$8="Bell_Curve",$NN$8*(72-$NR$8+1)*($NS$8-72+1)/$NU$8,$NN$8/$NT$8)),0)</f>
        <v/>
      </c>
      <c r="BY8" s="228">
        <f>IF(AND(73&gt;=$NR$8,73&lt;=$NS$8),IF($NP$8="Single_Point",IF(73=$NR$8,$NN$8,0),IF($NP$8="Bell_Curve",$NN$8*(73-$NR$8+1)*($NS$8-73+1)/$NU$8,$NN$8/$NT$8)),0)</f>
        <v/>
      </c>
      <c r="BZ8" s="228">
        <f>IF(AND(74&gt;=$NR$8,74&lt;=$NS$8),IF($NP$8="Single_Point",IF(74=$NR$8,$NN$8,0),IF($NP$8="Bell_Curve",$NN$8*(74-$NR$8+1)*($NS$8-74+1)/$NU$8,$NN$8/$NT$8)),0)</f>
        <v/>
      </c>
      <c r="CA8" s="228">
        <f>IF(AND(75&gt;=$NR$8,75&lt;=$NS$8),IF($NP$8="Single_Point",IF(75=$NR$8,$NN$8,0),IF($NP$8="Bell_Curve",$NN$8*(75-$NR$8+1)*($NS$8-75+1)/$NU$8,$NN$8/$NT$8)),0)</f>
        <v/>
      </c>
      <c r="CB8" s="228">
        <f>IF(AND(76&gt;=$NR$8,76&lt;=$NS$8),IF($NP$8="Single_Point",IF(76=$NR$8,$NN$8,0),IF($NP$8="Bell_Curve",$NN$8*(76-$NR$8+1)*($NS$8-76+1)/$NU$8,$NN$8/$NT$8)),0)</f>
        <v/>
      </c>
      <c r="CC8" s="228">
        <f>IF(AND(77&gt;=$NR$8,77&lt;=$NS$8),IF($NP$8="Single_Point",IF(77=$NR$8,$NN$8,0),IF($NP$8="Bell_Curve",$NN$8*(77-$NR$8+1)*($NS$8-77+1)/$NU$8,$NN$8/$NT$8)),0)</f>
        <v/>
      </c>
      <c r="CD8" s="228">
        <f>IF(AND(78&gt;=$NR$8,78&lt;=$NS$8),IF($NP$8="Single_Point",IF(78=$NR$8,$NN$8,0),IF($NP$8="Bell_Curve",$NN$8*(78-$NR$8+1)*($NS$8-78+1)/$NU$8,$NN$8/$NT$8)),0)</f>
        <v/>
      </c>
      <c r="CE8" s="228">
        <f>IF(AND(79&gt;=$NR$8,79&lt;=$NS$8),IF($NP$8="Single_Point",IF(79=$NR$8,$NN$8,0),IF($NP$8="Bell_Curve",$NN$8*(79-$NR$8+1)*($NS$8-79+1)/$NU$8,$NN$8/$NT$8)),0)</f>
        <v/>
      </c>
      <c r="CF8" s="228">
        <f>IF(AND(80&gt;=$NR$8,80&lt;=$NS$8),IF($NP$8="Single_Point",IF(80=$NR$8,$NN$8,0),IF($NP$8="Bell_Curve",$NN$8*(80-$NR$8+1)*($NS$8-80+1)/$NU$8,$NN$8/$NT$8)),0)</f>
        <v/>
      </c>
      <c r="CG8" s="228">
        <f>IF(AND(81&gt;=$NR$8,81&lt;=$NS$8),IF($NP$8="Single_Point",IF(81=$NR$8,$NN$8,0),IF($NP$8="Bell_Curve",$NN$8*(81-$NR$8+1)*($NS$8-81+1)/$NU$8,$NN$8/$NT$8)),0)</f>
        <v/>
      </c>
      <c r="CH8" s="228">
        <f>IF(AND(82&gt;=$NR$8,82&lt;=$NS$8),IF($NP$8="Single_Point",IF(82=$NR$8,$NN$8,0),IF($NP$8="Bell_Curve",$NN$8*(82-$NR$8+1)*($NS$8-82+1)/$NU$8,$NN$8/$NT$8)),0)</f>
        <v/>
      </c>
      <c r="CI8" s="228">
        <f>IF(AND(83&gt;=$NR$8,83&lt;=$NS$8),IF($NP$8="Single_Point",IF(83=$NR$8,$NN$8,0),IF($NP$8="Bell_Curve",$NN$8*(83-$NR$8+1)*($NS$8-83+1)/$NU$8,$NN$8/$NT$8)),0)</f>
        <v/>
      </c>
      <c r="CJ8" s="228">
        <f>IF(AND(84&gt;=$NR$8,84&lt;=$NS$8),IF($NP$8="Single_Point",IF(84=$NR$8,$NN$8,0),IF($NP$8="Bell_Curve",$NN$8*(84-$NR$8+1)*($NS$8-84+1)/$NU$8,$NN$8/$NT$8)),0)</f>
        <v/>
      </c>
      <c r="CK8" s="228">
        <f>IF(AND(85&gt;=$NR$8,85&lt;=$NS$8),IF($NP$8="Single_Point",IF(85=$NR$8,$NN$8,0),IF($NP$8="Bell_Curve",$NN$8*(85-$NR$8+1)*($NS$8-85+1)/$NU$8,$NN$8/$NT$8)),0)</f>
        <v/>
      </c>
      <c r="CL8" s="228">
        <f>IF(AND(86&gt;=$NR$8,86&lt;=$NS$8),IF($NP$8="Single_Point",IF(86=$NR$8,$NN$8,0),IF($NP$8="Bell_Curve",$NN$8*(86-$NR$8+1)*($NS$8-86+1)/$NU$8,$NN$8/$NT$8)),0)</f>
        <v/>
      </c>
      <c r="CM8" s="228">
        <f>IF(AND(87&gt;=$NR$8,87&lt;=$NS$8),IF($NP$8="Single_Point",IF(87=$NR$8,$NN$8,0),IF($NP$8="Bell_Curve",$NN$8*(87-$NR$8+1)*($NS$8-87+1)/$NU$8,$NN$8/$NT$8)),0)</f>
        <v/>
      </c>
      <c r="CN8" s="228">
        <f>IF(AND(88&gt;=$NR$8,88&lt;=$NS$8),IF($NP$8="Single_Point",IF(88=$NR$8,$NN$8,0),IF($NP$8="Bell_Curve",$NN$8*(88-$NR$8+1)*($NS$8-88+1)/$NU$8,$NN$8/$NT$8)),0)</f>
        <v/>
      </c>
      <c r="CO8" s="228">
        <f>IF(AND(89&gt;=$NR$8,89&lt;=$NS$8),IF($NP$8="Single_Point",IF(89=$NR$8,$NN$8,0),IF($NP$8="Bell_Curve",$NN$8*(89-$NR$8+1)*($NS$8-89+1)/$NU$8,$NN$8/$NT$8)),0)</f>
        <v/>
      </c>
      <c r="CP8" s="228">
        <f>IF(AND(90&gt;=$NR$8,90&lt;=$NS$8),IF($NP$8="Single_Point",IF(90=$NR$8,$NN$8,0),IF($NP$8="Bell_Curve",$NN$8*(90-$NR$8+1)*($NS$8-90+1)/$NU$8,$NN$8/$NT$8)),0)</f>
        <v/>
      </c>
      <c r="CQ8" s="228">
        <f>IF(AND(91&gt;=$NR$8,91&lt;=$NS$8),IF($NP$8="Single_Point",IF(91=$NR$8,$NN$8,0),IF($NP$8="Bell_Curve",$NN$8*(91-$NR$8+1)*($NS$8-91+1)/$NU$8,$NN$8/$NT$8)),0)</f>
        <v/>
      </c>
      <c r="CR8" s="228">
        <f>IF(AND(92&gt;=$NR$8,92&lt;=$NS$8),IF($NP$8="Single_Point",IF(92=$NR$8,$NN$8,0),IF($NP$8="Bell_Curve",$NN$8*(92-$NR$8+1)*($NS$8-92+1)/$NU$8,$NN$8/$NT$8)),0)</f>
        <v/>
      </c>
      <c r="CS8" s="228">
        <f>IF(AND(93&gt;=$NR$8,93&lt;=$NS$8),IF($NP$8="Single_Point",IF(93=$NR$8,$NN$8,0),IF($NP$8="Bell_Curve",$NN$8*(93-$NR$8+1)*($NS$8-93+1)/$NU$8,$NN$8/$NT$8)),0)</f>
        <v/>
      </c>
      <c r="CT8" s="228">
        <f>IF(AND(94&gt;=$NR$8,94&lt;=$NS$8),IF($NP$8="Single_Point",IF(94=$NR$8,$NN$8,0),IF($NP$8="Bell_Curve",$NN$8*(94-$NR$8+1)*($NS$8-94+1)/$NU$8,$NN$8/$NT$8)),0)</f>
        <v/>
      </c>
      <c r="CU8" s="228">
        <f>IF(AND(95&gt;=$NR$8,95&lt;=$NS$8),IF($NP$8="Single_Point",IF(95=$NR$8,$NN$8,0),IF($NP$8="Bell_Curve",$NN$8*(95-$NR$8+1)*($NS$8-95+1)/$NU$8,$NN$8/$NT$8)),0)</f>
        <v/>
      </c>
      <c r="CV8" s="228">
        <f>IF(AND(96&gt;=$NR$8,96&lt;=$NS$8),IF($NP$8="Single_Point",IF(96=$NR$8,$NN$8,0),IF($NP$8="Bell_Curve",$NN$8*(96-$NR$8+1)*($NS$8-96+1)/$NU$8,$NN$8/$NT$8)),0)</f>
        <v/>
      </c>
      <c r="CW8" s="228">
        <f>IF(AND(97&gt;=$NR$8,97&lt;=$NS$8),IF($NP$8="Single_Point",IF(97=$NR$8,$NN$8,0),IF($NP$8="Bell_Curve",$NN$8*(97-$NR$8+1)*($NS$8-97+1)/$NU$8,$NN$8/$NT$8)),0)</f>
        <v/>
      </c>
      <c r="CX8" s="228">
        <f>IF(AND(98&gt;=$NR$8,98&lt;=$NS$8),IF($NP$8="Single_Point",IF(98=$NR$8,$NN$8,0),IF($NP$8="Bell_Curve",$NN$8*(98-$NR$8+1)*($NS$8-98+1)/$NU$8,$NN$8/$NT$8)),0)</f>
        <v/>
      </c>
      <c r="CY8" s="228">
        <f>IF(AND(99&gt;=$NR$8,99&lt;=$NS$8),IF($NP$8="Single_Point",IF(99=$NR$8,$NN$8,0),IF($NP$8="Bell_Curve",$NN$8*(99-$NR$8+1)*($NS$8-99+1)/$NU$8,$NN$8/$NT$8)),0)</f>
        <v/>
      </c>
      <c r="CZ8" s="228">
        <f>IF(AND(100&gt;=$NR$8,100&lt;=$NS$8),IF($NP$8="Single_Point",IF(100=$NR$8,$NN$8,0),IF($NP$8="Bell_Curve",$NN$8*(100-$NR$8+1)*($NS$8-100+1)/$NU$8,$NN$8/$NT$8)),0)</f>
        <v/>
      </c>
      <c r="DA8" s="228">
        <f>IF(AND(101&gt;=$NR$8,101&lt;=$NS$8),IF($NP$8="Single_Point",IF(101=$NR$8,$NN$8,0),IF($NP$8="Bell_Curve",$NN$8*(101-$NR$8+1)*($NS$8-101+1)/$NU$8,$NN$8/$NT$8)),0)</f>
        <v/>
      </c>
      <c r="DB8" s="228">
        <f>IF(AND(102&gt;=$NR$8,102&lt;=$NS$8),IF($NP$8="Single_Point",IF(102=$NR$8,$NN$8,0),IF($NP$8="Bell_Curve",$NN$8*(102-$NR$8+1)*($NS$8-102+1)/$NU$8,$NN$8/$NT$8)),0)</f>
        <v/>
      </c>
      <c r="DC8" s="228">
        <f>IF(AND(103&gt;=$NR$8,103&lt;=$NS$8),IF($NP$8="Single_Point",IF(103=$NR$8,$NN$8,0),IF($NP$8="Bell_Curve",$NN$8*(103-$NR$8+1)*($NS$8-103+1)/$NU$8,$NN$8/$NT$8)),0)</f>
        <v/>
      </c>
      <c r="DD8" s="228">
        <f>IF(AND(104&gt;=$NR$8,104&lt;=$NS$8),IF($NP$8="Single_Point",IF(104=$NR$8,$NN$8,0),IF($NP$8="Bell_Curve",$NN$8*(104-$NR$8+1)*($NS$8-104+1)/$NU$8,$NN$8/$NT$8)),0)</f>
        <v/>
      </c>
      <c r="DE8" s="228">
        <f>IF(AND(105&gt;=$NR$8,105&lt;=$NS$8),IF($NP$8="Single_Point",IF(105=$NR$8,$NN$8,0),IF($NP$8="Bell_Curve",$NN$8*(105-$NR$8+1)*($NS$8-105+1)/$NU$8,$NN$8/$NT$8)),0)</f>
        <v/>
      </c>
      <c r="DF8" s="228">
        <f>IF(AND(106&gt;=$NR$8,106&lt;=$NS$8),IF($NP$8="Single_Point",IF(106=$NR$8,$NN$8,0),IF($NP$8="Bell_Curve",$NN$8*(106-$NR$8+1)*($NS$8-106+1)/$NU$8,$NN$8/$NT$8)),0)</f>
        <v/>
      </c>
      <c r="DG8" s="228">
        <f>IF(AND(107&gt;=$NR$8,107&lt;=$NS$8),IF($NP$8="Single_Point",IF(107=$NR$8,$NN$8,0),IF($NP$8="Bell_Curve",$NN$8*(107-$NR$8+1)*($NS$8-107+1)/$NU$8,$NN$8/$NT$8)),0)</f>
        <v/>
      </c>
      <c r="DH8" s="228">
        <f>IF(AND(108&gt;=$NR$8,108&lt;=$NS$8),IF($NP$8="Single_Point",IF(108=$NR$8,$NN$8,0),IF($NP$8="Bell_Curve",$NN$8*(108-$NR$8+1)*($NS$8-108+1)/$NU$8,$NN$8/$NT$8)),0)</f>
        <v/>
      </c>
      <c r="DI8" s="228">
        <f>IF(AND(109&gt;=$NR$8,109&lt;=$NS$8),IF($NP$8="Single_Point",IF(109=$NR$8,$NN$8,0),IF($NP$8="Bell_Curve",$NN$8*(109-$NR$8+1)*($NS$8-109+1)/$NU$8,$NN$8/$NT$8)),0)</f>
        <v/>
      </c>
      <c r="DJ8" s="228">
        <f>IF(AND(110&gt;=$NR$8,110&lt;=$NS$8),IF($NP$8="Single_Point",IF(110=$NR$8,$NN$8,0),IF($NP$8="Bell_Curve",$NN$8*(110-$NR$8+1)*($NS$8-110+1)/$NU$8,$NN$8/$NT$8)),0)</f>
        <v/>
      </c>
      <c r="DK8" s="228">
        <f>IF(AND(111&gt;=$NR$8,111&lt;=$NS$8),IF($NP$8="Single_Point",IF(111=$NR$8,$NN$8,0),IF($NP$8="Bell_Curve",$NN$8*(111-$NR$8+1)*($NS$8-111+1)/$NU$8,$NN$8/$NT$8)),0)</f>
        <v/>
      </c>
      <c r="DL8" s="228">
        <f>IF(AND(112&gt;=$NR$8,112&lt;=$NS$8),IF($NP$8="Single_Point",IF(112=$NR$8,$NN$8,0),IF($NP$8="Bell_Curve",$NN$8*(112-$NR$8+1)*($NS$8-112+1)/$NU$8,$NN$8/$NT$8)),0)</f>
        <v/>
      </c>
      <c r="DM8" s="228">
        <f>IF(AND(113&gt;=$NR$8,113&lt;=$NS$8),IF($NP$8="Single_Point",IF(113=$NR$8,$NN$8,0),IF($NP$8="Bell_Curve",$NN$8*(113-$NR$8+1)*($NS$8-113+1)/$NU$8,$NN$8/$NT$8)),0)</f>
        <v/>
      </c>
      <c r="DN8" s="228">
        <f>IF(AND(114&gt;=$NR$8,114&lt;=$NS$8),IF($NP$8="Single_Point",IF(114=$NR$8,$NN$8,0),IF($NP$8="Bell_Curve",$NN$8*(114-$NR$8+1)*($NS$8-114+1)/$NU$8,$NN$8/$NT$8)),0)</f>
        <v/>
      </c>
      <c r="DO8" s="228">
        <f>IF(AND(115&gt;=$NR$8,115&lt;=$NS$8),IF($NP$8="Single_Point",IF(115=$NR$8,$NN$8,0),IF($NP$8="Bell_Curve",$NN$8*(115-$NR$8+1)*($NS$8-115+1)/$NU$8,$NN$8/$NT$8)),0)</f>
        <v/>
      </c>
      <c r="DP8" s="228">
        <f>IF(AND(116&gt;=$NR$8,116&lt;=$NS$8),IF($NP$8="Single_Point",IF(116=$NR$8,$NN$8,0),IF($NP$8="Bell_Curve",$NN$8*(116-$NR$8+1)*($NS$8-116+1)/$NU$8,$NN$8/$NT$8)),0)</f>
        <v/>
      </c>
      <c r="DQ8" s="228">
        <f>IF(AND(117&gt;=$NR$8,117&lt;=$NS$8),IF($NP$8="Single_Point",IF(117=$NR$8,$NN$8,0),IF($NP$8="Bell_Curve",$NN$8*(117-$NR$8+1)*($NS$8-117+1)/$NU$8,$NN$8/$NT$8)),0)</f>
        <v/>
      </c>
      <c r="DR8" s="228">
        <f>IF(AND(118&gt;=$NR$8,118&lt;=$NS$8),IF($NP$8="Single_Point",IF(118=$NR$8,$NN$8,0),IF($NP$8="Bell_Curve",$NN$8*(118-$NR$8+1)*($NS$8-118+1)/$NU$8,$NN$8/$NT$8)),0)</f>
        <v/>
      </c>
      <c r="DS8" s="228">
        <f>IF(AND(119&gt;=$NR$8,119&lt;=$NS$8),IF($NP$8="Single_Point",IF(119=$NR$8,$NN$8,0),IF($NP$8="Bell_Curve",$NN$8*(119-$NR$8+1)*($NS$8-119+1)/$NU$8,$NN$8/$NT$8)),0)</f>
        <v/>
      </c>
      <c r="DT8" s="228">
        <f>IF(AND(120&gt;=$NR$8,120&lt;=$NS$8),IF($NP$8="Single_Point",IF(120=$NR$8,$NN$8,0),IF($NP$8="Bell_Curve",$NN$8*(120-$NR$8+1)*($NS$8-120+1)/$NU$8,$NN$8/$NT$8)),0)</f>
        <v/>
      </c>
      <c r="DU8" s="228">
        <f>IF(AND(121&gt;=$NR$8,121&lt;=$NS$8),IF($NP$8="Single_Point",IF(121=$NR$8,$NN$8,0),IF($NP$8="Bell_Curve",$NN$8*(121-$NR$8+1)*($NS$8-121+1)/$NU$8,$NN$8/$NT$8)),0)</f>
        <v/>
      </c>
      <c r="DV8" s="228">
        <f>IF(AND(122&gt;=$NR$8,122&lt;=$NS$8),IF($NP$8="Single_Point",IF(122=$NR$8,$NN$8,0),IF($NP$8="Bell_Curve",$NN$8*(122-$NR$8+1)*($NS$8-122+1)/$NU$8,$NN$8/$NT$8)),0)</f>
        <v/>
      </c>
      <c r="DW8" s="228">
        <f>IF(AND(123&gt;=$NR$8,123&lt;=$NS$8),IF($NP$8="Single_Point",IF(123=$NR$8,$NN$8,0),IF($NP$8="Bell_Curve",$NN$8*(123-$NR$8+1)*($NS$8-123+1)/$NU$8,$NN$8/$NT$8)),0)</f>
        <v/>
      </c>
      <c r="DX8" s="228">
        <f>IF(AND(124&gt;=$NR$8,124&lt;=$NS$8),IF($NP$8="Single_Point",IF(124=$NR$8,$NN$8,0),IF($NP$8="Bell_Curve",$NN$8*(124-$NR$8+1)*($NS$8-124+1)/$NU$8,$NN$8/$NT$8)),0)</f>
        <v/>
      </c>
      <c r="DY8" s="228">
        <f>IF(AND(125&gt;=$NR$8,125&lt;=$NS$8),IF($NP$8="Single_Point",IF(125=$NR$8,$NN$8,0),IF($NP$8="Bell_Curve",$NN$8*(125-$NR$8+1)*($NS$8-125+1)/$NU$8,$NN$8/$NT$8)),0)</f>
        <v/>
      </c>
      <c r="DZ8" s="228">
        <f>IF(AND(126&gt;=$NR$8,126&lt;=$NS$8),IF($NP$8="Single_Point",IF(126=$NR$8,$NN$8,0),IF($NP$8="Bell_Curve",$NN$8*(126-$NR$8+1)*($NS$8-126+1)/$NU$8,$NN$8/$NT$8)),0)</f>
        <v/>
      </c>
      <c r="EA8" s="228">
        <f>IF(AND(127&gt;=$NR$8,127&lt;=$NS$8),IF($NP$8="Single_Point",IF(127=$NR$8,$NN$8,0),IF($NP$8="Bell_Curve",$NN$8*(127-$NR$8+1)*($NS$8-127+1)/$NU$8,$NN$8/$NT$8)),0)</f>
        <v/>
      </c>
      <c r="EB8" s="228">
        <f>IF(AND(128&gt;=$NR$8,128&lt;=$NS$8),IF($NP$8="Single_Point",IF(128=$NR$8,$NN$8,0),IF($NP$8="Bell_Curve",$NN$8*(128-$NR$8+1)*($NS$8-128+1)/$NU$8,$NN$8/$NT$8)),0)</f>
        <v/>
      </c>
      <c r="EC8" s="228">
        <f>IF(AND(129&gt;=$NR$8,129&lt;=$NS$8),IF($NP$8="Single_Point",IF(129=$NR$8,$NN$8,0),IF($NP$8="Bell_Curve",$NN$8*(129-$NR$8+1)*($NS$8-129+1)/$NU$8,$NN$8/$NT$8)),0)</f>
        <v/>
      </c>
      <c r="ED8" s="228">
        <f>IF(AND(130&gt;=$NR$8,130&lt;=$NS$8),IF($NP$8="Single_Point",IF(130=$NR$8,$NN$8,0),IF($NP$8="Bell_Curve",$NN$8*(130-$NR$8+1)*($NS$8-130+1)/$NU$8,$NN$8/$NT$8)),0)</f>
        <v/>
      </c>
      <c r="EE8" s="228">
        <f>IF(AND(131&gt;=$NR$8,131&lt;=$NS$8),IF($NP$8="Single_Point",IF(131=$NR$8,$NN$8,0),IF($NP$8="Bell_Curve",$NN$8*(131-$NR$8+1)*($NS$8-131+1)/$NU$8,$NN$8/$NT$8)),0)</f>
        <v/>
      </c>
      <c r="EF8" s="228">
        <f>IF(AND(132&gt;=$NR$8,132&lt;=$NS$8),IF($NP$8="Single_Point",IF(132=$NR$8,$NN$8,0),IF($NP$8="Bell_Curve",$NN$8*(132-$NR$8+1)*($NS$8-132+1)/$NU$8,$NN$8/$NT$8)),0)</f>
        <v/>
      </c>
      <c r="EG8" s="228">
        <f>IF(AND(133&gt;=$NR$8,133&lt;=$NS$8),IF($NP$8="Single_Point",IF(133=$NR$8,$NN$8,0),IF($NP$8="Bell_Curve",$NN$8*(133-$NR$8+1)*($NS$8-133+1)/$NU$8,$NN$8/$NT$8)),0)</f>
        <v/>
      </c>
      <c r="EH8" s="228">
        <f>IF(AND(134&gt;=$NR$8,134&lt;=$NS$8),IF($NP$8="Single_Point",IF(134=$NR$8,$NN$8,0),IF($NP$8="Bell_Curve",$NN$8*(134-$NR$8+1)*($NS$8-134+1)/$NU$8,$NN$8/$NT$8)),0)</f>
        <v/>
      </c>
      <c r="EI8" s="228">
        <f>IF(AND(135&gt;=$NR$8,135&lt;=$NS$8),IF($NP$8="Single_Point",IF(135=$NR$8,$NN$8,0),IF($NP$8="Bell_Curve",$NN$8*(135-$NR$8+1)*($NS$8-135+1)/$NU$8,$NN$8/$NT$8)),0)</f>
        <v/>
      </c>
      <c r="EJ8" s="228">
        <f>IF(AND(136&gt;=$NR$8,136&lt;=$NS$8),IF($NP$8="Single_Point",IF(136=$NR$8,$NN$8,0),IF($NP$8="Bell_Curve",$NN$8*(136-$NR$8+1)*($NS$8-136+1)/$NU$8,$NN$8/$NT$8)),0)</f>
        <v/>
      </c>
      <c r="EK8" s="228">
        <f>IF(AND(137&gt;=$NR$8,137&lt;=$NS$8),IF($NP$8="Single_Point",IF(137=$NR$8,$NN$8,0),IF($NP$8="Bell_Curve",$NN$8*(137-$NR$8+1)*($NS$8-137+1)/$NU$8,$NN$8/$NT$8)),0)</f>
        <v/>
      </c>
      <c r="EL8" s="228">
        <f>IF(AND(138&gt;=$NR$8,138&lt;=$NS$8),IF($NP$8="Single_Point",IF(138=$NR$8,$NN$8,0),IF($NP$8="Bell_Curve",$NN$8*(138-$NR$8+1)*($NS$8-138+1)/$NU$8,$NN$8/$NT$8)),0)</f>
        <v/>
      </c>
      <c r="EM8" s="228">
        <f>IF(AND(139&gt;=$NR$8,139&lt;=$NS$8),IF($NP$8="Single_Point",IF(139=$NR$8,$NN$8,0),IF($NP$8="Bell_Curve",$NN$8*(139-$NR$8+1)*($NS$8-139+1)/$NU$8,$NN$8/$NT$8)),0)</f>
        <v/>
      </c>
      <c r="EN8" s="228">
        <f>IF(AND(140&gt;=$NR$8,140&lt;=$NS$8),IF($NP$8="Single_Point",IF(140=$NR$8,$NN$8,0),IF($NP$8="Bell_Curve",$NN$8*(140-$NR$8+1)*($NS$8-140+1)/$NU$8,$NN$8/$NT$8)),0)</f>
        <v/>
      </c>
      <c r="EO8" s="228">
        <f>IF(AND(141&gt;=$NR$8,141&lt;=$NS$8),IF($NP$8="Single_Point",IF(141=$NR$8,$NN$8,0),IF($NP$8="Bell_Curve",$NN$8*(141-$NR$8+1)*($NS$8-141+1)/$NU$8,$NN$8/$NT$8)),0)</f>
        <v/>
      </c>
      <c r="EP8" s="228">
        <f>IF(AND(142&gt;=$NR$8,142&lt;=$NS$8),IF($NP$8="Single_Point",IF(142=$NR$8,$NN$8,0),IF($NP$8="Bell_Curve",$NN$8*(142-$NR$8+1)*($NS$8-142+1)/$NU$8,$NN$8/$NT$8)),0)</f>
        <v/>
      </c>
      <c r="EQ8" s="228">
        <f>IF(AND(143&gt;=$NR$8,143&lt;=$NS$8),IF($NP$8="Single_Point",IF(143=$NR$8,$NN$8,0),IF($NP$8="Bell_Curve",$NN$8*(143-$NR$8+1)*($NS$8-143+1)/$NU$8,$NN$8/$NT$8)),0)</f>
        <v/>
      </c>
      <c r="ER8" s="228">
        <f>IF(AND(144&gt;=$NR$8,144&lt;=$NS$8),IF($NP$8="Single_Point",IF(144=$NR$8,$NN$8,0),IF($NP$8="Bell_Curve",$NN$8*(144-$NR$8+1)*($NS$8-144+1)/$NU$8,$NN$8/$NT$8)),0)</f>
        <v/>
      </c>
      <c r="ES8" s="228">
        <f>IF(AND(145&gt;=$NR$8,145&lt;=$NS$8),IF($NP$8="Single_Point",IF(145=$NR$8,$NN$8,0),IF($NP$8="Bell_Curve",$NN$8*(145-$NR$8+1)*($NS$8-145+1)/$NU$8,$NN$8/$NT$8)),0)</f>
        <v/>
      </c>
      <c r="ET8" s="228">
        <f>IF(AND(146&gt;=$NR$8,146&lt;=$NS$8),IF($NP$8="Single_Point",IF(146=$NR$8,$NN$8,0),IF($NP$8="Bell_Curve",$NN$8*(146-$NR$8+1)*($NS$8-146+1)/$NU$8,$NN$8/$NT$8)),0)</f>
        <v/>
      </c>
      <c r="EU8" s="228">
        <f>IF(AND(147&gt;=$NR$8,147&lt;=$NS$8),IF($NP$8="Single_Point",IF(147=$NR$8,$NN$8,0),IF($NP$8="Bell_Curve",$NN$8*(147-$NR$8+1)*($NS$8-147+1)/$NU$8,$NN$8/$NT$8)),0)</f>
        <v/>
      </c>
      <c r="EV8" s="228">
        <f>IF(AND(148&gt;=$NR$8,148&lt;=$NS$8),IF($NP$8="Single_Point",IF(148=$NR$8,$NN$8,0),IF($NP$8="Bell_Curve",$NN$8*(148-$NR$8+1)*($NS$8-148+1)/$NU$8,$NN$8/$NT$8)),0)</f>
        <v/>
      </c>
      <c r="EW8" s="228">
        <f>IF(AND(149&gt;=$NR$8,149&lt;=$NS$8),IF($NP$8="Single_Point",IF(149=$NR$8,$NN$8,0),IF($NP$8="Bell_Curve",$NN$8*(149-$NR$8+1)*($NS$8-149+1)/$NU$8,$NN$8/$NT$8)),0)</f>
        <v/>
      </c>
      <c r="EX8" s="228">
        <f>IF(AND(150&gt;=$NR$8,150&lt;=$NS$8),IF($NP$8="Single_Point",IF(150=$NR$8,$NN$8,0),IF($NP$8="Bell_Curve",$NN$8*(150-$NR$8+1)*($NS$8-150+1)/$NU$8,$NN$8/$NT$8)),0)</f>
        <v/>
      </c>
      <c r="EY8" s="228">
        <f>IF(AND(151&gt;=$NR$8,151&lt;=$NS$8),IF($NP$8="Single_Point",IF(151=$NR$8,$NN$8,0),IF($NP$8="Bell_Curve",$NN$8*(151-$NR$8+1)*($NS$8-151+1)/$NU$8,$NN$8/$NT$8)),0)</f>
        <v/>
      </c>
      <c r="EZ8" s="228">
        <f>IF(AND(152&gt;=$NR$8,152&lt;=$NS$8),IF($NP$8="Single_Point",IF(152=$NR$8,$NN$8,0),IF($NP$8="Bell_Curve",$NN$8*(152-$NR$8+1)*($NS$8-152+1)/$NU$8,$NN$8/$NT$8)),0)</f>
        <v/>
      </c>
      <c r="FA8" s="228">
        <f>IF(AND(153&gt;=$NR$8,153&lt;=$NS$8),IF($NP$8="Single_Point",IF(153=$NR$8,$NN$8,0),IF($NP$8="Bell_Curve",$NN$8*(153-$NR$8+1)*($NS$8-153+1)/$NU$8,$NN$8/$NT$8)),0)</f>
        <v/>
      </c>
      <c r="FB8" s="228">
        <f>IF(AND(154&gt;=$NR$8,154&lt;=$NS$8),IF($NP$8="Single_Point",IF(154=$NR$8,$NN$8,0),IF($NP$8="Bell_Curve",$NN$8*(154-$NR$8+1)*($NS$8-154+1)/$NU$8,$NN$8/$NT$8)),0)</f>
        <v/>
      </c>
      <c r="FC8" s="228">
        <f>IF(AND(155&gt;=$NR$8,155&lt;=$NS$8),IF($NP$8="Single_Point",IF(155=$NR$8,$NN$8,0),IF($NP$8="Bell_Curve",$NN$8*(155-$NR$8+1)*($NS$8-155+1)/$NU$8,$NN$8/$NT$8)),0)</f>
        <v/>
      </c>
      <c r="FD8" s="228">
        <f>IF(AND(156&gt;=$NR$8,156&lt;=$NS$8),IF($NP$8="Single_Point",IF(156=$NR$8,$NN$8,0),IF($NP$8="Bell_Curve",$NN$8*(156-$NR$8+1)*($NS$8-156+1)/$NU$8,$NN$8/$NT$8)),0)</f>
        <v/>
      </c>
      <c r="FE8" s="228">
        <f>IF(AND(157&gt;=$NR$8,157&lt;=$NS$8),IF($NP$8="Single_Point",IF(157=$NR$8,$NN$8,0),IF($NP$8="Bell_Curve",$NN$8*(157-$NR$8+1)*($NS$8-157+1)/$NU$8,$NN$8/$NT$8)),0)</f>
        <v/>
      </c>
      <c r="FF8" s="228">
        <f>IF(AND(158&gt;=$NR$8,158&lt;=$NS$8),IF($NP$8="Single_Point",IF(158=$NR$8,$NN$8,0),IF($NP$8="Bell_Curve",$NN$8*(158-$NR$8+1)*($NS$8-158+1)/$NU$8,$NN$8/$NT$8)),0)</f>
        <v/>
      </c>
      <c r="FG8" s="228">
        <f>IF(AND(159&gt;=$NR$8,159&lt;=$NS$8),IF($NP$8="Single_Point",IF(159=$NR$8,$NN$8,0),IF($NP$8="Bell_Curve",$NN$8*(159-$NR$8+1)*($NS$8-159+1)/$NU$8,$NN$8/$NT$8)),0)</f>
        <v/>
      </c>
      <c r="FH8" s="228">
        <f>IF(AND(160&gt;=$NR$8,160&lt;=$NS$8),IF($NP$8="Single_Point",IF(160=$NR$8,$NN$8,0),IF($NP$8="Bell_Curve",$NN$8*(160-$NR$8+1)*($NS$8-160+1)/$NU$8,$NN$8/$NT$8)),0)</f>
        <v/>
      </c>
      <c r="FI8" s="228">
        <f>IF(AND(161&gt;=$NR$8,161&lt;=$NS$8),IF($NP$8="Single_Point",IF(161=$NR$8,$NN$8,0),IF($NP$8="Bell_Curve",$NN$8*(161-$NR$8+1)*($NS$8-161+1)/$NU$8,$NN$8/$NT$8)),0)</f>
        <v/>
      </c>
      <c r="FJ8" s="228">
        <f>IF(AND(162&gt;=$NR$8,162&lt;=$NS$8),IF($NP$8="Single_Point",IF(162=$NR$8,$NN$8,0),IF($NP$8="Bell_Curve",$NN$8*(162-$NR$8+1)*($NS$8-162+1)/$NU$8,$NN$8/$NT$8)),0)</f>
        <v/>
      </c>
      <c r="FK8" s="228">
        <f>IF(AND(163&gt;=$NR$8,163&lt;=$NS$8),IF($NP$8="Single_Point",IF(163=$NR$8,$NN$8,0),IF($NP$8="Bell_Curve",$NN$8*(163-$NR$8+1)*($NS$8-163+1)/$NU$8,$NN$8/$NT$8)),0)</f>
        <v/>
      </c>
      <c r="FL8" s="228">
        <f>IF(AND(164&gt;=$NR$8,164&lt;=$NS$8),IF($NP$8="Single_Point",IF(164=$NR$8,$NN$8,0),IF($NP$8="Bell_Curve",$NN$8*(164-$NR$8+1)*($NS$8-164+1)/$NU$8,$NN$8/$NT$8)),0)</f>
        <v/>
      </c>
      <c r="FM8" s="228">
        <f>IF(AND(165&gt;=$NR$8,165&lt;=$NS$8),IF($NP$8="Single_Point",IF(165=$NR$8,$NN$8,0),IF($NP$8="Bell_Curve",$NN$8*(165-$NR$8+1)*($NS$8-165+1)/$NU$8,$NN$8/$NT$8)),0)</f>
        <v/>
      </c>
      <c r="FN8" s="228">
        <f>IF(AND(166&gt;=$NR$8,166&lt;=$NS$8),IF($NP$8="Single_Point",IF(166=$NR$8,$NN$8,0),IF($NP$8="Bell_Curve",$NN$8*(166-$NR$8+1)*($NS$8-166+1)/$NU$8,$NN$8/$NT$8)),0)</f>
        <v/>
      </c>
      <c r="FO8" s="228">
        <f>IF(AND(167&gt;=$NR$8,167&lt;=$NS$8),IF($NP$8="Single_Point",IF(167=$NR$8,$NN$8,0),IF($NP$8="Bell_Curve",$NN$8*(167-$NR$8+1)*($NS$8-167+1)/$NU$8,$NN$8/$NT$8)),0)</f>
        <v/>
      </c>
      <c r="FP8" s="228">
        <f>IF(AND(168&gt;=$NR$8,168&lt;=$NS$8),IF($NP$8="Single_Point",IF(168=$NR$8,$NN$8,0),IF($NP$8="Bell_Curve",$NN$8*(168-$NR$8+1)*($NS$8-168+1)/$NU$8,$NN$8/$NT$8)),0)</f>
        <v/>
      </c>
      <c r="FQ8" s="228">
        <f>IF(AND(169&gt;=$NR$8,169&lt;=$NS$8),IF($NP$8="Single_Point",IF(169=$NR$8,$NN$8,0),IF($NP$8="Bell_Curve",$NN$8*(169-$NR$8+1)*($NS$8-169+1)/$NU$8,$NN$8/$NT$8)),0)</f>
        <v/>
      </c>
      <c r="FR8" s="228">
        <f>IF(AND(170&gt;=$NR$8,170&lt;=$NS$8),IF($NP$8="Single_Point",IF(170=$NR$8,$NN$8,0),IF($NP$8="Bell_Curve",$NN$8*(170-$NR$8+1)*($NS$8-170+1)/$NU$8,$NN$8/$NT$8)),0)</f>
        <v/>
      </c>
      <c r="FS8" s="228">
        <f>IF(AND(171&gt;=$NR$8,171&lt;=$NS$8),IF($NP$8="Single_Point",IF(171=$NR$8,$NN$8,0),IF($NP$8="Bell_Curve",$NN$8*(171-$NR$8+1)*($NS$8-171+1)/$NU$8,$NN$8/$NT$8)),0)</f>
        <v/>
      </c>
      <c r="FT8" s="228">
        <f>IF(AND(172&gt;=$NR$8,172&lt;=$NS$8),IF($NP$8="Single_Point",IF(172=$NR$8,$NN$8,0),IF($NP$8="Bell_Curve",$NN$8*(172-$NR$8+1)*($NS$8-172+1)/$NU$8,$NN$8/$NT$8)),0)</f>
        <v/>
      </c>
      <c r="FU8" s="228">
        <f>IF(AND(173&gt;=$NR$8,173&lt;=$NS$8),IF($NP$8="Single_Point",IF(173=$NR$8,$NN$8,0),IF($NP$8="Bell_Curve",$NN$8*(173-$NR$8+1)*($NS$8-173+1)/$NU$8,$NN$8/$NT$8)),0)</f>
        <v/>
      </c>
      <c r="FV8" s="228">
        <f>IF(AND(174&gt;=$NR$8,174&lt;=$NS$8),IF($NP$8="Single_Point",IF(174=$NR$8,$NN$8,0),IF($NP$8="Bell_Curve",$NN$8*(174-$NR$8+1)*($NS$8-174+1)/$NU$8,$NN$8/$NT$8)),0)</f>
        <v/>
      </c>
      <c r="FW8" s="228">
        <f>IF(AND(175&gt;=$NR$8,175&lt;=$NS$8),IF($NP$8="Single_Point",IF(175=$NR$8,$NN$8,0),IF($NP$8="Bell_Curve",$NN$8*(175-$NR$8+1)*($NS$8-175+1)/$NU$8,$NN$8/$NT$8)),0)</f>
        <v/>
      </c>
      <c r="FX8" s="228">
        <f>IF(AND(176&gt;=$NR$8,176&lt;=$NS$8),IF($NP$8="Single_Point",IF(176=$NR$8,$NN$8,0),IF($NP$8="Bell_Curve",$NN$8*(176-$NR$8+1)*($NS$8-176+1)/$NU$8,$NN$8/$NT$8)),0)</f>
        <v/>
      </c>
      <c r="FY8" s="228">
        <f>IF(AND(177&gt;=$NR$8,177&lt;=$NS$8),IF($NP$8="Single_Point",IF(177=$NR$8,$NN$8,0),IF($NP$8="Bell_Curve",$NN$8*(177-$NR$8+1)*($NS$8-177+1)/$NU$8,$NN$8/$NT$8)),0)</f>
        <v/>
      </c>
      <c r="FZ8" s="228">
        <f>IF(AND(178&gt;=$NR$8,178&lt;=$NS$8),IF($NP$8="Single_Point",IF(178=$NR$8,$NN$8,0),IF($NP$8="Bell_Curve",$NN$8*(178-$NR$8+1)*($NS$8-178+1)/$NU$8,$NN$8/$NT$8)),0)</f>
        <v/>
      </c>
      <c r="GA8" s="228">
        <f>IF(AND(179&gt;=$NR$8,179&lt;=$NS$8),IF($NP$8="Single_Point",IF(179=$NR$8,$NN$8,0),IF($NP$8="Bell_Curve",$NN$8*(179-$NR$8+1)*($NS$8-179+1)/$NU$8,$NN$8/$NT$8)),0)</f>
        <v/>
      </c>
      <c r="GB8" s="228">
        <f>IF(AND(180&gt;=$NR$8,180&lt;=$NS$8),IF($NP$8="Single_Point",IF(180=$NR$8,$NN$8,0),IF($NP$8="Bell_Curve",$NN$8*(180-$NR$8+1)*($NS$8-180+1)/$NU$8,$NN$8/$NT$8)),0)</f>
        <v/>
      </c>
      <c r="GC8" s="228">
        <f>IF(AND(181&gt;=$NR$8,181&lt;=$NS$8),IF($NP$8="Single_Point",IF(181=$NR$8,$NN$8,0),IF($NP$8="Bell_Curve",$NN$8*(181-$NR$8+1)*($NS$8-181+1)/$NU$8,$NN$8/$NT$8)),0)</f>
        <v/>
      </c>
      <c r="GD8" s="228">
        <f>IF(AND(182&gt;=$NR$8,182&lt;=$NS$8),IF($NP$8="Single_Point",IF(182=$NR$8,$NN$8,0),IF($NP$8="Bell_Curve",$NN$8*(182-$NR$8+1)*($NS$8-182+1)/$NU$8,$NN$8/$NT$8)),0)</f>
        <v/>
      </c>
      <c r="GE8" s="228">
        <f>IF(AND(183&gt;=$NR$8,183&lt;=$NS$8),IF($NP$8="Single_Point",IF(183=$NR$8,$NN$8,0),IF($NP$8="Bell_Curve",$NN$8*(183-$NR$8+1)*($NS$8-183+1)/$NU$8,$NN$8/$NT$8)),0)</f>
        <v/>
      </c>
      <c r="GF8" s="228">
        <f>IF(AND(184&gt;=$NR$8,184&lt;=$NS$8),IF($NP$8="Single_Point",IF(184=$NR$8,$NN$8,0),IF($NP$8="Bell_Curve",$NN$8*(184-$NR$8+1)*($NS$8-184+1)/$NU$8,$NN$8/$NT$8)),0)</f>
        <v/>
      </c>
      <c r="GG8" s="228">
        <f>IF(AND(185&gt;=$NR$8,185&lt;=$NS$8),IF($NP$8="Single_Point",IF(185=$NR$8,$NN$8,0),IF($NP$8="Bell_Curve",$NN$8*(185-$NR$8+1)*($NS$8-185+1)/$NU$8,$NN$8/$NT$8)),0)</f>
        <v/>
      </c>
      <c r="GH8" s="228">
        <f>IF(AND(186&gt;=$NR$8,186&lt;=$NS$8),IF($NP$8="Single_Point",IF(186=$NR$8,$NN$8,0),IF($NP$8="Bell_Curve",$NN$8*(186-$NR$8+1)*($NS$8-186+1)/$NU$8,$NN$8/$NT$8)),0)</f>
        <v/>
      </c>
      <c r="GI8" s="228">
        <f>IF(AND(187&gt;=$NR$8,187&lt;=$NS$8),IF($NP$8="Single_Point",IF(187=$NR$8,$NN$8,0),IF($NP$8="Bell_Curve",$NN$8*(187-$NR$8+1)*($NS$8-187+1)/$NU$8,$NN$8/$NT$8)),0)</f>
        <v/>
      </c>
      <c r="GJ8" s="228">
        <f>IF(AND(188&gt;=$NR$8,188&lt;=$NS$8),IF($NP$8="Single_Point",IF(188=$NR$8,$NN$8,0),IF($NP$8="Bell_Curve",$NN$8*(188-$NR$8+1)*($NS$8-188+1)/$NU$8,$NN$8/$NT$8)),0)</f>
        <v/>
      </c>
      <c r="GK8" s="228">
        <f>IF(AND(189&gt;=$NR$8,189&lt;=$NS$8),IF($NP$8="Single_Point",IF(189=$NR$8,$NN$8,0),IF($NP$8="Bell_Curve",$NN$8*(189-$NR$8+1)*($NS$8-189+1)/$NU$8,$NN$8/$NT$8)),0)</f>
        <v/>
      </c>
      <c r="GL8" s="228">
        <f>IF(AND(190&gt;=$NR$8,190&lt;=$NS$8),IF($NP$8="Single_Point",IF(190=$NR$8,$NN$8,0),IF($NP$8="Bell_Curve",$NN$8*(190-$NR$8+1)*($NS$8-190+1)/$NU$8,$NN$8/$NT$8)),0)</f>
        <v/>
      </c>
      <c r="GM8" s="228">
        <f>IF(AND(191&gt;=$NR$8,191&lt;=$NS$8),IF($NP$8="Single_Point",IF(191=$NR$8,$NN$8,0),IF($NP$8="Bell_Curve",$NN$8*(191-$NR$8+1)*($NS$8-191+1)/$NU$8,$NN$8/$NT$8)),0)</f>
        <v/>
      </c>
      <c r="GN8" s="228">
        <f>IF(AND(192&gt;=$NR$8,192&lt;=$NS$8),IF($NP$8="Single_Point",IF(192=$NR$8,$NN$8,0),IF($NP$8="Bell_Curve",$NN$8*(192-$NR$8+1)*($NS$8-192+1)/$NU$8,$NN$8/$NT$8)),0)</f>
        <v/>
      </c>
      <c r="GO8" s="228">
        <f>IF(AND(193&gt;=$NR$8,193&lt;=$NS$8),IF($NP$8="Single_Point",IF(193=$NR$8,$NN$8,0),IF($NP$8="Bell_Curve",$NN$8*(193-$NR$8+1)*($NS$8-193+1)/$NU$8,$NN$8/$NT$8)),0)</f>
        <v/>
      </c>
      <c r="GP8" s="228">
        <f>IF(AND(194&gt;=$NR$8,194&lt;=$NS$8),IF($NP$8="Single_Point",IF(194=$NR$8,$NN$8,0),IF($NP$8="Bell_Curve",$NN$8*(194-$NR$8+1)*($NS$8-194+1)/$NU$8,$NN$8/$NT$8)),0)</f>
        <v/>
      </c>
      <c r="GQ8" s="228">
        <f>IF(AND(195&gt;=$NR$8,195&lt;=$NS$8),IF($NP$8="Single_Point",IF(195=$NR$8,$NN$8,0),IF($NP$8="Bell_Curve",$NN$8*(195-$NR$8+1)*($NS$8-195+1)/$NU$8,$NN$8/$NT$8)),0)</f>
        <v/>
      </c>
      <c r="GR8" s="228">
        <f>IF(AND(196&gt;=$NR$8,196&lt;=$NS$8),IF($NP$8="Single_Point",IF(196=$NR$8,$NN$8,0),IF($NP$8="Bell_Curve",$NN$8*(196-$NR$8+1)*($NS$8-196+1)/$NU$8,$NN$8/$NT$8)),0)</f>
        <v/>
      </c>
      <c r="GS8" s="228">
        <f>IF(AND(197&gt;=$NR$8,197&lt;=$NS$8),IF($NP$8="Single_Point",IF(197=$NR$8,$NN$8,0),IF($NP$8="Bell_Curve",$NN$8*(197-$NR$8+1)*($NS$8-197+1)/$NU$8,$NN$8/$NT$8)),0)</f>
        <v/>
      </c>
      <c r="GT8" s="228">
        <f>IF(AND(198&gt;=$NR$8,198&lt;=$NS$8),IF($NP$8="Single_Point",IF(198=$NR$8,$NN$8,0),IF($NP$8="Bell_Curve",$NN$8*(198-$NR$8+1)*($NS$8-198+1)/$NU$8,$NN$8/$NT$8)),0)</f>
        <v/>
      </c>
      <c r="GU8" s="228">
        <f>IF(AND(199&gt;=$NR$8,199&lt;=$NS$8),IF($NP$8="Single_Point",IF(199=$NR$8,$NN$8,0),IF($NP$8="Bell_Curve",$NN$8*(199-$NR$8+1)*($NS$8-199+1)/$NU$8,$NN$8/$NT$8)),0)</f>
        <v/>
      </c>
      <c r="GV8" s="228">
        <f>IF(AND(200&gt;=$NR$8,200&lt;=$NS$8),IF($NP$8="Single_Point",IF(200=$NR$8,$NN$8,0),IF($NP$8="Bell_Curve",$NN$8*(200-$NR$8+1)*($NS$8-200+1)/$NU$8,$NN$8/$NT$8)),0)</f>
        <v/>
      </c>
      <c r="GW8" s="228">
        <f>IF(AND(201&gt;=$NR$8,201&lt;=$NS$8),IF($NP$8="Single_Point",IF(201=$NR$8,$NN$8,0),IF($NP$8="Bell_Curve",$NN$8*(201-$NR$8+1)*($NS$8-201+1)/$NU$8,$NN$8/$NT$8)),0)</f>
        <v/>
      </c>
      <c r="GX8" s="228">
        <f>IF(AND(202&gt;=$NR$8,202&lt;=$NS$8),IF($NP$8="Single_Point",IF(202=$NR$8,$NN$8,0),IF($NP$8="Bell_Curve",$NN$8*(202-$NR$8+1)*($NS$8-202+1)/$NU$8,$NN$8/$NT$8)),0)</f>
        <v/>
      </c>
      <c r="GY8" s="228">
        <f>IF(AND(203&gt;=$NR$8,203&lt;=$NS$8),IF($NP$8="Single_Point",IF(203=$NR$8,$NN$8,0),IF($NP$8="Bell_Curve",$NN$8*(203-$NR$8+1)*($NS$8-203+1)/$NU$8,$NN$8/$NT$8)),0)</f>
        <v/>
      </c>
      <c r="GZ8" s="228">
        <f>IF(AND(204&gt;=$NR$8,204&lt;=$NS$8),IF($NP$8="Single_Point",IF(204=$NR$8,$NN$8,0),IF($NP$8="Bell_Curve",$NN$8*(204-$NR$8+1)*($NS$8-204+1)/$NU$8,$NN$8/$NT$8)),0)</f>
        <v/>
      </c>
      <c r="HA8" s="228">
        <f>IF(AND(205&gt;=$NR$8,205&lt;=$NS$8),IF($NP$8="Single_Point",IF(205=$NR$8,$NN$8,0),IF($NP$8="Bell_Curve",$NN$8*(205-$NR$8+1)*($NS$8-205+1)/$NU$8,$NN$8/$NT$8)),0)</f>
        <v/>
      </c>
      <c r="HB8" s="228">
        <f>IF(AND(206&gt;=$NR$8,206&lt;=$NS$8),IF($NP$8="Single_Point",IF(206=$NR$8,$NN$8,0),IF($NP$8="Bell_Curve",$NN$8*(206-$NR$8+1)*($NS$8-206+1)/$NU$8,$NN$8/$NT$8)),0)</f>
        <v/>
      </c>
      <c r="HC8" s="228">
        <f>IF(AND(207&gt;=$NR$8,207&lt;=$NS$8),IF($NP$8="Single_Point",IF(207=$NR$8,$NN$8,0),IF($NP$8="Bell_Curve",$NN$8*(207-$NR$8+1)*($NS$8-207+1)/$NU$8,$NN$8/$NT$8)),0)</f>
        <v/>
      </c>
      <c r="HD8" s="228">
        <f>IF(AND(208&gt;=$NR$8,208&lt;=$NS$8),IF($NP$8="Single_Point",IF(208=$NR$8,$NN$8,0),IF($NP$8="Bell_Curve",$NN$8*(208-$NR$8+1)*($NS$8-208+1)/$NU$8,$NN$8/$NT$8)),0)</f>
        <v/>
      </c>
      <c r="HE8" s="228">
        <f>IF(AND(209&gt;=$NR$8,209&lt;=$NS$8),IF($NP$8="Single_Point",IF(209=$NR$8,$NN$8,0),IF($NP$8="Bell_Curve",$NN$8*(209-$NR$8+1)*($NS$8-209+1)/$NU$8,$NN$8/$NT$8)),0)</f>
        <v/>
      </c>
      <c r="HF8" s="228">
        <f>IF(AND(210&gt;=$NR$8,210&lt;=$NS$8),IF($NP$8="Single_Point",IF(210=$NR$8,$NN$8,0),IF($NP$8="Bell_Curve",$NN$8*(210-$NR$8+1)*($NS$8-210+1)/$NU$8,$NN$8/$NT$8)),0)</f>
        <v/>
      </c>
      <c r="HG8" s="228">
        <f>IF(AND(211&gt;=$NR$8,211&lt;=$NS$8),IF($NP$8="Single_Point",IF(211=$NR$8,$NN$8,0),IF($NP$8="Bell_Curve",$NN$8*(211-$NR$8+1)*($NS$8-211+1)/$NU$8,$NN$8/$NT$8)),0)</f>
        <v/>
      </c>
      <c r="HH8" s="228">
        <f>IF(AND(212&gt;=$NR$8,212&lt;=$NS$8),IF($NP$8="Single_Point",IF(212=$NR$8,$NN$8,0),IF($NP$8="Bell_Curve",$NN$8*(212-$NR$8+1)*($NS$8-212+1)/$NU$8,$NN$8/$NT$8)),0)</f>
        <v/>
      </c>
      <c r="HI8" s="228">
        <f>IF(AND(213&gt;=$NR$8,213&lt;=$NS$8),IF($NP$8="Single_Point",IF(213=$NR$8,$NN$8,0),IF($NP$8="Bell_Curve",$NN$8*(213-$NR$8+1)*($NS$8-213+1)/$NU$8,$NN$8/$NT$8)),0)</f>
        <v/>
      </c>
      <c r="HJ8" s="228">
        <f>IF(AND(214&gt;=$NR$8,214&lt;=$NS$8),IF($NP$8="Single_Point",IF(214=$NR$8,$NN$8,0),IF($NP$8="Bell_Curve",$NN$8*(214-$NR$8+1)*($NS$8-214+1)/$NU$8,$NN$8/$NT$8)),0)</f>
        <v/>
      </c>
      <c r="HK8" s="228">
        <f>IF(AND(215&gt;=$NR$8,215&lt;=$NS$8),IF($NP$8="Single_Point",IF(215=$NR$8,$NN$8,0),IF($NP$8="Bell_Curve",$NN$8*(215-$NR$8+1)*($NS$8-215+1)/$NU$8,$NN$8/$NT$8)),0)</f>
        <v/>
      </c>
      <c r="HL8" s="228">
        <f>IF(AND(216&gt;=$NR$8,216&lt;=$NS$8),IF($NP$8="Single_Point",IF(216=$NR$8,$NN$8,0),IF($NP$8="Bell_Curve",$NN$8*(216-$NR$8+1)*($NS$8-216+1)/$NU$8,$NN$8/$NT$8)),0)</f>
        <v/>
      </c>
      <c r="HM8" s="228">
        <f>IF(AND(217&gt;=$NR$8,217&lt;=$NS$8),IF($NP$8="Single_Point",IF(217=$NR$8,$NN$8,0),IF($NP$8="Bell_Curve",$NN$8*(217-$NR$8+1)*($NS$8-217+1)/$NU$8,$NN$8/$NT$8)),0)</f>
        <v/>
      </c>
      <c r="HN8" s="228">
        <f>IF(AND(218&gt;=$NR$8,218&lt;=$NS$8),IF($NP$8="Single_Point",IF(218=$NR$8,$NN$8,0),IF($NP$8="Bell_Curve",$NN$8*(218-$NR$8+1)*($NS$8-218+1)/$NU$8,$NN$8/$NT$8)),0)</f>
        <v/>
      </c>
      <c r="HO8" s="228">
        <f>IF(AND(219&gt;=$NR$8,219&lt;=$NS$8),IF($NP$8="Single_Point",IF(219=$NR$8,$NN$8,0),IF($NP$8="Bell_Curve",$NN$8*(219-$NR$8+1)*($NS$8-219+1)/$NU$8,$NN$8/$NT$8)),0)</f>
        <v/>
      </c>
      <c r="HP8" s="228">
        <f>IF(AND(220&gt;=$NR$8,220&lt;=$NS$8),IF($NP$8="Single_Point",IF(220=$NR$8,$NN$8,0),IF($NP$8="Bell_Curve",$NN$8*(220-$NR$8+1)*($NS$8-220+1)/$NU$8,$NN$8/$NT$8)),0)</f>
        <v/>
      </c>
      <c r="HQ8" s="228">
        <f>IF(AND(221&gt;=$NR$8,221&lt;=$NS$8),IF($NP$8="Single_Point",IF(221=$NR$8,$NN$8,0),IF($NP$8="Bell_Curve",$NN$8*(221-$NR$8+1)*($NS$8-221+1)/$NU$8,$NN$8/$NT$8)),0)</f>
        <v/>
      </c>
      <c r="HR8" s="228">
        <f>IF(AND(222&gt;=$NR$8,222&lt;=$NS$8),IF($NP$8="Single_Point",IF(222=$NR$8,$NN$8,0),IF($NP$8="Bell_Curve",$NN$8*(222-$NR$8+1)*($NS$8-222+1)/$NU$8,$NN$8/$NT$8)),0)</f>
        <v/>
      </c>
      <c r="HS8" s="228">
        <f>IF(AND(223&gt;=$NR$8,223&lt;=$NS$8),IF($NP$8="Single_Point",IF(223=$NR$8,$NN$8,0),IF($NP$8="Bell_Curve",$NN$8*(223-$NR$8+1)*($NS$8-223+1)/$NU$8,$NN$8/$NT$8)),0)</f>
        <v/>
      </c>
      <c r="HT8" s="228">
        <f>IF(AND(224&gt;=$NR$8,224&lt;=$NS$8),IF($NP$8="Single_Point",IF(224=$NR$8,$NN$8,0),IF($NP$8="Bell_Curve",$NN$8*(224-$NR$8+1)*($NS$8-224+1)/$NU$8,$NN$8/$NT$8)),0)</f>
        <v/>
      </c>
      <c r="HU8" s="228">
        <f>IF(AND(225&gt;=$NR$8,225&lt;=$NS$8),IF($NP$8="Single_Point",IF(225=$NR$8,$NN$8,0),IF($NP$8="Bell_Curve",$NN$8*(225-$NR$8+1)*($NS$8-225+1)/$NU$8,$NN$8/$NT$8)),0)</f>
        <v/>
      </c>
      <c r="HV8" s="228">
        <f>IF(AND(226&gt;=$NR$8,226&lt;=$NS$8),IF($NP$8="Single_Point",IF(226=$NR$8,$NN$8,0),IF($NP$8="Bell_Curve",$NN$8*(226-$NR$8+1)*($NS$8-226+1)/$NU$8,$NN$8/$NT$8)),0)</f>
        <v/>
      </c>
      <c r="HW8" s="228">
        <f>IF(AND(227&gt;=$NR$8,227&lt;=$NS$8),IF($NP$8="Single_Point",IF(227=$NR$8,$NN$8,0),IF($NP$8="Bell_Curve",$NN$8*(227-$NR$8+1)*($NS$8-227+1)/$NU$8,$NN$8/$NT$8)),0)</f>
        <v/>
      </c>
      <c r="HX8" s="228">
        <f>IF(AND(228&gt;=$NR$8,228&lt;=$NS$8),IF($NP$8="Single_Point",IF(228=$NR$8,$NN$8,0),IF($NP$8="Bell_Curve",$NN$8*(228-$NR$8+1)*($NS$8-228+1)/$NU$8,$NN$8/$NT$8)),0)</f>
        <v/>
      </c>
      <c r="HY8" s="228">
        <f>IF(AND(229&gt;=$NR$8,229&lt;=$NS$8),IF($NP$8="Single_Point",IF(229=$NR$8,$NN$8,0),IF($NP$8="Bell_Curve",$NN$8*(229-$NR$8+1)*($NS$8-229+1)/$NU$8,$NN$8/$NT$8)),0)</f>
        <v/>
      </c>
      <c r="HZ8" s="228">
        <f>IF(AND(230&gt;=$NR$8,230&lt;=$NS$8),IF($NP$8="Single_Point",IF(230=$NR$8,$NN$8,0),IF($NP$8="Bell_Curve",$NN$8*(230-$NR$8+1)*($NS$8-230+1)/$NU$8,$NN$8/$NT$8)),0)</f>
        <v/>
      </c>
      <c r="IA8" s="228">
        <f>IF(AND(231&gt;=$NR$8,231&lt;=$NS$8),IF($NP$8="Single_Point",IF(231=$NR$8,$NN$8,0),IF($NP$8="Bell_Curve",$NN$8*(231-$NR$8+1)*($NS$8-231+1)/$NU$8,$NN$8/$NT$8)),0)</f>
        <v/>
      </c>
      <c r="IB8" s="228">
        <f>IF(AND(232&gt;=$NR$8,232&lt;=$NS$8),IF($NP$8="Single_Point",IF(232=$NR$8,$NN$8,0),IF($NP$8="Bell_Curve",$NN$8*(232-$NR$8+1)*($NS$8-232+1)/$NU$8,$NN$8/$NT$8)),0)</f>
        <v/>
      </c>
      <c r="IC8" s="228">
        <f>IF(AND(233&gt;=$NR$8,233&lt;=$NS$8),IF($NP$8="Single_Point",IF(233=$NR$8,$NN$8,0),IF($NP$8="Bell_Curve",$NN$8*(233-$NR$8+1)*($NS$8-233+1)/$NU$8,$NN$8/$NT$8)),0)</f>
        <v/>
      </c>
      <c r="ID8" s="228">
        <f>IF(AND(234&gt;=$NR$8,234&lt;=$NS$8),IF($NP$8="Single_Point",IF(234=$NR$8,$NN$8,0),IF($NP$8="Bell_Curve",$NN$8*(234-$NR$8+1)*($NS$8-234+1)/$NU$8,$NN$8/$NT$8)),0)</f>
        <v/>
      </c>
      <c r="IE8" s="228">
        <f>IF(AND(235&gt;=$NR$8,235&lt;=$NS$8),IF($NP$8="Single_Point",IF(235=$NR$8,$NN$8,0),IF($NP$8="Bell_Curve",$NN$8*(235-$NR$8+1)*($NS$8-235+1)/$NU$8,$NN$8/$NT$8)),0)</f>
        <v/>
      </c>
      <c r="IF8" s="228">
        <f>IF(AND(236&gt;=$NR$8,236&lt;=$NS$8),IF($NP$8="Single_Point",IF(236=$NR$8,$NN$8,0),IF($NP$8="Bell_Curve",$NN$8*(236-$NR$8+1)*($NS$8-236+1)/$NU$8,$NN$8/$NT$8)),0)</f>
        <v/>
      </c>
      <c r="IG8" s="228">
        <f>IF(AND(237&gt;=$NR$8,237&lt;=$NS$8),IF($NP$8="Single_Point",IF(237=$NR$8,$NN$8,0),IF($NP$8="Bell_Curve",$NN$8*(237-$NR$8+1)*($NS$8-237+1)/$NU$8,$NN$8/$NT$8)),0)</f>
        <v/>
      </c>
      <c r="IH8" s="228">
        <f>IF(AND(238&gt;=$NR$8,238&lt;=$NS$8),IF($NP$8="Single_Point",IF(238=$NR$8,$NN$8,0),IF($NP$8="Bell_Curve",$NN$8*(238-$NR$8+1)*($NS$8-238+1)/$NU$8,$NN$8/$NT$8)),0)</f>
        <v/>
      </c>
      <c r="II8" s="228">
        <f>IF(AND(239&gt;=$NR$8,239&lt;=$NS$8),IF($NP$8="Single_Point",IF(239=$NR$8,$NN$8,0),IF($NP$8="Bell_Curve",$NN$8*(239-$NR$8+1)*($NS$8-239+1)/$NU$8,$NN$8/$NT$8)),0)</f>
        <v/>
      </c>
      <c r="IJ8" s="228">
        <f>IF(AND(240&gt;=$NR$8,240&lt;=$NS$8),IF($NP$8="Single_Point",IF(240=$NR$8,$NN$8,0),IF($NP$8="Bell_Curve",$NN$8*(240-$NR$8+1)*($NS$8-240+1)/$NU$8,$NN$8/$NT$8)),0)</f>
        <v/>
      </c>
      <c r="IK8" s="228">
        <f>IF(AND(241&gt;=$NR$8,241&lt;=$NS$8),IF($NP$8="Single_Point",IF(241=$NR$8,$NN$8,0),IF($NP$8="Bell_Curve",$NN$8*(241-$NR$8+1)*($NS$8-241+1)/$NU$8,$NN$8/$NT$8)),0)</f>
        <v/>
      </c>
      <c r="IL8" s="228">
        <f>IF(AND(242&gt;=$NR$8,242&lt;=$NS$8),IF($NP$8="Single_Point",IF(242=$NR$8,$NN$8,0),IF($NP$8="Bell_Curve",$NN$8*(242-$NR$8+1)*($NS$8-242+1)/$NU$8,$NN$8/$NT$8)),0)</f>
        <v/>
      </c>
      <c r="IM8" s="228">
        <f>IF(AND(243&gt;=$NR$8,243&lt;=$NS$8),IF($NP$8="Single_Point",IF(243=$NR$8,$NN$8,0),IF($NP$8="Bell_Curve",$NN$8*(243-$NR$8+1)*($NS$8-243+1)/$NU$8,$NN$8/$NT$8)),0)</f>
        <v/>
      </c>
      <c r="IN8" s="228">
        <f>IF(AND(244&gt;=$NR$8,244&lt;=$NS$8),IF($NP$8="Single_Point",IF(244=$NR$8,$NN$8,0),IF($NP$8="Bell_Curve",$NN$8*(244-$NR$8+1)*($NS$8-244+1)/$NU$8,$NN$8/$NT$8)),0)</f>
        <v/>
      </c>
      <c r="IO8" s="228">
        <f>IF(AND(245&gt;=$NR$8,245&lt;=$NS$8),IF($NP$8="Single_Point",IF(245=$NR$8,$NN$8,0),IF($NP$8="Bell_Curve",$NN$8*(245-$NR$8+1)*($NS$8-245+1)/$NU$8,$NN$8/$NT$8)),0)</f>
        <v/>
      </c>
      <c r="IP8" s="228">
        <f>IF(AND(246&gt;=$NR$8,246&lt;=$NS$8),IF($NP$8="Single_Point",IF(246=$NR$8,$NN$8,0),IF($NP$8="Bell_Curve",$NN$8*(246-$NR$8+1)*($NS$8-246+1)/$NU$8,$NN$8/$NT$8)),0)</f>
        <v/>
      </c>
      <c r="IQ8" s="228">
        <f>IF(AND(247&gt;=$NR$8,247&lt;=$NS$8),IF($NP$8="Single_Point",IF(247=$NR$8,$NN$8,0),IF($NP$8="Bell_Curve",$NN$8*(247-$NR$8+1)*($NS$8-247+1)/$NU$8,$NN$8/$NT$8)),0)</f>
        <v/>
      </c>
      <c r="IR8" s="228">
        <f>IF(AND(248&gt;=$NR$8,248&lt;=$NS$8),IF($NP$8="Single_Point",IF(248=$NR$8,$NN$8,0),IF($NP$8="Bell_Curve",$NN$8*(248-$NR$8+1)*($NS$8-248+1)/$NU$8,$NN$8/$NT$8)),0)</f>
        <v/>
      </c>
      <c r="IS8" s="228">
        <f>IF(AND(249&gt;=$NR$8,249&lt;=$NS$8),IF($NP$8="Single_Point",IF(249=$NR$8,$NN$8,0),IF($NP$8="Bell_Curve",$NN$8*(249-$NR$8+1)*($NS$8-249+1)/$NU$8,$NN$8/$NT$8)),0)</f>
        <v/>
      </c>
      <c r="IT8" s="228">
        <f>IF(AND(250&gt;=$NR$8,250&lt;=$NS$8),IF($NP$8="Single_Point",IF(250=$NR$8,$NN$8,0),IF($NP$8="Bell_Curve",$NN$8*(250-$NR$8+1)*($NS$8-250+1)/$NU$8,$NN$8/$NT$8)),0)</f>
        <v/>
      </c>
      <c r="IU8" s="228">
        <f>IF(AND(251&gt;=$NR$8,251&lt;=$NS$8),IF($NP$8="Single_Point",IF(251=$NR$8,$NN$8,0),IF($NP$8="Bell_Curve",$NN$8*(251-$NR$8+1)*($NS$8-251+1)/$NU$8,$NN$8/$NT$8)),0)</f>
        <v/>
      </c>
      <c r="IV8" s="228">
        <f>IF(AND(252&gt;=$NR$8,252&lt;=$NS$8),IF($NP$8="Single_Point",IF(252=$NR$8,$NN$8,0),IF($NP$8="Bell_Curve",$NN$8*(252-$NR$8+1)*($NS$8-252+1)/$NU$8,$NN$8/$NT$8)),0)</f>
        <v/>
      </c>
      <c r="IW8" s="228">
        <f>IF(AND(253&gt;=$NR$8,253&lt;=$NS$8),IF($NP$8="Single_Point",IF(253=$NR$8,$NN$8,0),IF($NP$8="Bell_Curve",$NN$8*(253-$NR$8+1)*($NS$8-253+1)/$NU$8,$NN$8/$NT$8)),0)</f>
        <v/>
      </c>
      <c r="IX8" s="228">
        <f>IF(AND(254&gt;=$NR$8,254&lt;=$NS$8),IF($NP$8="Single_Point",IF(254=$NR$8,$NN$8,0),IF($NP$8="Bell_Curve",$NN$8*(254-$NR$8+1)*($NS$8-254+1)/$NU$8,$NN$8/$NT$8)),0)</f>
        <v/>
      </c>
      <c r="IY8" s="228">
        <f>IF(AND(255&gt;=$NR$8,255&lt;=$NS$8),IF($NP$8="Single_Point",IF(255=$NR$8,$NN$8,0),IF($NP$8="Bell_Curve",$NN$8*(255-$NR$8+1)*($NS$8-255+1)/$NU$8,$NN$8/$NT$8)),0)</f>
        <v/>
      </c>
      <c r="IZ8" s="228">
        <f>IF(AND(256&gt;=$NR$8,256&lt;=$NS$8),IF($NP$8="Single_Point",IF(256=$NR$8,$NN$8,0),IF($NP$8="Bell_Curve",$NN$8*(256-$NR$8+1)*($NS$8-256+1)/$NU$8,$NN$8/$NT$8)),0)</f>
        <v/>
      </c>
      <c r="JA8" s="228">
        <f>IF(AND(257&gt;=$NR$8,257&lt;=$NS$8),IF($NP$8="Single_Point",IF(257=$NR$8,$NN$8,0),IF($NP$8="Bell_Curve",$NN$8*(257-$NR$8+1)*($NS$8-257+1)/$NU$8,$NN$8/$NT$8)),0)</f>
        <v/>
      </c>
      <c r="JB8" s="228">
        <f>IF(AND(258&gt;=$NR$8,258&lt;=$NS$8),IF($NP$8="Single_Point",IF(258=$NR$8,$NN$8,0),IF($NP$8="Bell_Curve",$NN$8*(258-$NR$8+1)*($NS$8-258+1)/$NU$8,$NN$8/$NT$8)),0)</f>
        <v/>
      </c>
      <c r="JC8" s="228">
        <f>IF(AND(259&gt;=$NR$8,259&lt;=$NS$8),IF($NP$8="Single_Point",IF(259=$NR$8,$NN$8,0),IF($NP$8="Bell_Curve",$NN$8*(259-$NR$8+1)*($NS$8-259+1)/$NU$8,$NN$8/$NT$8)),0)</f>
        <v/>
      </c>
      <c r="JD8" s="228">
        <f>IF(AND(260&gt;=$NR$8,260&lt;=$NS$8),IF($NP$8="Single_Point",IF(260=$NR$8,$NN$8,0),IF($NP$8="Bell_Curve",$NN$8*(260-$NR$8+1)*($NS$8-260+1)/$NU$8,$NN$8/$NT$8)),0)</f>
        <v/>
      </c>
      <c r="JE8" s="228">
        <f>IF(AND(261&gt;=$NR$8,261&lt;=$NS$8),IF($NP$8="Single_Point",IF(261=$NR$8,$NN$8,0),IF($NP$8="Bell_Curve",$NN$8*(261-$NR$8+1)*($NS$8-261+1)/$NU$8,$NN$8/$NT$8)),0)</f>
        <v/>
      </c>
      <c r="JF8" s="228">
        <f>IF(AND(262&gt;=$NR$8,262&lt;=$NS$8),IF($NP$8="Single_Point",IF(262=$NR$8,$NN$8,0),IF($NP$8="Bell_Curve",$NN$8*(262-$NR$8+1)*($NS$8-262+1)/$NU$8,$NN$8/$NT$8)),0)</f>
        <v/>
      </c>
      <c r="JG8" s="228">
        <f>IF(AND(263&gt;=$NR$8,263&lt;=$NS$8),IF($NP$8="Single_Point",IF(263=$NR$8,$NN$8,0),IF($NP$8="Bell_Curve",$NN$8*(263-$NR$8+1)*($NS$8-263+1)/$NU$8,$NN$8/$NT$8)),0)</f>
        <v/>
      </c>
      <c r="JH8" s="228">
        <f>IF(AND(264&gt;=$NR$8,264&lt;=$NS$8),IF($NP$8="Single_Point",IF(264=$NR$8,$NN$8,0),IF($NP$8="Bell_Curve",$NN$8*(264-$NR$8+1)*($NS$8-264+1)/$NU$8,$NN$8/$NT$8)),0)</f>
        <v/>
      </c>
      <c r="JI8" s="228">
        <f>IF(AND(265&gt;=$NR$8,265&lt;=$NS$8),IF($NP$8="Single_Point",IF(265=$NR$8,$NN$8,0),IF($NP$8="Bell_Curve",$NN$8*(265-$NR$8+1)*($NS$8-265+1)/$NU$8,$NN$8/$NT$8)),0)</f>
        <v/>
      </c>
      <c r="JJ8" s="228">
        <f>IF(AND(266&gt;=$NR$8,266&lt;=$NS$8),IF($NP$8="Single_Point",IF(266=$NR$8,$NN$8,0),IF($NP$8="Bell_Curve",$NN$8*(266-$NR$8+1)*($NS$8-266+1)/$NU$8,$NN$8/$NT$8)),0)</f>
        <v/>
      </c>
      <c r="JK8" s="228">
        <f>IF(AND(267&gt;=$NR$8,267&lt;=$NS$8),IF($NP$8="Single_Point",IF(267=$NR$8,$NN$8,0),IF($NP$8="Bell_Curve",$NN$8*(267-$NR$8+1)*($NS$8-267+1)/$NU$8,$NN$8/$NT$8)),0)</f>
        <v/>
      </c>
      <c r="JL8" s="228">
        <f>IF(AND(268&gt;=$NR$8,268&lt;=$NS$8),IF($NP$8="Single_Point",IF(268=$NR$8,$NN$8,0),IF($NP$8="Bell_Curve",$NN$8*(268-$NR$8+1)*($NS$8-268+1)/$NU$8,$NN$8/$NT$8)),0)</f>
        <v/>
      </c>
      <c r="JM8" s="228">
        <f>IF(AND(269&gt;=$NR$8,269&lt;=$NS$8),IF($NP$8="Single_Point",IF(269=$NR$8,$NN$8,0),IF($NP$8="Bell_Curve",$NN$8*(269-$NR$8+1)*($NS$8-269+1)/$NU$8,$NN$8/$NT$8)),0)</f>
        <v/>
      </c>
      <c r="JN8" s="228">
        <f>IF(AND(270&gt;=$NR$8,270&lt;=$NS$8),IF($NP$8="Single_Point",IF(270=$NR$8,$NN$8,0),IF($NP$8="Bell_Curve",$NN$8*(270-$NR$8+1)*($NS$8-270+1)/$NU$8,$NN$8/$NT$8)),0)</f>
        <v/>
      </c>
      <c r="JO8" s="228">
        <f>IF(AND(271&gt;=$NR$8,271&lt;=$NS$8),IF($NP$8="Single_Point",IF(271=$NR$8,$NN$8,0),IF($NP$8="Bell_Curve",$NN$8*(271-$NR$8+1)*($NS$8-271+1)/$NU$8,$NN$8/$NT$8)),0)</f>
        <v/>
      </c>
      <c r="JP8" s="228">
        <f>IF(AND(272&gt;=$NR$8,272&lt;=$NS$8),IF($NP$8="Single_Point",IF(272=$NR$8,$NN$8,0),IF($NP$8="Bell_Curve",$NN$8*(272-$NR$8+1)*($NS$8-272+1)/$NU$8,$NN$8/$NT$8)),0)</f>
        <v/>
      </c>
      <c r="JQ8" s="228">
        <f>IF(AND(273&gt;=$NR$8,273&lt;=$NS$8),IF($NP$8="Single_Point",IF(273=$NR$8,$NN$8,0),IF($NP$8="Bell_Curve",$NN$8*(273-$NR$8+1)*($NS$8-273+1)/$NU$8,$NN$8/$NT$8)),0)</f>
        <v/>
      </c>
      <c r="JR8" s="228">
        <f>IF(AND(274&gt;=$NR$8,274&lt;=$NS$8),IF($NP$8="Single_Point",IF(274=$NR$8,$NN$8,0),IF($NP$8="Bell_Curve",$NN$8*(274-$NR$8+1)*($NS$8-274+1)/$NU$8,$NN$8/$NT$8)),0)</f>
        <v/>
      </c>
      <c r="JS8" s="228">
        <f>IF(AND(275&gt;=$NR$8,275&lt;=$NS$8),IF($NP$8="Single_Point",IF(275=$NR$8,$NN$8,0),IF($NP$8="Bell_Curve",$NN$8*(275-$NR$8+1)*($NS$8-275+1)/$NU$8,$NN$8/$NT$8)),0)</f>
        <v/>
      </c>
      <c r="JT8" s="228">
        <f>IF(AND(276&gt;=$NR$8,276&lt;=$NS$8),IF($NP$8="Single_Point",IF(276=$NR$8,$NN$8,0),IF($NP$8="Bell_Curve",$NN$8*(276-$NR$8+1)*($NS$8-276+1)/$NU$8,$NN$8/$NT$8)),0)</f>
        <v/>
      </c>
      <c r="JU8" s="228">
        <f>IF(AND(277&gt;=$NR$8,277&lt;=$NS$8),IF($NP$8="Single_Point",IF(277=$NR$8,$NN$8,0),IF($NP$8="Bell_Curve",$NN$8*(277-$NR$8+1)*($NS$8-277+1)/$NU$8,$NN$8/$NT$8)),0)</f>
        <v/>
      </c>
      <c r="JV8" s="228">
        <f>IF(AND(278&gt;=$NR$8,278&lt;=$NS$8),IF($NP$8="Single_Point",IF(278=$NR$8,$NN$8,0),IF($NP$8="Bell_Curve",$NN$8*(278-$NR$8+1)*($NS$8-278+1)/$NU$8,$NN$8/$NT$8)),0)</f>
        <v/>
      </c>
      <c r="JW8" s="228">
        <f>IF(AND(279&gt;=$NR$8,279&lt;=$NS$8),IF($NP$8="Single_Point",IF(279=$NR$8,$NN$8,0),IF($NP$8="Bell_Curve",$NN$8*(279-$NR$8+1)*($NS$8-279+1)/$NU$8,$NN$8/$NT$8)),0)</f>
        <v/>
      </c>
      <c r="JX8" s="228">
        <f>IF(AND(280&gt;=$NR$8,280&lt;=$NS$8),IF($NP$8="Single_Point",IF(280=$NR$8,$NN$8,0),IF($NP$8="Bell_Curve",$NN$8*(280-$NR$8+1)*($NS$8-280+1)/$NU$8,$NN$8/$NT$8)),0)</f>
        <v/>
      </c>
      <c r="JY8" s="228">
        <f>IF(AND(281&gt;=$NR$8,281&lt;=$NS$8),IF($NP$8="Single_Point",IF(281=$NR$8,$NN$8,0),IF($NP$8="Bell_Curve",$NN$8*(281-$NR$8+1)*($NS$8-281+1)/$NU$8,$NN$8/$NT$8)),0)</f>
        <v/>
      </c>
      <c r="JZ8" s="228">
        <f>IF(AND(282&gt;=$NR$8,282&lt;=$NS$8),IF($NP$8="Single_Point",IF(282=$NR$8,$NN$8,0),IF($NP$8="Bell_Curve",$NN$8*(282-$NR$8+1)*($NS$8-282+1)/$NU$8,$NN$8/$NT$8)),0)</f>
        <v/>
      </c>
      <c r="KA8" s="228">
        <f>IF(AND(283&gt;=$NR$8,283&lt;=$NS$8),IF($NP$8="Single_Point",IF(283=$NR$8,$NN$8,0),IF($NP$8="Bell_Curve",$NN$8*(283-$NR$8+1)*($NS$8-283+1)/$NU$8,$NN$8/$NT$8)),0)</f>
        <v/>
      </c>
      <c r="KB8" s="228">
        <f>IF(AND(284&gt;=$NR$8,284&lt;=$NS$8),IF($NP$8="Single_Point",IF(284=$NR$8,$NN$8,0),IF($NP$8="Bell_Curve",$NN$8*(284-$NR$8+1)*($NS$8-284+1)/$NU$8,$NN$8/$NT$8)),0)</f>
        <v/>
      </c>
      <c r="KC8" s="228">
        <f>IF(AND(285&gt;=$NR$8,285&lt;=$NS$8),IF($NP$8="Single_Point",IF(285=$NR$8,$NN$8,0),IF($NP$8="Bell_Curve",$NN$8*(285-$NR$8+1)*($NS$8-285+1)/$NU$8,$NN$8/$NT$8)),0)</f>
        <v/>
      </c>
      <c r="KD8" s="228">
        <f>IF(AND(286&gt;=$NR$8,286&lt;=$NS$8),IF($NP$8="Single_Point",IF(286=$NR$8,$NN$8,0),IF($NP$8="Bell_Curve",$NN$8*(286-$NR$8+1)*($NS$8-286+1)/$NU$8,$NN$8/$NT$8)),0)</f>
        <v/>
      </c>
      <c r="KE8" s="228">
        <f>IF(AND(287&gt;=$NR$8,287&lt;=$NS$8),IF($NP$8="Single_Point",IF(287=$NR$8,$NN$8,0),IF($NP$8="Bell_Curve",$NN$8*(287-$NR$8+1)*($NS$8-287+1)/$NU$8,$NN$8/$NT$8)),0)</f>
        <v/>
      </c>
      <c r="KF8" s="228">
        <f>IF(AND(288&gt;=$NR$8,288&lt;=$NS$8),IF($NP$8="Single_Point",IF(288=$NR$8,$NN$8,0),IF($NP$8="Bell_Curve",$NN$8*(288-$NR$8+1)*($NS$8-288+1)/$NU$8,$NN$8/$NT$8)),0)</f>
        <v/>
      </c>
      <c r="KG8" s="228">
        <f>IF(AND(289&gt;=$NR$8,289&lt;=$NS$8),IF($NP$8="Single_Point",IF(289=$NR$8,$NN$8,0),IF($NP$8="Bell_Curve",$NN$8*(289-$NR$8+1)*($NS$8-289+1)/$NU$8,$NN$8/$NT$8)),0)</f>
        <v/>
      </c>
      <c r="KH8" s="228">
        <f>IF(AND(290&gt;=$NR$8,290&lt;=$NS$8),IF($NP$8="Single_Point",IF(290=$NR$8,$NN$8,0),IF($NP$8="Bell_Curve",$NN$8*(290-$NR$8+1)*($NS$8-290+1)/$NU$8,$NN$8/$NT$8)),0)</f>
        <v/>
      </c>
      <c r="KI8" s="228">
        <f>IF(AND(291&gt;=$NR$8,291&lt;=$NS$8),IF($NP$8="Single_Point",IF(291=$NR$8,$NN$8,0),IF($NP$8="Bell_Curve",$NN$8*(291-$NR$8+1)*($NS$8-291+1)/$NU$8,$NN$8/$NT$8)),0)</f>
        <v/>
      </c>
      <c r="KJ8" s="228">
        <f>IF(AND(292&gt;=$NR$8,292&lt;=$NS$8),IF($NP$8="Single_Point",IF(292=$NR$8,$NN$8,0),IF($NP$8="Bell_Curve",$NN$8*(292-$NR$8+1)*($NS$8-292+1)/$NU$8,$NN$8/$NT$8)),0)</f>
        <v/>
      </c>
      <c r="KK8" s="228">
        <f>IF(AND(293&gt;=$NR$8,293&lt;=$NS$8),IF($NP$8="Single_Point",IF(293=$NR$8,$NN$8,0),IF($NP$8="Bell_Curve",$NN$8*(293-$NR$8+1)*($NS$8-293+1)/$NU$8,$NN$8/$NT$8)),0)</f>
        <v/>
      </c>
      <c r="KL8" s="228">
        <f>IF(AND(294&gt;=$NR$8,294&lt;=$NS$8),IF($NP$8="Single_Point",IF(294=$NR$8,$NN$8,0),IF($NP$8="Bell_Curve",$NN$8*(294-$NR$8+1)*($NS$8-294+1)/$NU$8,$NN$8/$NT$8)),0)</f>
        <v/>
      </c>
      <c r="KM8" s="228">
        <f>IF(AND(295&gt;=$NR$8,295&lt;=$NS$8),IF($NP$8="Single_Point",IF(295=$NR$8,$NN$8,0),IF($NP$8="Bell_Curve",$NN$8*(295-$NR$8+1)*($NS$8-295+1)/$NU$8,$NN$8/$NT$8)),0)</f>
        <v/>
      </c>
      <c r="KN8" s="228">
        <f>IF(AND(296&gt;=$NR$8,296&lt;=$NS$8),IF($NP$8="Single_Point",IF(296=$NR$8,$NN$8,0),IF($NP$8="Bell_Curve",$NN$8*(296-$NR$8+1)*($NS$8-296+1)/$NU$8,$NN$8/$NT$8)),0)</f>
        <v/>
      </c>
      <c r="KO8" s="228">
        <f>IF(AND(297&gt;=$NR$8,297&lt;=$NS$8),IF($NP$8="Single_Point",IF(297=$NR$8,$NN$8,0),IF($NP$8="Bell_Curve",$NN$8*(297-$NR$8+1)*($NS$8-297+1)/$NU$8,$NN$8/$NT$8)),0)</f>
        <v/>
      </c>
      <c r="KP8" s="228">
        <f>IF(AND(298&gt;=$NR$8,298&lt;=$NS$8),IF($NP$8="Single_Point",IF(298=$NR$8,$NN$8,0),IF($NP$8="Bell_Curve",$NN$8*(298-$NR$8+1)*($NS$8-298+1)/$NU$8,$NN$8/$NT$8)),0)</f>
        <v/>
      </c>
      <c r="KQ8" s="228">
        <f>IF(AND(299&gt;=$NR$8,299&lt;=$NS$8),IF($NP$8="Single_Point",IF(299=$NR$8,$NN$8,0),IF($NP$8="Bell_Curve",$NN$8*(299-$NR$8+1)*($NS$8-299+1)/$NU$8,$NN$8/$NT$8)),0)</f>
        <v/>
      </c>
      <c r="KR8" s="228">
        <f>IF(AND(300&gt;=$NR$8,300&lt;=$NS$8),IF($NP$8="Single_Point",IF(300=$NR$8,$NN$8,0),IF($NP$8="Bell_Curve",$NN$8*(300-$NR$8+1)*($NS$8-300+1)/$NU$8,$NN$8/$NT$8)),0)</f>
        <v/>
      </c>
      <c r="KS8" s="228">
        <f>IF(AND(301&gt;=$NR$8,301&lt;=$NS$8),IF($NP$8="Single_Point",IF(301=$NR$8,$NN$8,0),IF($NP$8="Bell_Curve",$NN$8*(301-$NR$8+1)*($NS$8-301+1)/$NU$8,$NN$8/$NT$8)),0)</f>
        <v/>
      </c>
      <c r="KT8" s="228">
        <f>IF(AND(302&gt;=$NR$8,302&lt;=$NS$8),IF($NP$8="Single_Point",IF(302=$NR$8,$NN$8,0),IF($NP$8="Bell_Curve",$NN$8*(302-$NR$8+1)*($NS$8-302+1)/$NU$8,$NN$8/$NT$8)),0)</f>
        <v/>
      </c>
      <c r="KU8" s="228">
        <f>IF(AND(303&gt;=$NR$8,303&lt;=$NS$8),IF($NP$8="Single_Point",IF(303=$NR$8,$NN$8,0),IF($NP$8="Bell_Curve",$NN$8*(303-$NR$8+1)*($NS$8-303+1)/$NU$8,$NN$8/$NT$8)),0)</f>
        <v/>
      </c>
      <c r="KV8" s="228">
        <f>IF(AND(304&gt;=$NR$8,304&lt;=$NS$8),IF($NP$8="Single_Point",IF(304=$NR$8,$NN$8,0),IF($NP$8="Bell_Curve",$NN$8*(304-$NR$8+1)*($NS$8-304+1)/$NU$8,$NN$8/$NT$8)),0)</f>
        <v/>
      </c>
      <c r="KW8" s="228">
        <f>IF(AND(305&gt;=$NR$8,305&lt;=$NS$8),IF($NP$8="Single_Point",IF(305=$NR$8,$NN$8,0),IF($NP$8="Bell_Curve",$NN$8*(305-$NR$8+1)*($NS$8-305+1)/$NU$8,$NN$8/$NT$8)),0)</f>
        <v/>
      </c>
      <c r="KX8" s="228">
        <f>IF(AND(306&gt;=$NR$8,306&lt;=$NS$8),IF($NP$8="Single_Point",IF(306=$NR$8,$NN$8,0),IF($NP$8="Bell_Curve",$NN$8*(306-$NR$8+1)*($NS$8-306+1)/$NU$8,$NN$8/$NT$8)),0)</f>
        <v/>
      </c>
      <c r="KY8" s="228">
        <f>IF(AND(307&gt;=$NR$8,307&lt;=$NS$8),IF($NP$8="Single_Point",IF(307=$NR$8,$NN$8,0),IF($NP$8="Bell_Curve",$NN$8*(307-$NR$8+1)*($NS$8-307+1)/$NU$8,$NN$8/$NT$8)),0)</f>
        <v/>
      </c>
      <c r="KZ8" s="228">
        <f>IF(AND(308&gt;=$NR$8,308&lt;=$NS$8),IF($NP$8="Single_Point",IF(308=$NR$8,$NN$8,0),IF($NP$8="Bell_Curve",$NN$8*(308-$NR$8+1)*($NS$8-308+1)/$NU$8,$NN$8/$NT$8)),0)</f>
        <v/>
      </c>
      <c r="LA8" s="228">
        <f>IF(AND(309&gt;=$NR$8,309&lt;=$NS$8),IF($NP$8="Single_Point",IF(309=$NR$8,$NN$8,0),IF($NP$8="Bell_Curve",$NN$8*(309-$NR$8+1)*($NS$8-309+1)/$NU$8,$NN$8/$NT$8)),0)</f>
        <v/>
      </c>
      <c r="LB8" s="228">
        <f>IF(AND(310&gt;=$NR$8,310&lt;=$NS$8),IF($NP$8="Single_Point",IF(310=$NR$8,$NN$8,0),IF($NP$8="Bell_Curve",$NN$8*(310-$NR$8+1)*($NS$8-310+1)/$NU$8,$NN$8/$NT$8)),0)</f>
        <v/>
      </c>
      <c r="LC8" s="228">
        <f>IF(AND(311&gt;=$NR$8,311&lt;=$NS$8),IF($NP$8="Single_Point",IF(311=$NR$8,$NN$8,0),IF($NP$8="Bell_Curve",$NN$8*(311-$NR$8+1)*($NS$8-311+1)/$NU$8,$NN$8/$NT$8)),0)</f>
        <v/>
      </c>
      <c r="LD8" s="228">
        <f>IF(AND(312&gt;=$NR$8,312&lt;=$NS$8),IF($NP$8="Single_Point",IF(312=$NR$8,$NN$8,0),IF($NP$8="Bell_Curve",$NN$8*(312-$NR$8+1)*($NS$8-312+1)/$NU$8,$NN$8/$NT$8)),0)</f>
        <v/>
      </c>
      <c r="LE8" s="228">
        <f>IF(AND(313&gt;=$NR$8,313&lt;=$NS$8),IF($NP$8="Single_Point",IF(313=$NR$8,$NN$8,0),IF($NP$8="Bell_Curve",$NN$8*(313-$NR$8+1)*($NS$8-313+1)/$NU$8,$NN$8/$NT$8)),0)</f>
        <v/>
      </c>
      <c r="LF8" s="228">
        <f>IF(AND(314&gt;=$NR$8,314&lt;=$NS$8),IF($NP$8="Single_Point",IF(314=$NR$8,$NN$8,0),IF($NP$8="Bell_Curve",$NN$8*(314-$NR$8+1)*($NS$8-314+1)/$NU$8,$NN$8/$NT$8)),0)</f>
        <v/>
      </c>
      <c r="LG8" s="228">
        <f>IF(AND(315&gt;=$NR$8,315&lt;=$NS$8),IF($NP$8="Single_Point",IF(315=$NR$8,$NN$8,0),IF($NP$8="Bell_Curve",$NN$8*(315-$NR$8+1)*($NS$8-315+1)/$NU$8,$NN$8/$NT$8)),0)</f>
        <v/>
      </c>
      <c r="LH8" s="228">
        <f>IF(AND(316&gt;=$NR$8,316&lt;=$NS$8),IF($NP$8="Single_Point",IF(316=$NR$8,$NN$8,0),IF($NP$8="Bell_Curve",$NN$8*(316-$NR$8+1)*($NS$8-316+1)/$NU$8,$NN$8/$NT$8)),0)</f>
        <v/>
      </c>
      <c r="LI8" s="228">
        <f>IF(AND(317&gt;=$NR$8,317&lt;=$NS$8),IF($NP$8="Single_Point",IF(317=$NR$8,$NN$8,0),IF($NP$8="Bell_Curve",$NN$8*(317-$NR$8+1)*($NS$8-317+1)/$NU$8,$NN$8/$NT$8)),0)</f>
        <v/>
      </c>
      <c r="LJ8" s="228">
        <f>IF(AND(318&gt;=$NR$8,318&lt;=$NS$8),IF($NP$8="Single_Point",IF(318=$NR$8,$NN$8,0),IF($NP$8="Bell_Curve",$NN$8*(318-$NR$8+1)*($NS$8-318+1)/$NU$8,$NN$8/$NT$8)),0)</f>
        <v/>
      </c>
      <c r="LK8" s="228">
        <f>IF(AND(319&gt;=$NR$8,319&lt;=$NS$8),IF($NP$8="Single_Point",IF(319=$NR$8,$NN$8,0),IF($NP$8="Bell_Curve",$NN$8*(319-$NR$8+1)*($NS$8-319+1)/$NU$8,$NN$8/$NT$8)),0)</f>
        <v/>
      </c>
      <c r="LL8" s="228">
        <f>IF(AND(320&gt;=$NR$8,320&lt;=$NS$8),IF($NP$8="Single_Point",IF(320=$NR$8,$NN$8,0),IF($NP$8="Bell_Curve",$NN$8*(320-$NR$8+1)*($NS$8-320+1)/$NU$8,$NN$8/$NT$8)),0)</f>
        <v/>
      </c>
      <c r="LM8" s="228">
        <f>IF(AND(321&gt;=$NR$8,321&lt;=$NS$8),IF($NP$8="Single_Point",IF(321=$NR$8,$NN$8,0),IF($NP$8="Bell_Curve",$NN$8*(321-$NR$8+1)*($NS$8-321+1)/$NU$8,$NN$8/$NT$8)),0)</f>
        <v/>
      </c>
      <c r="LN8" s="228">
        <f>IF(AND(322&gt;=$NR$8,322&lt;=$NS$8),IF($NP$8="Single_Point",IF(322=$NR$8,$NN$8,0),IF($NP$8="Bell_Curve",$NN$8*(322-$NR$8+1)*($NS$8-322+1)/$NU$8,$NN$8/$NT$8)),0)</f>
        <v/>
      </c>
      <c r="LO8" s="228">
        <f>IF(AND(323&gt;=$NR$8,323&lt;=$NS$8),IF($NP$8="Single_Point",IF(323=$NR$8,$NN$8,0),IF($NP$8="Bell_Curve",$NN$8*(323-$NR$8+1)*($NS$8-323+1)/$NU$8,$NN$8/$NT$8)),0)</f>
        <v/>
      </c>
      <c r="LP8" s="228">
        <f>IF(AND(324&gt;=$NR$8,324&lt;=$NS$8),IF($NP$8="Single_Point",IF(324=$NR$8,$NN$8,0),IF($NP$8="Bell_Curve",$NN$8*(324-$NR$8+1)*($NS$8-324+1)/$NU$8,$NN$8/$NT$8)),0)</f>
        <v/>
      </c>
      <c r="LQ8" s="228">
        <f>IF(AND(325&gt;=$NR$8,325&lt;=$NS$8),IF($NP$8="Single_Point",IF(325=$NR$8,$NN$8,0),IF($NP$8="Bell_Curve",$NN$8*(325-$NR$8+1)*($NS$8-325+1)/$NU$8,$NN$8/$NT$8)),0)</f>
        <v/>
      </c>
      <c r="LR8" s="228">
        <f>IF(AND(326&gt;=$NR$8,326&lt;=$NS$8),IF($NP$8="Single_Point",IF(326=$NR$8,$NN$8,0),IF($NP$8="Bell_Curve",$NN$8*(326-$NR$8+1)*($NS$8-326+1)/$NU$8,$NN$8/$NT$8)),0)</f>
        <v/>
      </c>
      <c r="LS8" s="228">
        <f>IF(AND(327&gt;=$NR$8,327&lt;=$NS$8),IF($NP$8="Single_Point",IF(327=$NR$8,$NN$8,0),IF($NP$8="Bell_Curve",$NN$8*(327-$NR$8+1)*($NS$8-327+1)/$NU$8,$NN$8/$NT$8)),0)</f>
        <v/>
      </c>
      <c r="LT8" s="228">
        <f>IF(AND(328&gt;=$NR$8,328&lt;=$NS$8),IF($NP$8="Single_Point",IF(328=$NR$8,$NN$8,0),IF($NP$8="Bell_Curve",$NN$8*(328-$NR$8+1)*($NS$8-328+1)/$NU$8,$NN$8/$NT$8)),0)</f>
        <v/>
      </c>
      <c r="LU8" s="228">
        <f>IF(AND(329&gt;=$NR$8,329&lt;=$NS$8),IF($NP$8="Single_Point",IF(329=$NR$8,$NN$8,0),IF($NP$8="Bell_Curve",$NN$8*(329-$NR$8+1)*($NS$8-329+1)/$NU$8,$NN$8/$NT$8)),0)</f>
        <v/>
      </c>
      <c r="LV8" s="228">
        <f>IF(AND(330&gt;=$NR$8,330&lt;=$NS$8),IF($NP$8="Single_Point",IF(330=$NR$8,$NN$8,0),IF($NP$8="Bell_Curve",$NN$8*(330-$NR$8+1)*($NS$8-330+1)/$NU$8,$NN$8/$NT$8)),0)</f>
        <v/>
      </c>
      <c r="LW8" s="228">
        <f>IF(AND(331&gt;=$NR$8,331&lt;=$NS$8),IF($NP$8="Single_Point",IF(331=$NR$8,$NN$8,0),IF($NP$8="Bell_Curve",$NN$8*(331-$NR$8+1)*($NS$8-331+1)/$NU$8,$NN$8/$NT$8)),0)</f>
        <v/>
      </c>
      <c r="LX8" s="228">
        <f>IF(AND(332&gt;=$NR$8,332&lt;=$NS$8),IF($NP$8="Single_Point",IF(332=$NR$8,$NN$8,0),IF($NP$8="Bell_Curve",$NN$8*(332-$NR$8+1)*($NS$8-332+1)/$NU$8,$NN$8/$NT$8)),0)</f>
        <v/>
      </c>
      <c r="LY8" s="228">
        <f>IF(AND(333&gt;=$NR$8,333&lt;=$NS$8),IF($NP$8="Single_Point",IF(333=$NR$8,$NN$8,0),IF($NP$8="Bell_Curve",$NN$8*(333-$NR$8+1)*($NS$8-333+1)/$NU$8,$NN$8/$NT$8)),0)</f>
        <v/>
      </c>
      <c r="LZ8" s="228">
        <f>IF(AND(334&gt;=$NR$8,334&lt;=$NS$8),IF($NP$8="Single_Point",IF(334=$NR$8,$NN$8,0),IF($NP$8="Bell_Curve",$NN$8*(334-$NR$8+1)*($NS$8-334+1)/$NU$8,$NN$8/$NT$8)),0)</f>
        <v/>
      </c>
      <c r="MA8" s="228">
        <f>IF(AND(335&gt;=$NR$8,335&lt;=$NS$8),IF($NP$8="Single_Point",IF(335=$NR$8,$NN$8,0),IF($NP$8="Bell_Curve",$NN$8*(335-$NR$8+1)*($NS$8-335+1)/$NU$8,$NN$8/$NT$8)),0)</f>
        <v/>
      </c>
      <c r="MB8" s="228">
        <f>IF(AND(336&gt;=$NR$8,336&lt;=$NS$8),IF($NP$8="Single_Point",IF(336=$NR$8,$NN$8,0),IF($NP$8="Bell_Curve",$NN$8*(336-$NR$8+1)*($NS$8-336+1)/$NU$8,$NN$8/$NT$8)),0)</f>
        <v/>
      </c>
      <c r="MC8" s="228">
        <f>IF(AND(337&gt;=$NR$8,337&lt;=$NS$8),IF($NP$8="Single_Point",IF(337=$NR$8,$NN$8,0),IF($NP$8="Bell_Curve",$NN$8*(337-$NR$8+1)*($NS$8-337+1)/$NU$8,$NN$8/$NT$8)),0)</f>
        <v/>
      </c>
      <c r="MD8" s="228">
        <f>IF(AND(338&gt;=$NR$8,338&lt;=$NS$8),IF($NP$8="Single_Point",IF(338=$NR$8,$NN$8,0),IF($NP$8="Bell_Curve",$NN$8*(338-$NR$8+1)*($NS$8-338+1)/$NU$8,$NN$8/$NT$8)),0)</f>
        <v/>
      </c>
      <c r="ME8" s="228">
        <f>IF(AND(339&gt;=$NR$8,339&lt;=$NS$8),IF($NP$8="Single_Point",IF(339=$NR$8,$NN$8,0),IF($NP$8="Bell_Curve",$NN$8*(339-$NR$8+1)*($NS$8-339+1)/$NU$8,$NN$8/$NT$8)),0)</f>
        <v/>
      </c>
      <c r="MF8" s="228">
        <f>IF(AND(340&gt;=$NR$8,340&lt;=$NS$8),IF($NP$8="Single_Point",IF(340=$NR$8,$NN$8,0),IF($NP$8="Bell_Curve",$NN$8*(340-$NR$8+1)*($NS$8-340+1)/$NU$8,$NN$8/$NT$8)),0)</f>
        <v/>
      </c>
      <c r="MG8" s="228">
        <f>IF(AND(341&gt;=$NR$8,341&lt;=$NS$8),IF($NP$8="Single_Point",IF(341=$NR$8,$NN$8,0),IF($NP$8="Bell_Curve",$NN$8*(341-$NR$8+1)*($NS$8-341+1)/$NU$8,$NN$8/$NT$8)),0)</f>
        <v/>
      </c>
      <c r="MH8" s="228">
        <f>IF(AND(342&gt;=$NR$8,342&lt;=$NS$8),IF($NP$8="Single_Point",IF(342=$NR$8,$NN$8,0),IF($NP$8="Bell_Curve",$NN$8*(342-$NR$8+1)*($NS$8-342+1)/$NU$8,$NN$8/$NT$8)),0)</f>
        <v/>
      </c>
      <c r="MI8" s="228">
        <f>IF(AND(343&gt;=$NR$8,343&lt;=$NS$8),IF($NP$8="Single_Point",IF(343=$NR$8,$NN$8,0),IF($NP$8="Bell_Curve",$NN$8*(343-$NR$8+1)*($NS$8-343+1)/$NU$8,$NN$8/$NT$8)),0)</f>
        <v/>
      </c>
      <c r="MJ8" s="228">
        <f>IF(AND(344&gt;=$NR$8,344&lt;=$NS$8),IF($NP$8="Single_Point",IF(344=$NR$8,$NN$8,0),IF($NP$8="Bell_Curve",$NN$8*(344-$NR$8+1)*($NS$8-344+1)/$NU$8,$NN$8/$NT$8)),0)</f>
        <v/>
      </c>
      <c r="MK8" s="228">
        <f>IF(AND(345&gt;=$NR$8,345&lt;=$NS$8),IF($NP$8="Single_Point",IF(345=$NR$8,$NN$8,0),IF($NP$8="Bell_Curve",$NN$8*(345-$NR$8+1)*($NS$8-345+1)/$NU$8,$NN$8/$NT$8)),0)</f>
        <v/>
      </c>
      <c r="ML8" s="228">
        <f>IF(AND(346&gt;=$NR$8,346&lt;=$NS$8),IF($NP$8="Single_Point",IF(346=$NR$8,$NN$8,0),IF($NP$8="Bell_Curve",$NN$8*(346-$NR$8+1)*($NS$8-346+1)/$NU$8,$NN$8/$NT$8)),0)</f>
        <v/>
      </c>
      <c r="MM8" s="228">
        <f>IF(AND(347&gt;=$NR$8,347&lt;=$NS$8),IF($NP$8="Single_Point",IF(347=$NR$8,$NN$8,0),IF($NP$8="Bell_Curve",$NN$8*(347-$NR$8+1)*($NS$8-347+1)/$NU$8,$NN$8/$NT$8)),0)</f>
        <v/>
      </c>
      <c r="MN8" s="228">
        <f>IF(AND(348&gt;=$NR$8,348&lt;=$NS$8),IF($NP$8="Single_Point",IF(348=$NR$8,$NN$8,0),IF($NP$8="Bell_Curve",$NN$8*(348-$NR$8+1)*($NS$8-348+1)/$NU$8,$NN$8/$NT$8)),0)</f>
        <v/>
      </c>
      <c r="MO8" s="228">
        <f>IF(AND(349&gt;=$NR$8,349&lt;=$NS$8),IF($NP$8="Single_Point",IF(349=$NR$8,$NN$8,0),IF($NP$8="Bell_Curve",$NN$8*(349-$NR$8+1)*($NS$8-349+1)/$NU$8,$NN$8/$NT$8)),0)</f>
        <v/>
      </c>
      <c r="MP8" s="228">
        <f>IF(AND(350&gt;=$NR$8,350&lt;=$NS$8),IF($NP$8="Single_Point",IF(350=$NR$8,$NN$8,0),IF($NP$8="Bell_Curve",$NN$8*(350-$NR$8+1)*($NS$8-350+1)/$NU$8,$NN$8/$NT$8)),0)</f>
        <v/>
      </c>
      <c r="MQ8" s="228">
        <f>IF(AND(351&gt;=$NR$8,351&lt;=$NS$8),IF($NP$8="Single_Point",IF(351=$NR$8,$NN$8,0),IF($NP$8="Bell_Curve",$NN$8*(351-$NR$8+1)*($NS$8-351+1)/$NU$8,$NN$8/$NT$8)),0)</f>
        <v/>
      </c>
      <c r="MR8" s="228">
        <f>IF(AND(352&gt;=$NR$8,352&lt;=$NS$8),IF($NP$8="Single_Point",IF(352=$NR$8,$NN$8,0),IF($NP$8="Bell_Curve",$NN$8*(352-$NR$8+1)*($NS$8-352+1)/$NU$8,$NN$8/$NT$8)),0)</f>
        <v/>
      </c>
      <c r="MS8" s="228">
        <f>IF(AND(353&gt;=$NR$8,353&lt;=$NS$8),IF($NP$8="Single_Point",IF(353=$NR$8,$NN$8,0),IF($NP$8="Bell_Curve",$NN$8*(353-$NR$8+1)*($NS$8-353+1)/$NU$8,$NN$8/$NT$8)),0)</f>
        <v/>
      </c>
      <c r="MT8" s="228">
        <f>IF(AND(354&gt;=$NR$8,354&lt;=$NS$8),IF($NP$8="Single_Point",IF(354=$NR$8,$NN$8,0),IF($NP$8="Bell_Curve",$NN$8*(354-$NR$8+1)*($NS$8-354+1)/$NU$8,$NN$8/$NT$8)),0)</f>
        <v/>
      </c>
      <c r="MU8" s="228">
        <f>IF(AND(355&gt;=$NR$8,355&lt;=$NS$8),IF($NP$8="Single_Point",IF(355=$NR$8,$NN$8,0),IF($NP$8="Bell_Curve",$NN$8*(355-$NR$8+1)*($NS$8-355+1)/$NU$8,$NN$8/$NT$8)),0)</f>
        <v/>
      </c>
      <c r="MV8" s="228">
        <f>IF(AND(356&gt;=$NR$8,356&lt;=$NS$8),IF($NP$8="Single_Point",IF(356=$NR$8,$NN$8,0),IF($NP$8="Bell_Curve",$NN$8*(356-$NR$8+1)*($NS$8-356+1)/$NU$8,$NN$8/$NT$8)),0)</f>
        <v/>
      </c>
      <c r="MW8" s="228">
        <f>IF(AND(357&gt;=$NR$8,357&lt;=$NS$8),IF($NP$8="Single_Point",IF(357=$NR$8,$NN$8,0),IF($NP$8="Bell_Curve",$NN$8*(357-$NR$8+1)*($NS$8-357+1)/$NU$8,$NN$8/$NT$8)),0)</f>
        <v/>
      </c>
      <c r="MX8" s="228">
        <f>IF(AND(358&gt;=$NR$8,358&lt;=$NS$8),IF($NP$8="Single_Point",IF(358=$NR$8,$NN$8,0),IF($NP$8="Bell_Curve",$NN$8*(358-$NR$8+1)*($NS$8-358+1)/$NU$8,$NN$8/$NT$8)),0)</f>
        <v/>
      </c>
      <c r="MY8" s="228">
        <f>IF(AND(359&gt;=$NR$8,359&lt;=$NS$8),IF($NP$8="Single_Point",IF(359=$NR$8,$NN$8,0),IF($NP$8="Bell_Curve",$NN$8*(359-$NR$8+1)*($NS$8-359+1)/$NU$8,$NN$8/$NT$8)),0)</f>
        <v/>
      </c>
      <c r="MZ8" s="228">
        <f>IF(AND(360&gt;=$NR$8,360&lt;=$NS$8),IF($NP$8="Single_Point",IF(360=$NR$8,$NN$8,0),IF($NP$8="Bell_Curve",$NN$8*(360-$NR$8+1)*($NS$8-360+1)/$NU$8,$NN$8/$NT$8)),0)</f>
        <v/>
      </c>
      <c r="NA8" s="228">
        <f>IF(AND(361&gt;=$NR$8,361&lt;=$NS$8),IF($NP$8="Single_Point",IF(361=$NR$8,$NN$8,0),IF($NP$8="Bell_Curve",$NN$8*(361-$NR$8+1)*($NS$8-361+1)/$NU$8,$NN$8/$NT$8)),0)</f>
        <v/>
      </c>
      <c r="NB8" s="228">
        <f>IF(AND(362&gt;=$NR$8,362&lt;=$NS$8),IF($NP$8="Single_Point",IF(362=$NR$8,$NN$8,0),IF($NP$8="Bell_Curve",$NN$8*(362-$NR$8+1)*($NS$8-362+1)/$NU$8,$NN$8/$NT$8)),0)</f>
        <v/>
      </c>
      <c r="NC8" s="228">
        <f>IF(AND(363&gt;=$NR$8,363&lt;=$NS$8),IF($NP$8="Single_Point",IF(363=$NR$8,$NN$8,0),IF($NP$8="Bell_Curve",$NN$8*(363-$NR$8+1)*($NS$8-363+1)/$NU$8,$NN$8/$NT$8)),0)</f>
        <v/>
      </c>
      <c r="ND8" s="228">
        <f>IF(AND(364&gt;=$NR$8,364&lt;=$NS$8),IF($NP$8="Single_Point",IF(364=$NR$8,$NN$8,0),IF($NP$8="Bell_Curve",$NN$8*(364-$NR$8+1)*($NS$8-364+1)/$NU$8,$NN$8/$NT$8)),0)</f>
        <v/>
      </c>
      <c r="NE8" s="228">
        <f>IF(AND(365&gt;=$NR$8,365&lt;=$NS$8),IF($NP$8="Single_Point",IF(365=$NR$8,$NN$8,0),IF($NP$8="Bell_Curve",$NN$8*(365-$NR$8+1)*($NS$8-365+1)/$NU$8,$NN$8/$NT$8)),0)</f>
        <v/>
      </c>
      <c r="NF8" s="228">
        <f>IF(AND(366&gt;=$NR$8,366&lt;=$NS$8),IF($NP$8="Single_Point",IF(366=$NR$8,$NN$8,0),IF($NP$8="Bell_Curve",$NN$8*(366-$NR$8+1)*($NS$8-366+1)/$NU$8,$NN$8/$NT$8)),0)</f>
        <v/>
      </c>
      <c r="NG8" s="228">
        <f>IF(AND(367&gt;=$NR$8,367&lt;=$NS$8),IF($NP$8="Single_Point",IF(367=$NR$8,$NN$8,0),IF($NP$8="Bell_Curve",$NN$8*(367-$NR$8+1)*($NS$8-367+1)/$NU$8,$NN$8/$NT$8)),0)</f>
        <v/>
      </c>
      <c r="NH8" s="228">
        <f>IF(AND(368&gt;=$NR$8,368&lt;=$NS$8),IF($NP$8="Single_Point",IF(368=$NR$8,$NN$8,0),IF($NP$8="Bell_Curve",$NN$8*(368-$NR$8+1)*($NS$8-368+1)/$NU$8,$NN$8/$NT$8)),0)</f>
        <v/>
      </c>
      <c r="NI8" s="228">
        <f>IF(AND(369&gt;=$NR$8,369&lt;=$NS$8),IF($NP$8="Single_Point",IF(369=$NR$8,$NN$8,0),IF($NP$8="Bell_Curve",$NN$8*(369-$NR$8+1)*($NS$8-369+1)/$NU$8,$NN$8/$NT$8)),0)</f>
        <v/>
      </c>
      <c r="NJ8" s="228">
        <f>IF(AND(370&gt;=$NR$8,370&lt;=$NS$8),IF($NP$8="Single_Point",IF(370=$NR$8,$NN$8,0),IF($NP$8="Bell_Curve",$NN$8*(370-$NR$8+1)*($NS$8-370+1)/$NU$8,$NN$8/$NT$8)),0)</f>
        <v/>
      </c>
      <c r="NK8" s="228">
        <f>IF(AND(371&gt;=$NR$8,371&lt;=$NS$8),IF($NP$8="Single_Point",IF(371=$NR$8,$NN$8,0),IF($NP$8="Bell_Curve",$NN$8*(371-$NR$8+1)*($NS$8-371+1)/$NU$8,$NN$8/$NT$8)),0)</f>
        <v/>
      </c>
      <c r="NL8" s="247">
        <f>IF(AND(372&gt;=$NR$8,372&lt;=$NS$8),IF($NP$8="Single_Point",IF(372=$NR$8,$NN$8,0),IF($NP$8="Bell_Curve",$NN$8*(372-$NR$8+1)*($NS$8-372+1)/$NU$8,$NN$8/$NT$8)),0)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36" t="inlineStr">
        <is>
          <t>Entitlements</t>
        </is>
      </c>
      <c r="D9" s="246">
        <f>SUM(E9:NL9)</f>
        <v/>
      </c>
      <c r="E9" s="228">
        <f>IF(AND(1&gt;=$NR$9,1&lt;=$NS$9),IF($NP$9="Single_Point",IF(1=$NR$9,$NN$9,0),IF($NP$9="Bell_Curve",$NN$9*(1-$NR$9+1)*($NS$9-1+1)/$NU$9,$NN$9/$NT$9)),0)</f>
        <v/>
      </c>
      <c r="F9" s="228">
        <f>IF(AND(2&gt;=$NR$9,2&lt;=$NS$9),IF($NP$9="Single_Point",IF(2=$NR$9,$NN$9,0),IF($NP$9="Bell_Curve",$NN$9*(2-$NR$9+1)*($NS$9-2+1)/$NU$9,$NN$9/$NT$9)),0)</f>
        <v/>
      </c>
      <c r="G9" s="228">
        <f>IF(AND(3&gt;=$NR$9,3&lt;=$NS$9),IF($NP$9="Single_Point",IF(3=$NR$9,$NN$9,0),IF($NP$9="Bell_Curve",$NN$9*(3-$NR$9+1)*($NS$9-3+1)/$NU$9,$NN$9/$NT$9)),0)</f>
        <v/>
      </c>
      <c r="H9" s="228">
        <f>IF(AND(4&gt;=$NR$9,4&lt;=$NS$9),IF($NP$9="Single_Point",IF(4=$NR$9,$NN$9,0),IF($NP$9="Bell_Curve",$NN$9*(4-$NR$9+1)*($NS$9-4+1)/$NU$9,$NN$9/$NT$9)),0)</f>
        <v/>
      </c>
      <c r="I9" s="228">
        <f>IF(AND(5&gt;=$NR$9,5&lt;=$NS$9),IF($NP$9="Single_Point",IF(5=$NR$9,$NN$9,0),IF($NP$9="Bell_Curve",$NN$9*(5-$NR$9+1)*($NS$9-5+1)/$NU$9,$NN$9/$NT$9)),0)</f>
        <v/>
      </c>
      <c r="J9" s="228">
        <f>IF(AND(6&gt;=$NR$9,6&lt;=$NS$9),IF($NP$9="Single_Point",IF(6=$NR$9,$NN$9,0),IF($NP$9="Bell_Curve",$NN$9*(6-$NR$9+1)*($NS$9-6+1)/$NU$9,$NN$9/$NT$9)),0)</f>
        <v/>
      </c>
      <c r="K9" s="228">
        <f>IF(AND(7&gt;=$NR$9,7&lt;=$NS$9),IF($NP$9="Single_Point",IF(7=$NR$9,$NN$9,0),IF($NP$9="Bell_Curve",$NN$9*(7-$NR$9+1)*($NS$9-7+1)/$NU$9,$NN$9/$NT$9)),0)</f>
        <v/>
      </c>
      <c r="L9" s="228">
        <f>IF(AND(8&gt;=$NR$9,8&lt;=$NS$9),IF($NP$9="Single_Point",IF(8=$NR$9,$NN$9,0),IF($NP$9="Bell_Curve",$NN$9*(8-$NR$9+1)*($NS$9-8+1)/$NU$9,$NN$9/$NT$9)),0)</f>
        <v/>
      </c>
      <c r="M9" s="228">
        <f>IF(AND(9&gt;=$NR$9,9&lt;=$NS$9),IF($NP$9="Single_Point",IF(9=$NR$9,$NN$9,0),IF($NP$9="Bell_Curve",$NN$9*(9-$NR$9+1)*($NS$9-9+1)/$NU$9,$NN$9/$NT$9)),0)</f>
        <v/>
      </c>
      <c r="N9" s="228">
        <f>IF(AND(10&gt;=$NR$9,10&lt;=$NS$9),IF($NP$9="Single_Point",IF(10=$NR$9,$NN$9,0),IF($NP$9="Bell_Curve",$NN$9*(10-$NR$9+1)*($NS$9-10+1)/$NU$9,$NN$9/$NT$9)),0)</f>
        <v/>
      </c>
      <c r="O9" s="228">
        <f>IF(AND(11&gt;=$NR$9,11&lt;=$NS$9),IF($NP$9="Single_Point",IF(11=$NR$9,$NN$9,0),IF($NP$9="Bell_Curve",$NN$9*(11-$NR$9+1)*($NS$9-11+1)/$NU$9,$NN$9/$NT$9)),0)</f>
        <v/>
      </c>
      <c r="P9" s="228">
        <f>IF(AND(12&gt;=$NR$9,12&lt;=$NS$9),IF($NP$9="Single_Point",IF(12=$NR$9,$NN$9,0),IF($NP$9="Bell_Curve",$NN$9*(12-$NR$9+1)*($NS$9-12+1)/$NU$9,$NN$9/$NT$9)),0)</f>
        <v/>
      </c>
      <c r="Q9" s="228">
        <f>IF(AND(13&gt;=$NR$9,13&lt;=$NS$9),IF($NP$9="Single_Point",IF(13=$NR$9,$NN$9,0),IF($NP$9="Bell_Curve",$NN$9*(13-$NR$9+1)*($NS$9-13+1)/$NU$9,$NN$9/$NT$9)),0)</f>
        <v/>
      </c>
      <c r="R9" s="228">
        <f>IF(AND(14&gt;=$NR$9,14&lt;=$NS$9),IF($NP$9="Single_Point",IF(14=$NR$9,$NN$9,0),IF($NP$9="Bell_Curve",$NN$9*(14-$NR$9+1)*($NS$9-14+1)/$NU$9,$NN$9/$NT$9)),0)</f>
        <v/>
      </c>
      <c r="S9" s="228">
        <f>IF(AND(15&gt;=$NR$9,15&lt;=$NS$9),IF($NP$9="Single_Point",IF(15=$NR$9,$NN$9,0),IF($NP$9="Bell_Curve",$NN$9*(15-$NR$9+1)*($NS$9-15+1)/$NU$9,$NN$9/$NT$9)),0)</f>
        <v/>
      </c>
      <c r="T9" s="228">
        <f>IF(AND(16&gt;=$NR$9,16&lt;=$NS$9),IF($NP$9="Single_Point",IF(16=$NR$9,$NN$9,0),IF($NP$9="Bell_Curve",$NN$9*(16-$NR$9+1)*($NS$9-16+1)/$NU$9,$NN$9/$NT$9)),0)</f>
        <v/>
      </c>
      <c r="U9" s="228">
        <f>IF(AND(17&gt;=$NR$9,17&lt;=$NS$9),IF($NP$9="Single_Point",IF(17=$NR$9,$NN$9,0),IF($NP$9="Bell_Curve",$NN$9*(17-$NR$9+1)*($NS$9-17+1)/$NU$9,$NN$9/$NT$9)),0)</f>
        <v/>
      </c>
      <c r="V9" s="228">
        <f>IF(AND(18&gt;=$NR$9,18&lt;=$NS$9),IF($NP$9="Single_Point",IF(18=$NR$9,$NN$9,0),IF($NP$9="Bell_Curve",$NN$9*(18-$NR$9+1)*($NS$9-18+1)/$NU$9,$NN$9/$NT$9)),0)</f>
        <v/>
      </c>
      <c r="W9" s="228">
        <f>IF(AND(19&gt;=$NR$9,19&lt;=$NS$9),IF($NP$9="Single_Point",IF(19=$NR$9,$NN$9,0),IF($NP$9="Bell_Curve",$NN$9*(19-$NR$9+1)*($NS$9-19+1)/$NU$9,$NN$9/$NT$9)),0)</f>
        <v/>
      </c>
      <c r="X9" s="228">
        <f>IF(AND(20&gt;=$NR$9,20&lt;=$NS$9),IF($NP$9="Single_Point",IF(20=$NR$9,$NN$9,0),IF($NP$9="Bell_Curve",$NN$9*(20-$NR$9+1)*($NS$9-20+1)/$NU$9,$NN$9/$NT$9)),0)</f>
        <v/>
      </c>
      <c r="Y9" s="228">
        <f>IF(AND(21&gt;=$NR$9,21&lt;=$NS$9),IF($NP$9="Single_Point",IF(21=$NR$9,$NN$9,0),IF($NP$9="Bell_Curve",$NN$9*(21-$NR$9+1)*($NS$9-21+1)/$NU$9,$NN$9/$NT$9)),0)</f>
        <v/>
      </c>
      <c r="Z9" s="228">
        <f>IF(AND(22&gt;=$NR$9,22&lt;=$NS$9),IF($NP$9="Single_Point",IF(22=$NR$9,$NN$9,0),IF($NP$9="Bell_Curve",$NN$9*(22-$NR$9+1)*($NS$9-22+1)/$NU$9,$NN$9/$NT$9)),0)</f>
        <v/>
      </c>
      <c r="AA9" s="228">
        <f>IF(AND(23&gt;=$NR$9,23&lt;=$NS$9),IF($NP$9="Single_Point",IF(23=$NR$9,$NN$9,0),IF($NP$9="Bell_Curve",$NN$9*(23-$NR$9+1)*($NS$9-23+1)/$NU$9,$NN$9/$NT$9)),0)</f>
        <v/>
      </c>
      <c r="AB9" s="228">
        <f>IF(AND(24&gt;=$NR$9,24&lt;=$NS$9),IF($NP$9="Single_Point",IF(24=$NR$9,$NN$9,0),IF($NP$9="Bell_Curve",$NN$9*(24-$NR$9+1)*($NS$9-24+1)/$NU$9,$NN$9/$NT$9)),0)</f>
        <v/>
      </c>
      <c r="AC9" s="228">
        <f>IF(AND(25&gt;=$NR$9,25&lt;=$NS$9),IF($NP$9="Single_Point",IF(25=$NR$9,$NN$9,0),IF($NP$9="Bell_Curve",$NN$9*(25-$NR$9+1)*($NS$9-25+1)/$NU$9,$NN$9/$NT$9)),0)</f>
        <v/>
      </c>
      <c r="AD9" s="228">
        <f>IF(AND(26&gt;=$NR$9,26&lt;=$NS$9),IF($NP$9="Single_Point",IF(26=$NR$9,$NN$9,0),IF($NP$9="Bell_Curve",$NN$9*(26-$NR$9+1)*($NS$9-26+1)/$NU$9,$NN$9/$NT$9)),0)</f>
        <v/>
      </c>
      <c r="AE9" s="228">
        <f>IF(AND(27&gt;=$NR$9,27&lt;=$NS$9),IF($NP$9="Single_Point",IF(27=$NR$9,$NN$9,0),IF($NP$9="Bell_Curve",$NN$9*(27-$NR$9+1)*($NS$9-27+1)/$NU$9,$NN$9/$NT$9)),0)</f>
        <v/>
      </c>
      <c r="AF9" s="228">
        <f>IF(AND(28&gt;=$NR$9,28&lt;=$NS$9),IF($NP$9="Single_Point",IF(28=$NR$9,$NN$9,0),IF($NP$9="Bell_Curve",$NN$9*(28-$NR$9+1)*($NS$9-28+1)/$NU$9,$NN$9/$NT$9)),0)</f>
        <v/>
      </c>
      <c r="AG9" s="228">
        <f>IF(AND(29&gt;=$NR$9,29&lt;=$NS$9),IF($NP$9="Single_Point",IF(29=$NR$9,$NN$9,0),IF($NP$9="Bell_Curve",$NN$9*(29-$NR$9+1)*($NS$9-29+1)/$NU$9,$NN$9/$NT$9)),0)</f>
        <v/>
      </c>
      <c r="AH9" s="228">
        <f>IF(AND(30&gt;=$NR$9,30&lt;=$NS$9),IF($NP$9="Single_Point",IF(30=$NR$9,$NN$9,0),IF($NP$9="Bell_Curve",$NN$9*(30-$NR$9+1)*($NS$9-30+1)/$NU$9,$NN$9/$NT$9)),0)</f>
        <v/>
      </c>
      <c r="AI9" s="228">
        <f>IF(AND(31&gt;=$NR$9,31&lt;=$NS$9),IF($NP$9="Single_Point",IF(31=$NR$9,$NN$9,0),IF($NP$9="Bell_Curve",$NN$9*(31-$NR$9+1)*($NS$9-31+1)/$NU$9,$NN$9/$NT$9)),0)</f>
        <v/>
      </c>
      <c r="AJ9" s="228">
        <f>IF(AND(32&gt;=$NR$9,32&lt;=$NS$9),IF($NP$9="Single_Point",IF(32=$NR$9,$NN$9,0),IF($NP$9="Bell_Curve",$NN$9*(32-$NR$9+1)*($NS$9-32+1)/$NU$9,$NN$9/$NT$9)),0)</f>
        <v/>
      </c>
      <c r="AK9" s="228">
        <f>IF(AND(33&gt;=$NR$9,33&lt;=$NS$9),IF($NP$9="Single_Point",IF(33=$NR$9,$NN$9,0),IF($NP$9="Bell_Curve",$NN$9*(33-$NR$9+1)*($NS$9-33+1)/$NU$9,$NN$9/$NT$9)),0)</f>
        <v/>
      </c>
      <c r="AL9" s="228">
        <f>IF(AND(34&gt;=$NR$9,34&lt;=$NS$9),IF($NP$9="Single_Point",IF(34=$NR$9,$NN$9,0),IF($NP$9="Bell_Curve",$NN$9*(34-$NR$9+1)*($NS$9-34+1)/$NU$9,$NN$9/$NT$9)),0)</f>
        <v/>
      </c>
      <c r="AM9" s="228">
        <f>IF(AND(35&gt;=$NR$9,35&lt;=$NS$9),IF($NP$9="Single_Point",IF(35=$NR$9,$NN$9,0),IF($NP$9="Bell_Curve",$NN$9*(35-$NR$9+1)*($NS$9-35+1)/$NU$9,$NN$9/$NT$9)),0)</f>
        <v/>
      </c>
      <c r="AN9" s="228">
        <f>IF(AND(36&gt;=$NR$9,36&lt;=$NS$9),IF($NP$9="Single_Point",IF(36=$NR$9,$NN$9,0),IF($NP$9="Bell_Curve",$NN$9*(36-$NR$9+1)*($NS$9-36+1)/$NU$9,$NN$9/$NT$9)),0)</f>
        <v/>
      </c>
      <c r="AO9" s="228">
        <f>IF(AND(37&gt;=$NR$9,37&lt;=$NS$9),IF($NP$9="Single_Point",IF(37=$NR$9,$NN$9,0),IF($NP$9="Bell_Curve",$NN$9*(37-$NR$9+1)*($NS$9-37+1)/$NU$9,$NN$9/$NT$9)),0)</f>
        <v/>
      </c>
      <c r="AP9" s="228">
        <f>IF(AND(38&gt;=$NR$9,38&lt;=$NS$9),IF($NP$9="Single_Point",IF(38=$NR$9,$NN$9,0),IF($NP$9="Bell_Curve",$NN$9*(38-$NR$9+1)*($NS$9-38+1)/$NU$9,$NN$9/$NT$9)),0)</f>
        <v/>
      </c>
      <c r="AQ9" s="228">
        <f>IF(AND(39&gt;=$NR$9,39&lt;=$NS$9),IF($NP$9="Single_Point",IF(39=$NR$9,$NN$9,0),IF($NP$9="Bell_Curve",$NN$9*(39-$NR$9+1)*($NS$9-39+1)/$NU$9,$NN$9/$NT$9)),0)</f>
        <v/>
      </c>
      <c r="AR9" s="228">
        <f>IF(AND(40&gt;=$NR$9,40&lt;=$NS$9),IF($NP$9="Single_Point",IF(40=$NR$9,$NN$9,0),IF($NP$9="Bell_Curve",$NN$9*(40-$NR$9+1)*($NS$9-40+1)/$NU$9,$NN$9/$NT$9)),0)</f>
        <v/>
      </c>
      <c r="AS9" s="228">
        <f>IF(AND(41&gt;=$NR$9,41&lt;=$NS$9),IF($NP$9="Single_Point",IF(41=$NR$9,$NN$9,0),IF($NP$9="Bell_Curve",$NN$9*(41-$NR$9+1)*($NS$9-41+1)/$NU$9,$NN$9/$NT$9)),0)</f>
        <v/>
      </c>
      <c r="AT9" s="228">
        <f>IF(AND(42&gt;=$NR$9,42&lt;=$NS$9),IF($NP$9="Single_Point",IF(42=$NR$9,$NN$9,0),IF($NP$9="Bell_Curve",$NN$9*(42-$NR$9+1)*($NS$9-42+1)/$NU$9,$NN$9/$NT$9)),0)</f>
        <v/>
      </c>
      <c r="AU9" s="228">
        <f>IF(AND(43&gt;=$NR$9,43&lt;=$NS$9),IF($NP$9="Single_Point",IF(43=$NR$9,$NN$9,0),IF($NP$9="Bell_Curve",$NN$9*(43-$NR$9+1)*($NS$9-43+1)/$NU$9,$NN$9/$NT$9)),0)</f>
        <v/>
      </c>
      <c r="AV9" s="228">
        <f>IF(AND(44&gt;=$NR$9,44&lt;=$NS$9),IF($NP$9="Single_Point",IF(44=$NR$9,$NN$9,0),IF($NP$9="Bell_Curve",$NN$9*(44-$NR$9+1)*($NS$9-44+1)/$NU$9,$NN$9/$NT$9)),0)</f>
        <v/>
      </c>
      <c r="AW9" s="228">
        <f>IF(AND(45&gt;=$NR$9,45&lt;=$NS$9),IF($NP$9="Single_Point",IF(45=$NR$9,$NN$9,0),IF($NP$9="Bell_Curve",$NN$9*(45-$NR$9+1)*($NS$9-45+1)/$NU$9,$NN$9/$NT$9)),0)</f>
        <v/>
      </c>
      <c r="AX9" s="228">
        <f>IF(AND(46&gt;=$NR$9,46&lt;=$NS$9),IF($NP$9="Single_Point",IF(46=$NR$9,$NN$9,0),IF($NP$9="Bell_Curve",$NN$9*(46-$NR$9+1)*($NS$9-46+1)/$NU$9,$NN$9/$NT$9)),0)</f>
        <v/>
      </c>
      <c r="AY9" s="228">
        <f>IF(AND(47&gt;=$NR$9,47&lt;=$NS$9),IF($NP$9="Single_Point",IF(47=$NR$9,$NN$9,0),IF($NP$9="Bell_Curve",$NN$9*(47-$NR$9+1)*($NS$9-47+1)/$NU$9,$NN$9/$NT$9)),0)</f>
        <v/>
      </c>
      <c r="AZ9" s="228">
        <f>IF(AND(48&gt;=$NR$9,48&lt;=$NS$9),IF($NP$9="Single_Point",IF(48=$NR$9,$NN$9,0),IF($NP$9="Bell_Curve",$NN$9*(48-$NR$9+1)*($NS$9-48+1)/$NU$9,$NN$9/$NT$9)),0)</f>
        <v/>
      </c>
      <c r="BA9" s="228">
        <f>IF(AND(49&gt;=$NR$9,49&lt;=$NS$9),IF($NP$9="Single_Point",IF(49=$NR$9,$NN$9,0),IF($NP$9="Bell_Curve",$NN$9*(49-$NR$9+1)*($NS$9-49+1)/$NU$9,$NN$9/$NT$9)),0)</f>
        <v/>
      </c>
      <c r="BB9" s="228">
        <f>IF(AND(50&gt;=$NR$9,50&lt;=$NS$9),IF($NP$9="Single_Point",IF(50=$NR$9,$NN$9,0),IF($NP$9="Bell_Curve",$NN$9*(50-$NR$9+1)*($NS$9-50+1)/$NU$9,$NN$9/$NT$9)),0)</f>
        <v/>
      </c>
      <c r="BC9" s="228">
        <f>IF(AND(51&gt;=$NR$9,51&lt;=$NS$9),IF($NP$9="Single_Point",IF(51=$NR$9,$NN$9,0),IF($NP$9="Bell_Curve",$NN$9*(51-$NR$9+1)*($NS$9-51+1)/$NU$9,$NN$9/$NT$9)),0)</f>
        <v/>
      </c>
      <c r="BD9" s="228">
        <f>IF(AND(52&gt;=$NR$9,52&lt;=$NS$9),IF($NP$9="Single_Point",IF(52=$NR$9,$NN$9,0),IF($NP$9="Bell_Curve",$NN$9*(52-$NR$9+1)*($NS$9-52+1)/$NU$9,$NN$9/$NT$9)),0)</f>
        <v/>
      </c>
      <c r="BE9" s="228">
        <f>IF(AND(53&gt;=$NR$9,53&lt;=$NS$9),IF($NP$9="Single_Point",IF(53=$NR$9,$NN$9,0),IF($NP$9="Bell_Curve",$NN$9*(53-$NR$9+1)*($NS$9-53+1)/$NU$9,$NN$9/$NT$9)),0)</f>
        <v/>
      </c>
      <c r="BF9" s="228">
        <f>IF(AND(54&gt;=$NR$9,54&lt;=$NS$9),IF($NP$9="Single_Point",IF(54=$NR$9,$NN$9,0),IF($NP$9="Bell_Curve",$NN$9*(54-$NR$9+1)*($NS$9-54+1)/$NU$9,$NN$9/$NT$9)),0)</f>
        <v/>
      </c>
      <c r="BG9" s="228">
        <f>IF(AND(55&gt;=$NR$9,55&lt;=$NS$9),IF($NP$9="Single_Point",IF(55=$NR$9,$NN$9,0),IF($NP$9="Bell_Curve",$NN$9*(55-$NR$9+1)*($NS$9-55+1)/$NU$9,$NN$9/$NT$9)),0)</f>
        <v/>
      </c>
      <c r="BH9" s="228">
        <f>IF(AND(56&gt;=$NR$9,56&lt;=$NS$9),IF($NP$9="Single_Point",IF(56=$NR$9,$NN$9,0),IF($NP$9="Bell_Curve",$NN$9*(56-$NR$9+1)*($NS$9-56+1)/$NU$9,$NN$9/$NT$9)),0)</f>
        <v/>
      </c>
      <c r="BI9" s="228">
        <f>IF(AND(57&gt;=$NR$9,57&lt;=$NS$9),IF($NP$9="Single_Point",IF(57=$NR$9,$NN$9,0),IF($NP$9="Bell_Curve",$NN$9*(57-$NR$9+1)*($NS$9-57+1)/$NU$9,$NN$9/$NT$9)),0)</f>
        <v/>
      </c>
      <c r="BJ9" s="228">
        <f>IF(AND(58&gt;=$NR$9,58&lt;=$NS$9),IF($NP$9="Single_Point",IF(58=$NR$9,$NN$9,0),IF($NP$9="Bell_Curve",$NN$9*(58-$NR$9+1)*($NS$9-58+1)/$NU$9,$NN$9/$NT$9)),0)</f>
        <v/>
      </c>
      <c r="BK9" s="228">
        <f>IF(AND(59&gt;=$NR$9,59&lt;=$NS$9),IF($NP$9="Single_Point",IF(59=$NR$9,$NN$9,0),IF($NP$9="Bell_Curve",$NN$9*(59-$NR$9+1)*($NS$9-59+1)/$NU$9,$NN$9/$NT$9)),0)</f>
        <v/>
      </c>
      <c r="BL9" s="228">
        <f>IF(AND(60&gt;=$NR$9,60&lt;=$NS$9),IF($NP$9="Single_Point",IF(60=$NR$9,$NN$9,0),IF($NP$9="Bell_Curve",$NN$9*(60-$NR$9+1)*($NS$9-60+1)/$NU$9,$NN$9/$NT$9)),0)</f>
        <v/>
      </c>
      <c r="BM9" s="228">
        <f>IF(AND(61&gt;=$NR$9,61&lt;=$NS$9),IF($NP$9="Single_Point",IF(61=$NR$9,$NN$9,0),IF($NP$9="Bell_Curve",$NN$9*(61-$NR$9+1)*($NS$9-61+1)/$NU$9,$NN$9/$NT$9)),0)</f>
        <v/>
      </c>
      <c r="BN9" s="228">
        <f>IF(AND(62&gt;=$NR$9,62&lt;=$NS$9),IF($NP$9="Single_Point",IF(62=$NR$9,$NN$9,0),IF($NP$9="Bell_Curve",$NN$9*(62-$NR$9+1)*($NS$9-62+1)/$NU$9,$NN$9/$NT$9)),0)</f>
        <v/>
      </c>
      <c r="BO9" s="228">
        <f>IF(AND(63&gt;=$NR$9,63&lt;=$NS$9),IF($NP$9="Single_Point",IF(63=$NR$9,$NN$9,0),IF($NP$9="Bell_Curve",$NN$9*(63-$NR$9+1)*($NS$9-63+1)/$NU$9,$NN$9/$NT$9)),0)</f>
        <v/>
      </c>
      <c r="BP9" s="228">
        <f>IF(AND(64&gt;=$NR$9,64&lt;=$NS$9),IF($NP$9="Single_Point",IF(64=$NR$9,$NN$9,0),IF($NP$9="Bell_Curve",$NN$9*(64-$NR$9+1)*($NS$9-64+1)/$NU$9,$NN$9/$NT$9)),0)</f>
        <v/>
      </c>
      <c r="BQ9" s="228">
        <f>IF(AND(65&gt;=$NR$9,65&lt;=$NS$9),IF($NP$9="Single_Point",IF(65=$NR$9,$NN$9,0),IF($NP$9="Bell_Curve",$NN$9*(65-$NR$9+1)*($NS$9-65+1)/$NU$9,$NN$9/$NT$9)),0)</f>
        <v/>
      </c>
      <c r="BR9" s="228">
        <f>IF(AND(66&gt;=$NR$9,66&lt;=$NS$9),IF($NP$9="Single_Point",IF(66=$NR$9,$NN$9,0),IF($NP$9="Bell_Curve",$NN$9*(66-$NR$9+1)*($NS$9-66+1)/$NU$9,$NN$9/$NT$9)),0)</f>
        <v/>
      </c>
      <c r="BS9" s="228">
        <f>IF(AND(67&gt;=$NR$9,67&lt;=$NS$9),IF($NP$9="Single_Point",IF(67=$NR$9,$NN$9,0),IF($NP$9="Bell_Curve",$NN$9*(67-$NR$9+1)*($NS$9-67+1)/$NU$9,$NN$9/$NT$9)),0)</f>
        <v/>
      </c>
      <c r="BT9" s="228">
        <f>IF(AND(68&gt;=$NR$9,68&lt;=$NS$9),IF($NP$9="Single_Point",IF(68=$NR$9,$NN$9,0),IF($NP$9="Bell_Curve",$NN$9*(68-$NR$9+1)*($NS$9-68+1)/$NU$9,$NN$9/$NT$9)),0)</f>
        <v/>
      </c>
      <c r="BU9" s="228">
        <f>IF(AND(69&gt;=$NR$9,69&lt;=$NS$9),IF($NP$9="Single_Point",IF(69=$NR$9,$NN$9,0),IF($NP$9="Bell_Curve",$NN$9*(69-$NR$9+1)*($NS$9-69+1)/$NU$9,$NN$9/$NT$9)),0)</f>
        <v/>
      </c>
      <c r="BV9" s="228">
        <f>IF(AND(70&gt;=$NR$9,70&lt;=$NS$9),IF($NP$9="Single_Point",IF(70=$NR$9,$NN$9,0),IF($NP$9="Bell_Curve",$NN$9*(70-$NR$9+1)*($NS$9-70+1)/$NU$9,$NN$9/$NT$9)),0)</f>
        <v/>
      </c>
      <c r="BW9" s="228">
        <f>IF(AND(71&gt;=$NR$9,71&lt;=$NS$9),IF($NP$9="Single_Point",IF(71=$NR$9,$NN$9,0),IF($NP$9="Bell_Curve",$NN$9*(71-$NR$9+1)*($NS$9-71+1)/$NU$9,$NN$9/$NT$9)),0)</f>
        <v/>
      </c>
      <c r="BX9" s="228">
        <f>IF(AND(72&gt;=$NR$9,72&lt;=$NS$9),IF($NP$9="Single_Point",IF(72=$NR$9,$NN$9,0),IF($NP$9="Bell_Curve",$NN$9*(72-$NR$9+1)*($NS$9-72+1)/$NU$9,$NN$9/$NT$9)),0)</f>
        <v/>
      </c>
      <c r="BY9" s="228">
        <f>IF(AND(73&gt;=$NR$9,73&lt;=$NS$9),IF($NP$9="Single_Point",IF(73=$NR$9,$NN$9,0),IF($NP$9="Bell_Curve",$NN$9*(73-$NR$9+1)*($NS$9-73+1)/$NU$9,$NN$9/$NT$9)),0)</f>
        <v/>
      </c>
      <c r="BZ9" s="228">
        <f>IF(AND(74&gt;=$NR$9,74&lt;=$NS$9),IF($NP$9="Single_Point",IF(74=$NR$9,$NN$9,0),IF($NP$9="Bell_Curve",$NN$9*(74-$NR$9+1)*($NS$9-74+1)/$NU$9,$NN$9/$NT$9)),0)</f>
        <v/>
      </c>
      <c r="CA9" s="228">
        <f>IF(AND(75&gt;=$NR$9,75&lt;=$NS$9),IF($NP$9="Single_Point",IF(75=$NR$9,$NN$9,0),IF($NP$9="Bell_Curve",$NN$9*(75-$NR$9+1)*($NS$9-75+1)/$NU$9,$NN$9/$NT$9)),0)</f>
        <v/>
      </c>
      <c r="CB9" s="228">
        <f>IF(AND(76&gt;=$NR$9,76&lt;=$NS$9),IF($NP$9="Single_Point",IF(76=$NR$9,$NN$9,0),IF($NP$9="Bell_Curve",$NN$9*(76-$NR$9+1)*($NS$9-76+1)/$NU$9,$NN$9/$NT$9)),0)</f>
        <v/>
      </c>
      <c r="CC9" s="228">
        <f>IF(AND(77&gt;=$NR$9,77&lt;=$NS$9),IF($NP$9="Single_Point",IF(77=$NR$9,$NN$9,0),IF($NP$9="Bell_Curve",$NN$9*(77-$NR$9+1)*($NS$9-77+1)/$NU$9,$NN$9/$NT$9)),0)</f>
        <v/>
      </c>
      <c r="CD9" s="228">
        <f>IF(AND(78&gt;=$NR$9,78&lt;=$NS$9),IF($NP$9="Single_Point",IF(78=$NR$9,$NN$9,0),IF($NP$9="Bell_Curve",$NN$9*(78-$NR$9+1)*($NS$9-78+1)/$NU$9,$NN$9/$NT$9)),0)</f>
        <v/>
      </c>
      <c r="CE9" s="228">
        <f>IF(AND(79&gt;=$NR$9,79&lt;=$NS$9),IF($NP$9="Single_Point",IF(79=$NR$9,$NN$9,0),IF($NP$9="Bell_Curve",$NN$9*(79-$NR$9+1)*($NS$9-79+1)/$NU$9,$NN$9/$NT$9)),0)</f>
        <v/>
      </c>
      <c r="CF9" s="228">
        <f>IF(AND(80&gt;=$NR$9,80&lt;=$NS$9),IF($NP$9="Single_Point",IF(80=$NR$9,$NN$9,0),IF($NP$9="Bell_Curve",$NN$9*(80-$NR$9+1)*($NS$9-80+1)/$NU$9,$NN$9/$NT$9)),0)</f>
        <v/>
      </c>
      <c r="CG9" s="228">
        <f>IF(AND(81&gt;=$NR$9,81&lt;=$NS$9),IF($NP$9="Single_Point",IF(81=$NR$9,$NN$9,0),IF($NP$9="Bell_Curve",$NN$9*(81-$NR$9+1)*($NS$9-81+1)/$NU$9,$NN$9/$NT$9)),0)</f>
        <v/>
      </c>
      <c r="CH9" s="228">
        <f>IF(AND(82&gt;=$NR$9,82&lt;=$NS$9),IF($NP$9="Single_Point",IF(82=$NR$9,$NN$9,0),IF($NP$9="Bell_Curve",$NN$9*(82-$NR$9+1)*($NS$9-82+1)/$NU$9,$NN$9/$NT$9)),0)</f>
        <v/>
      </c>
      <c r="CI9" s="228">
        <f>IF(AND(83&gt;=$NR$9,83&lt;=$NS$9),IF($NP$9="Single_Point",IF(83=$NR$9,$NN$9,0),IF($NP$9="Bell_Curve",$NN$9*(83-$NR$9+1)*($NS$9-83+1)/$NU$9,$NN$9/$NT$9)),0)</f>
        <v/>
      </c>
      <c r="CJ9" s="228">
        <f>IF(AND(84&gt;=$NR$9,84&lt;=$NS$9),IF($NP$9="Single_Point",IF(84=$NR$9,$NN$9,0),IF($NP$9="Bell_Curve",$NN$9*(84-$NR$9+1)*($NS$9-84+1)/$NU$9,$NN$9/$NT$9)),0)</f>
        <v/>
      </c>
      <c r="CK9" s="228">
        <f>IF(AND(85&gt;=$NR$9,85&lt;=$NS$9),IF($NP$9="Single_Point",IF(85=$NR$9,$NN$9,0),IF($NP$9="Bell_Curve",$NN$9*(85-$NR$9+1)*($NS$9-85+1)/$NU$9,$NN$9/$NT$9)),0)</f>
        <v/>
      </c>
      <c r="CL9" s="228">
        <f>IF(AND(86&gt;=$NR$9,86&lt;=$NS$9),IF($NP$9="Single_Point",IF(86=$NR$9,$NN$9,0),IF($NP$9="Bell_Curve",$NN$9*(86-$NR$9+1)*($NS$9-86+1)/$NU$9,$NN$9/$NT$9)),0)</f>
        <v/>
      </c>
      <c r="CM9" s="228">
        <f>IF(AND(87&gt;=$NR$9,87&lt;=$NS$9),IF($NP$9="Single_Point",IF(87=$NR$9,$NN$9,0),IF($NP$9="Bell_Curve",$NN$9*(87-$NR$9+1)*($NS$9-87+1)/$NU$9,$NN$9/$NT$9)),0)</f>
        <v/>
      </c>
      <c r="CN9" s="228">
        <f>IF(AND(88&gt;=$NR$9,88&lt;=$NS$9),IF($NP$9="Single_Point",IF(88=$NR$9,$NN$9,0),IF($NP$9="Bell_Curve",$NN$9*(88-$NR$9+1)*($NS$9-88+1)/$NU$9,$NN$9/$NT$9)),0)</f>
        <v/>
      </c>
      <c r="CO9" s="228">
        <f>IF(AND(89&gt;=$NR$9,89&lt;=$NS$9),IF($NP$9="Single_Point",IF(89=$NR$9,$NN$9,0),IF($NP$9="Bell_Curve",$NN$9*(89-$NR$9+1)*($NS$9-89+1)/$NU$9,$NN$9/$NT$9)),0)</f>
        <v/>
      </c>
      <c r="CP9" s="228">
        <f>IF(AND(90&gt;=$NR$9,90&lt;=$NS$9),IF($NP$9="Single_Point",IF(90=$NR$9,$NN$9,0),IF($NP$9="Bell_Curve",$NN$9*(90-$NR$9+1)*($NS$9-90+1)/$NU$9,$NN$9/$NT$9)),0)</f>
        <v/>
      </c>
      <c r="CQ9" s="228">
        <f>IF(AND(91&gt;=$NR$9,91&lt;=$NS$9),IF($NP$9="Single_Point",IF(91=$NR$9,$NN$9,0),IF($NP$9="Bell_Curve",$NN$9*(91-$NR$9+1)*($NS$9-91+1)/$NU$9,$NN$9/$NT$9)),0)</f>
        <v/>
      </c>
      <c r="CR9" s="228">
        <f>IF(AND(92&gt;=$NR$9,92&lt;=$NS$9),IF($NP$9="Single_Point",IF(92=$NR$9,$NN$9,0),IF($NP$9="Bell_Curve",$NN$9*(92-$NR$9+1)*($NS$9-92+1)/$NU$9,$NN$9/$NT$9)),0)</f>
        <v/>
      </c>
      <c r="CS9" s="228">
        <f>IF(AND(93&gt;=$NR$9,93&lt;=$NS$9),IF($NP$9="Single_Point",IF(93=$NR$9,$NN$9,0),IF($NP$9="Bell_Curve",$NN$9*(93-$NR$9+1)*($NS$9-93+1)/$NU$9,$NN$9/$NT$9)),0)</f>
        <v/>
      </c>
      <c r="CT9" s="228">
        <f>IF(AND(94&gt;=$NR$9,94&lt;=$NS$9),IF($NP$9="Single_Point",IF(94=$NR$9,$NN$9,0),IF($NP$9="Bell_Curve",$NN$9*(94-$NR$9+1)*($NS$9-94+1)/$NU$9,$NN$9/$NT$9)),0)</f>
        <v/>
      </c>
      <c r="CU9" s="228">
        <f>IF(AND(95&gt;=$NR$9,95&lt;=$NS$9),IF($NP$9="Single_Point",IF(95=$NR$9,$NN$9,0),IF($NP$9="Bell_Curve",$NN$9*(95-$NR$9+1)*($NS$9-95+1)/$NU$9,$NN$9/$NT$9)),0)</f>
        <v/>
      </c>
      <c r="CV9" s="228">
        <f>IF(AND(96&gt;=$NR$9,96&lt;=$NS$9),IF($NP$9="Single_Point",IF(96=$NR$9,$NN$9,0),IF($NP$9="Bell_Curve",$NN$9*(96-$NR$9+1)*($NS$9-96+1)/$NU$9,$NN$9/$NT$9)),0)</f>
        <v/>
      </c>
      <c r="CW9" s="228">
        <f>IF(AND(97&gt;=$NR$9,97&lt;=$NS$9),IF($NP$9="Single_Point",IF(97=$NR$9,$NN$9,0),IF($NP$9="Bell_Curve",$NN$9*(97-$NR$9+1)*($NS$9-97+1)/$NU$9,$NN$9/$NT$9)),0)</f>
        <v/>
      </c>
      <c r="CX9" s="228">
        <f>IF(AND(98&gt;=$NR$9,98&lt;=$NS$9),IF($NP$9="Single_Point",IF(98=$NR$9,$NN$9,0),IF($NP$9="Bell_Curve",$NN$9*(98-$NR$9+1)*($NS$9-98+1)/$NU$9,$NN$9/$NT$9)),0)</f>
        <v/>
      </c>
      <c r="CY9" s="228">
        <f>IF(AND(99&gt;=$NR$9,99&lt;=$NS$9),IF($NP$9="Single_Point",IF(99=$NR$9,$NN$9,0),IF($NP$9="Bell_Curve",$NN$9*(99-$NR$9+1)*($NS$9-99+1)/$NU$9,$NN$9/$NT$9)),0)</f>
        <v/>
      </c>
      <c r="CZ9" s="228">
        <f>IF(AND(100&gt;=$NR$9,100&lt;=$NS$9),IF($NP$9="Single_Point",IF(100=$NR$9,$NN$9,0),IF($NP$9="Bell_Curve",$NN$9*(100-$NR$9+1)*($NS$9-100+1)/$NU$9,$NN$9/$NT$9)),0)</f>
        <v/>
      </c>
      <c r="DA9" s="228">
        <f>IF(AND(101&gt;=$NR$9,101&lt;=$NS$9),IF($NP$9="Single_Point",IF(101=$NR$9,$NN$9,0),IF($NP$9="Bell_Curve",$NN$9*(101-$NR$9+1)*($NS$9-101+1)/$NU$9,$NN$9/$NT$9)),0)</f>
        <v/>
      </c>
      <c r="DB9" s="228">
        <f>IF(AND(102&gt;=$NR$9,102&lt;=$NS$9),IF($NP$9="Single_Point",IF(102=$NR$9,$NN$9,0),IF($NP$9="Bell_Curve",$NN$9*(102-$NR$9+1)*($NS$9-102+1)/$NU$9,$NN$9/$NT$9)),0)</f>
        <v/>
      </c>
      <c r="DC9" s="228">
        <f>IF(AND(103&gt;=$NR$9,103&lt;=$NS$9),IF($NP$9="Single_Point",IF(103=$NR$9,$NN$9,0),IF($NP$9="Bell_Curve",$NN$9*(103-$NR$9+1)*($NS$9-103+1)/$NU$9,$NN$9/$NT$9)),0)</f>
        <v/>
      </c>
      <c r="DD9" s="228">
        <f>IF(AND(104&gt;=$NR$9,104&lt;=$NS$9),IF($NP$9="Single_Point",IF(104=$NR$9,$NN$9,0),IF($NP$9="Bell_Curve",$NN$9*(104-$NR$9+1)*($NS$9-104+1)/$NU$9,$NN$9/$NT$9)),0)</f>
        <v/>
      </c>
      <c r="DE9" s="228">
        <f>IF(AND(105&gt;=$NR$9,105&lt;=$NS$9),IF($NP$9="Single_Point",IF(105=$NR$9,$NN$9,0),IF($NP$9="Bell_Curve",$NN$9*(105-$NR$9+1)*($NS$9-105+1)/$NU$9,$NN$9/$NT$9)),0)</f>
        <v/>
      </c>
      <c r="DF9" s="228">
        <f>IF(AND(106&gt;=$NR$9,106&lt;=$NS$9),IF($NP$9="Single_Point",IF(106=$NR$9,$NN$9,0),IF($NP$9="Bell_Curve",$NN$9*(106-$NR$9+1)*($NS$9-106+1)/$NU$9,$NN$9/$NT$9)),0)</f>
        <v/>
      </c>
      <c r="DG9" s="228">
        <f>IF(AND(107&gt;=$NR$9,107&lt;=$NS$9),IF($NP$9="Single_Point",IF(107=$NR$9,$NN$9,0),IF($NP$9="Bell_Curve",$NN$9*(107-$NR$9+1)*($NS$9-107+1)/$NU$9,$NN$9/$NT$9)),0)</f>
        <v/>
      </c>
      <c r="DH9" s="228">
        <f>IF(AND(108&gt;=$NR$9,108&lt;=$NS$9),IF($NP$9="Single_Point",IF(108=$NR$9,$NN$9,0),IF($NP$9="Bell_Curve",$NN$9*(108-$NR$9+1)*($NS$9-108+1)/$NU$9,$NN$9/$NT$9)),0)</f>
        <v/>
      </c>
      <c r="DI9" s="228">
        <f>IF(AND(109&gt;=$NR$9,109&lt;=$NS$9),IF($NP$9="Single_Point",IF(109=$NR$9,$NN$9,0),IF($NP$9="Bell_Curve",$NN$9*(109-$NR$9+1)*($NS$9-109+1)/$NU$9,$NN$9/$NT$9)),0)</f>
        <v/>
      </c>
      <c r="DJ9" s="228">
        <f>IF(AND(110&gt;=$NR$9,110&lt;=$NS$9),IF($NP$9="Single_Point",IF(110=$NR$9,$NN$9,0),IF($NP$9="Bell_Curve",$NN$9*(110-$NR$9+1)*($NS$9-110+1)/$NU$9,$NN$9/$NT$9)),0)</f>
        <v/>
      </c>
      <c r="DK9" s="228">
        <f>IF(AND(111&gt;=$NR$9,111&lt;=$NS$9),IF($NP$9="Single_Point",IF(111=$NR$9,$NN$9,0),IF($NP$9="Bell_Curve",$NN$9*(111-$NR$9+1)*($NS$9-111+1)/$NU$9,$NN$9/$NT$9)),0)</f>
        <v/>
      </c>
      <c r="DL9" s="228">
        <f>IF(AND(112&gt;=$NR$9,112&lt;=$NS$9),IF($NP$9="Single_Point",IF(112=$NR$9,$NN$9,0),IF($NP$9="Bell_Curve",$NN$9*(112-$NR$9+1)*($NS$9-112+1)/$NU$9,$NN$9/$NT$9)),0)</f>
        <v/>
      </c>
      <c r="DM9" s="228">
        <f>IF(AND(113&gt;=$NR$9,113&lt;=$NS$9),IF($NP$9="Single_Point",IF(113=$NR$9,$NN$9,0),IF($NP$9="Bell_Curve",$NN$9*(113-$NR$9+1)*($NS$9-113+1)/$NU$9,$NN$9/$NT$9)),0)</f>
        <v/>
      </c>
      <c r="DN9" s="228">
        <f>IF(AND(114&gt;=$NR$9,114&lt;=$NS$9),IF($NP$9="Single_Point",IF(114=$NR$9,$NN$9,0),IF($NP$9="Bell_Curve",$NN$9*(114-$NR$9+1)*($NS$9-114+1)/$NU$9,$NN$9/$NT$9)),0)</f>
        <v/>
      </c>
      <c r="DO9" s="228">
        <f>IF(AND(115&gt;=$NR$9,115&lt;=$NS$9),IF($NP$9="Single_Point",IF(115=$NR$9,$NN$9,0),IF($NP$9="Bell_Curve",$NN$9*(115-$NR$9+1)*($NS$9-115+1)/$NU$9,$NN$9/$NT$9)),0)</f>
        <v/>
      </c>
      <c r="DP9" s="228">
        <f>IF(AND(116&gt;=$NR$9,116&lt;=$NS$9),IF($NP$9="Single_Point",IF(116=$NR$9,$NN$9,0),IF($NP$9="Bell_Curve",$NN$9*(116-$NR$9+1)*($NS$9-116+1)/$NU$9,$NN$9/$NT$9)),0)</f>
        <v/>
      </c>
      <c r="DQ9" s="228">
        <f>IF(AND(117&gt;=$NR$9,117&lt;=$NS$9),IF($NP$9="Single_Point",IF(117=$NR$9,$NN$9,0),IF($NP$9="Bell_Curve",$NN$9*(117-$NR$9+1)*($NS$9-117+1)/$NU$9,$NN$9/$NT$9)),0)</f>
        <v/>
      </c>
      <c r="DR9" s="228">
        <f>IF(AND(118&gt;=$NR$9,118&lt;=$NS$9),IF($NP$9="Single_Point",IF(118=$NR$9,$NN$9,0),IF($NP$9="Bell_Curve",$NN$9*(118-$NR$9+1)*($NS$9-118+1)/$NU$9,$NN$9/$NT$9)),0)</f>
        <v/>
      </c>
      <c r="DS9" s="228">
        <f>IF(AND(119&gt;=$NR$9,119&lt;=$NS$9),IF($NP$9="Single_Point",IF(119=$NR$9,$NN$9,0),IF($NP$9="Bell_Curve",$NN$9*(119-$NR$9+1)*($NS$9-119+1)/$NU$9,$NN$9/$NT$9)),0)</f>
        <v/>
      </c>
      <c r="DT9" s="228">
        <f>IF(AND(120&gt;=$NR$9,120&lt;=$NS$9),IF($NP$9="Single_Point",IF(120=$NR$9,$NN$9,0),IF($NP$9="Bell_Curve",$NN$9*(120-$NR$9+1)*($NS$9-120+1)/$NU$9,$NN$9/$NT$9)),0)</f>
        <v/>
      </c>
      <c r="DU9" s="228">
        <f>IF(AND(121&gt;=$NR$9,121&lt;=$NS$9),IF($NP$9="Single_Point",IF(121=$NR$9,$NN$9,0),IF($NP$9="Bell_Curve",$NN$9*(121-$NR$9+1)*($NS$9-121+1)/$NU$9,$NN$9/$NT$9)),0)</f>
        <v/>
      </c>
      <c r="DV9" s="228">
        <f>IF(AND(122&gt;=$NR$9,122&lt;=$NS$9),IF($NP$9="Single_Point",IF(122=$NR$9,$NN$9,0),IF($NP$9="Bell_Curve",$NN$9*(122-$NR$9+1)*($NS$9-122+1)/$NU$9,$NN$9/$NT$9)),0)</f>
        <v/>
      </c>
      <c r="DW9" s="228">
        <f>IF(AND(123&gt;=$NR$9,123&lt;=$NS$9),IF($NP$9="Single_Point",IF(123=$NR$9,$NN$9,0),IF($NP$9="Bell_Curve",$NN$9*(123-$NR$9+1)*($NS$9-123+1)/$NU$9,$NN$9/$NT$9)),0)</f>
        <v/>
      </c>
      <c r="DX9" s="228">
        <f>IF(AND(124&gt;=$NR$9,124&lt;=$NS$9),IF($NP$9="Single_Point",IF(124=$NR$9,$NN$9,0),IF($NP$9="Bell_Curve",$NN$9*(124-$NR$9+1)*($NS$9-124+1)/$NU$9,$NN$9/$NT$9)),0)</f>
        <v/>
      </c>
      <c r="DY9" s="228">
        <f>IF(AND(125&gt;=$NR$9,125&lt;=$NS$9),IF($NP$9="Single_Point",IF(125=$NR$9,$NN$9,0),IF($NP$9="Bell_Curve",$NN$9*(125-$NR$9+1)*($NS$9-125+1)/$NU$9,$NN$9/$NT$9)),0)</f>
        <v/>
      </c>
      <c r="DZ9" s="228">
        <f>IF(AND(126&gt;=$NR$9,126&lt;=$NS$9),IF($NP$9="Single_Point",IF(126=$NR$9,$NN$9,0),IF($NP$9="Bell_Curve",$NN$9*(126-$NR$9+1)*($NS$9-126+1)/$NU$9,$NN$9/$NT$9)),0)</f>
        <v/>
      </c>
      <c r="EA9" s="228">
        <f>IF(AND(127&gt;=$NR$9,127&lt;=$NS$9),IF($NP$9="Single_Point",IF(127=$NR$9,$NN$9,0),IF($NP$9="Bell_Curve",$NN$9*(127-$NR$9+1)*($NS$9-127+1)/$NU$9,$NN$9/$NT$9)),0)</f>
        <v/>
      </c>
      <c r="EB9" s="228">
        <f>IF(AND(128&gt;=$NR$9,128&lt;=$NS$9),IF($NP$9="Single_Point",IF(128=$NR$9,$NN$9,0),IF($NP$9="Bell_Curve",$NN$9*(128-$NR$9+1)*($NS$9-128+1)/$NU$9,$NN$9/$NT$9)),0)</f>
        <v/>
      </c>
      <c r="EC9" s="228">
        <f>IF(AND(129&gt;=$NR$9,129&lt;=$NS$9),IF($NP$9="Single_Point",IF(129=$NR$9,$NN$9,0),IF($NP$9="Bell_Curve",$NN$9*(129-$NR$9+1)*($NS$9-129+1)/$NU$9,$NN$9/$NT$9)),0)</f>
        <v/>
      </c>
      <c r="ED9" s="228">
        <f>IF(AND(130&gt;=$NR$9,130&lt;=$NS$9),IF($NP$9="Single_Point",IF(130=$NR$9,$NN$9,0),IF($NP$9="Bell_Curve",$NN$9*(130-$NR$9+1)*($NS$9-130+1)/$NU$9,$NN$9/$NT$9)),0)</f>
        <v/>
      </c>
      <c r="EE9" s="228">
        <f>IF(AND(131&gt;=$NR$9,131&lt;=$NS$9),IF($NP$9="Single_Point",IF(131=$NR$9,$NN$9,0),IF($NP$9="Bell_Curve",$NN$9*(131-$NR$9+1)*($NS$9-131+1)/$NU$9,$NN$9/$NT$9)),0)</f>
        <v/>
      </c>
      <c r="EF9" s="228">
        <f>IF(AND(132&gt;=$NR$9,132&lt;=$NS$9),IF($NP$9="Single_Point",IF(132=$NR$9,$NN$9,0),IF($NP$9="Bell_Curve",$NN$9*(132-$NR$9+1)*($NS$9-132+1)/$NU$9,$NN$9/$NT$9)),0)</f>
        <v/>
      </c>
      <c r="EG9" s="228">
        <f>IF(AND(133&gt;=$NR$9,133&lt;=$NS$9),IF($NP$9="Single_Point",IF(133=$NR$9,$NN$9,0),IF($NP$9="Bell_Curve",$NN$9*(133-$NR$9+1)*($NS$9-133+1)/$NU$9,$NN$9/$NT$9)),0)</f>
        <v/>
      </c>
      <c r="EH9" s="228">
        <f>IF(AND(134&gt;=$NR$9,134&lt;=$NS$9),IF($NP$9="Single_Point",IF(134=$NR$9,$NN$9,0),IF($NP$9="Bell_Curve",$NN$9*(134-$NR$9+1)*($NS$9-134+1)/$NU$9,$NN$9/$NT$9)),0)</f>
        <v/>
      </c>
      <c r="EI9" s="228">
        <f>IF(AND(135&gt;=$NR$9,135&lt;=$NS$9),IF($NP$9="Single_Point",IF(135=$NR$9,$NN$9,0),IF($NP$9="Bell_Curve",$NN$9*(135-$NR$9+1)*($NS$9-135+1)/$NU$9,$NN$9/$NT$9)),0)</f>
        <v/>
      </c>
      <c r="EJ9" s="228">
        <f>IF(AND(136&gt;=$NR$9,136&lt;=$NS$9),IF($NP$9="Single_Point",IF(136=$NR$9,$NN$9,0),IF($NP$9="Bell_Curve",$NN$9*(136-$NR$9+1)*($NS$9-136+1)/$NU$9,$NN$9/$NT$9)),0)</f>
        <v/>
      </c>
      <c r="EK9" s="228">
        <f>IF(AND(137&gt;=$NR$9,137&lt;=$NS$9),IF($NP$9="Single_Point",IF(137=$NR$9,$NN$9,0),IF($NP$9="Bell_Curve",$NN$9*(137-$NR$9+1)*($NS$9-137+1)/$NU$9,$NN$9/$NT$9)),0)</f>
        <v/>
      </c>
      <c r="EL9" s="228">
        <f>IF(AND(138&gt;=$NR$9,138&lt;=$NS$9),IF($NP$9="Single_Point",IF(138=$NR$9,$NN$9,0),IF($NP$9="Bell_Curve",$NN$9*(138-$NR$9+1)*($NS$9-138+1)/$NU$9,$NN$9/$NT$9)),0)</f>
        <v/>
      </c>
      <c r="EM9" s="228">
        <f>IF(AND(139&gt;=$NR$9,139&lt;=$NS$9),IF($NP$9="Single_Point",IF(139=$NR$9,$NN$9,0),IF($NP$9="Bell_Curve",$NN$9*(139-$NR$9+1)*($NS$9-139+1)/$NU$9,$NN$9/$NT$9)),0)</f>
        <v/>
      </c>
      <c r="EN9" s="228">
        <f>IF(AND(140&gt;=$NR$9,140&lt;=$NS$9),IF($NP$9="Single_Point",IF(140=$NR$9,$NN$9,0),IF($NP$9="Bell_Curve",$NN$9*(140-$NR$9+1)*($NS$9-140+1)/$NU$9,$NN$9/$NT$9)),0)</f>
        <v/>
      </c>
      <c r="EO9" s="228">
        <f>IF(AND(141&gt;=$NR$9,141&lt;=$NS$9),IF($NP$9="Single_Point",IF(141=$NR$9,$NN$9,0),IF($NP$9="Bell_Curve",$NN$9*(141-$NR$9+1)*($NS$9-141+1)/$NU$9,$NN$9/$NT$9)),0)</f>
        <v/>
      </c>
      <c r="EP9" s="228">
        <f>IF(AND(142&gt;=$NR$9,142&lt;=$NS$9),IF($NP$9="Single_Point",IF(142=$NR$9,$NN$9,0),IF($NP$9="Bell_Curve",$NN$9*(142-$NR$9+1)*($NS$9-142+1)/$NU$9,$NN$9/$NT$9)),0)</f>
        <v/>
      </c>
      <c r="EQ9" s="228">
        <f>IF(AND(143&gt;=$NR$9,143&lt;=$NS$9),IF($NP$9="Single_Point",IF(143=$NR$9,$NN$9,0),IF($NP$9="Bell_Curve",$NN$9*(143-$NR$9+1)*($NS$9-143+1)/$NU$9,$NN$9/$NT$9)),0)</f>
        <v/>
      </c>
      <c r="ER9" s="228">
        <f>IF(AND(144&gt;=$NR$9,144&lt;=$NS$9),IF($NP$9="Single_Point",IF(144=$NR$9,$NN$9,0),IF($NP$9="Bell_Curve",$NN$9*(144-$NR$9+1)*($NS$9-144+1)/$NU$9,$NN$9/$NT$9)),0)</f>
        <v/>
      </c>
      <c r="ES9" s="228">
        <f>IF(AND(145&gt;=$NR$9,145&lt;=$NS$9),IF($NP$9="Single_Point",IF(145=$NR$9,$NN$9,0),IF($NP$9="Bell_Curve",$NN$9*(145-$NR$9+1)*($NS$9-145+1)/$NU$9,$NN$9/$NT$9)),0)</f>
        <v/>
      </c>
      <c r="ET9" s="228">
        <f>IF(AND(146&gt;=$NR$9,146&lt;=$NS$9),IF($NP$9="Single_Point",IF(146=$NR$9,$NN$9,0),IF($NP$9="Bell_Curve",$NN$9*(146-$NR$9+1)*($NS$9-146+1)/$NU$9,$NN$9/$NT$9)),0)</f>
        <v/>
      </c>
      <c r="EU9" s="228">
        <f>IF(AND(147&gt;=$NR$9,147&lt;=$NS$9),IF($NP$9="Single_Point",IF(147=$NR$9,$NN$9,0),IF($NP$9="Bell_Curve",$NN$9*(147-$NR$9+1)*($NS$9-147+1)/$NU$9,$NN$9/$NT$9)),0)</f>
        <v/>
      </c>
      <c r="EV9" s="228">
        <f>IF(AND(148&gt;=$NR$9,148&lt;=$NS$9),IF($NP$9="Single_Point",IF(148=$NR$9,$NN$9,0),IF($NP$9="Bell_Curve",$NN$9*(148-$NR$9+1)*($NS$9-148+1)/$NU$9,$NN$9/$NT$9)),0)</f>
        <v/>
      </c>
      <c r="EW9" s="228">
        <f>IF(AND(149&gt;=$NR$9,149&lt;=$NS$9),IF($NP$9="Single_Point",IF(149=$NR$9,$NN$9,0),IF($NP$9="Bell_Curve",$NN$9*(149-$NR$9+1)*($NS$9-149+1)/$NU$9,$NN$9/$NT$9)),0)</f>
        <v/>
      </c>
      <c r="EX9" s="228">
        <f>IF(AND(150&gt;=$NR$9,150&lt;=$NS$9),IF($NP$9="Single_Point",IF(150=$NR$9,$NN$9,0),IF($NP$9="Bell_Curve",$NN$9*(150-$NR$9+1)*($NS$9-150+1)/$NU$9,$NN$9/$NT$9)),0)</f>
        <v/>
      </c>
      <c r="EY9" s="228">
        <f>IF(AND(151&gt;=$NR$9,151&lt;=$NS$9),IF($NP$9="Single_Point",IF(151=$NR$9,$NN$9,0),IF($NP$9="Bell_Curve",$NN$9*(151-$NR$9+1)*($NS$9-151+1)/$NU$9,$NN$9/$NT$9)),0)</f>
        <v/>
      </c>
      <c r="EZ9" s="228">
        <f>IF(AND(152&gt;=$NR$9,152&lt;=$NS$9),IF($NP$9="Single_Point",IF(152=$NR$9,$NN$9,0),IF($NP$9="Bell_Curve",$NN$9*(152-$NR$9+1)*($NS$9-152+1)/$NU$9,$NN$9/$NT$9)),0)</f>
        <v/>
      </c>
      <c r="FA9" s="228">
        <f>IF(AND(153&gt;=$NR$9,153&lt;=$NS$9),IF($NP$9="Single_Point",IF(153=$NR$9,$NN$9,0),IF($NP$9="Bell_Curve",$NN$9*(153-$NR$9+1)*($NS$9-153+1)/$NU$9,$NN$9/$NT$9)),0)</f>
        <v/>
      </c>
      <c r="FB9" s="228">
        <f>IF(AND(154&gt;=$NR$9,154&lt;=$NS$9),IF($NP$9="Single_Point",IF(154=$NR$9,$NN$9,0),IF($NP$9="Bell_Curve",$NN$9*(154-$NR$9+1)*($NS$9-154+1)/$NU$9,$NN$9/$NT$9)),0)</f>
        <v/>
      </c>
      <c r="FC9" s="228">
        <f>IF(AND(155&gt;=$NR$9,155&lt;=$NS$9),IF($NP$9="Single_Point",IF(155=$NR$9,$NN$9,0),IF($NP$9="Bell_Curve",$NN$9*(155-$NR$9+1)*($NS$9-155+1)/$NU$9,$NN$9/$NT$9)),0)</f>
        <v/>
      </c>
      <c r="FD9" s="228">
        <f>IF(AND(156&gt;=$NR$9,156&lt;=$NS$9),IF($NP$9="Single_Point",IF(156=$NR$9,$NN$9,0),IF($NP$9="Bell_Curve",$NN$9*(156-$NR$9+1)*($NS$9-156+1)/$NU$9,$NN$9/$NT$9)),0)</f>
        <v/>
      </c>
      <c r="FE9" s="228">
        <f>IF(AND(157&gt;=$NR$9,157&lt;=$NS$9),IF($NP$9="Single_Point",IF(157=$NR$9,$NN$9,0),IF($NP$9="Bell_Curve",$NN$9*(157-$NR$9+1)*($NS$9-157+1)/$NU$9,$NN$9/$NT$9)),0)</f>
        <v/>
      </c>
      <c r="FF9" s="228">
        <f>IF(AND(158&gt;=$NR$9,158&lt;=$NS$9),IF($NP$9="Single_Point",IF(158=$NR$9,$NN$9,0),IF($NP$9="Bell_Curve",$NN$9*(158-$NR$9+1)*($NS$9-158+1)/$NU$9,$NN$9/$NT$9)),0)</f>
        <v/>
      </c>
      <c r="FG9" s="228">
        <f>IF(AND(159&gt;=$NR$9,159&lt;=$NS$9),IF($NP$9="Single_Point",IF(159=$NR$9,$NN$9,0),IF($NP$9="Bell_Curve",$NN$9*(159-$NR$9+1)*($NS$9-159+1)/$NU$9,$NN$9/$NT$9)),0)</f>
        <v/>
      </c>
      <c r="FH9" s="228">
        <f>IF(AND(160&gt;=$NR$9,160&lt;=$NS$9),IF($NP$9="Single_Point",IF(160=$NR$9,$NN$9,0),IF($NP$9="Bell_Curve",$NN$9*(160-$NR$9+1)*($NS$9-160+1)/$NU$9,$NN$9/$NT$9)),0)</f>
        <v/>
      </c>
      <c r="FI9" s="228">
        <f>IF(AND(161&gt;=$NR$9,161&lt;=$NS$9),IF($NP$9="Single_Point",IF(161=$NR$9,$NN$9,0),IF($NP$9="Bell_Curve",$NN$9*(161-$NR$9+1)*($NS$9-161+1)/$NU$9,$NN$9/$NT$9)),0)</f>
        <v/>
      </c>
      <c r="FJ9" s="228">
        <f>IF(AND(162&gt;=$NR$9,162&lt;=$NS$9),IF($NP$9="Single_Point",IF(162=$NR$9,$NN$9,0),IF($NP$9="Bell_Curve",$NN$9*(162-$NR$9+1)*($NS$9-162+1)/$NU$9,$NN$9/$NT$9)),0)</f>
        <v/>
      </c>
      <c r="FK9" s="228">
        <f>IF(AND(163&gt;=$NR$9,163&lt;=$NS$9),IF($NP$9="Single_Point",IF(163=$NR$9,$NN$9,0),IF($NP$9="Bell_Curve",$NN$9*(163-$NR$9+1)*($NS$9-163+1)/$NU$9,$NN$9/$NT$9)),0)</f>
        <v/>
      </c>
      <c r="FL9" s="228">
        <f>IF(AND(164&gt;=$NR$9,164&lt;=$NS$9),IF($NP$9="Single_Point",IF(164=$NR$9,$NN$9,0),IF($NP$9="Bell_Curve",$NN$9*(164-$NR$9+1)*($NS$9-164+1)/$NU$9,$NN$9/$NT$9)),0)</f>
        <v/>
      </c>
      <c r="FM9" s="228">
        <f>IF(AND(165&gt;=$NR$9,165&lt;=$NS$9),IF($NP$9="Single_Point",IF(165=$NR$9,$NN$9,0),IF($NP$9="Bell_Curve",$NN$9*(165-$NR$9+1)*($NS$9-165+1)/$NU$9,$NN$9/$NT$9)),0)</f>
        <v/>
      </c>
      <c r="FN9" s="228">
        <f>IF(AND(166&gt;=$NR$9,166&lt;=$NS$9),IF($NP$9="Single_Point",IF(166=$NR$9,$NN$9,0),IF($NP$9="Bell_Curve",$NN$9*(166-$NR$9+1)*($NS$9-166+1)/$NU$9,$NN$9/$NT$9)),0)</f>
        <v/>
      </c>
      <c r="FO9" s="228">
        <f>IF(AND(167&gt;=$NR$9,167&lt;=$NS$9),IF($NP$9="Single_Point",IF(167=$NR$9,$NN$9,0),IF($NP$9="Bell_Curve",$NN$9*(167-$NR$9+1)*($NS$9-167+1)/$NU$9,$NN$9/$NT$9)),0)</f>
        <v/>
      </c>
      <c r="FP9" s="228">
        <f>IF(AND(168&gt;=$NR$9,168&lt;=$NS$9),IF($NP$9="Single_Point",IF(168=$NR$9,$NN$9,0),IF($NP$9="Bell_Curve",$NN$9*(168-$NR$9+1)*($NS$9-168+1)/$NU$9,$NN$9/$NT$9)),0)</f>
        <v/>
      </c>
      <c r="FQ9" s="228">
        <f>IF(AND(169&gt;=$NR$9,169&lt;=$NS$9),IF($NP$9="Single_Point",IF(169=$NR$9,$NN$9,0),IF($NP$9="Bell_Curve",$NN$9*(169-$NR$9+1)*($NS$9-169+1)/$NU$9,$NN$9/$NT$9)),0)</f>
        <v/>
      </c>
      <c r="FR9" s="228">
        <f>IF(AND(170&gt;=$NR$9,170&lt;=$NS$9),IF($NP$9="Single_Point",IF(170=$NR$9,$NN$9,0),IF($NP$9="Bell_Curve",$NN$9*(170-$NR$9+1)*($NS$9-170+1)/$NU$9,$NN$9/$NT$9)),0)</f>
        <v/>
      </c>
      <c r="FS9" s="228">
        <f>IF(AND(171&gt;=$NR$9,171&lt;=$NS$9),IF($NP$9="Single_Point",IF(171=$NR$9,$NN$9,0),IF($NP$9="Bell_Curve",$NN$9*(171-$NR$9+1)*($NS$9-171+1)/$NU$9,$NN$9/$NT$9)),0)</f>
        <v/>
      </c>
      <c r="FT9" s="228">
        <f>IF(AND(172&gt;=$NR$9,172&lt;=$NS$9),IF($NP$9="Single_Point",IF(172=$NR$9,$NN$9,0),IF($NP$9="Bell_Curve",$NN$9*(172-$NR$9+1)*($NS$9-172+1)/$NU$9,$NN$9/$NT$9)),0)</f>
        <v/>
      </c>
      <c r="FU9" s="228">
        <f>IF(AND(173&gt;=$NR$9,173&lt;=$NS$9),IF($NP$9="Single_Point",IF(173=$NR$9,$NN$9,0),IF($NP$9="Bell_Curve",$NN$9*(173-$NR$9+1)*($NS$9-173+1)/$NU$9,$NN$9/$NT$9)),0)</f>
        <v/>
      </c>
      <c r="FV9" s="228">
        <f>IF(AND(174&gt;=$NR$9,174&lt;=$NS$9),IF($NP$9="Single_Point",IF(174=$NR$9,$NN$9,0),IF($NP$9="Bell_Curve",$NN$9*(174-$NR$9+1)*($NS$9-174+1)/$NU$9,$NN$9/$NT$9)),0)</f>
        <v/>
      </c>
      <c r="FW9" s="228">
        <f>IF(AND(175&gt;=$NR$9,175&lt;=$NS$9),IF($NP$9="Single_Point",IF(175=$NR$9,$NN$9,0),IF($NP$9="Bell_Curve",$NN$9*(175-$NR$9+1)*($NS$9-175+1)/$NU$9,$NN$9/$NT$9)),0)</f>
        <v/>
      </c>
      <c r="FX9" s="228">
        <f>IF(AND(176&gt;=$NR$9,176&lt;=$NS$9),IF($NP$9="Single_Point",IF(176=$NR$9,$NN$9,0),IF($NP$9="Bell_Curve",$NN$9*(176-$NR$9+1)*($NS$9-176+1)/$NU$9,$NN$9/$NT$9)),0)</f>
        <v/>
      </c>
      <c r="FY9" s="228">
        <f>IF(AND(177&gt;=$NR$9,177&lt;=$NS$9),IF($NP$9="Single_Point",IF(177=$NR$9,$NN$9,0),IF($NP$9="Bell_Curve",$NN$9*(177-$NR$9+1)*($NS$9-177+1)/$NU$9,$NN$9/$NT$9)),0)</f>
        <v/>
      </c>
      <c r="FZ9" s="228">
        <f>IF(AND(178&gt;=$NR$9,178&lt;=$NS$9),IF($NP$9="Single_Point",IF(178=$NR$9,$NN$9,0),IF($NP$9="Bell_Curve",$NN$9*(178-$NR$9+1)*($NS$9-178+1)/$NU$9,$NN$9/$NT$9)),0)</f>
        <v/>
      </c>
      <c r="GA9" s="228">
        <f>IF(AND(179&gt;=$NR$9,179&lt;=$NS$9),IF($NP$9="Single_Point",IF(179=$NR$9,$NN$9,0),IF($NP$9="Bell_Curve",$NN$9*(179-$NR$9+1)*($NS$9-179+1)/$NU$9,$NN$9/$NT$9)),0)</f>
        <v/>
      </c>
      <c r="GB9" s="228">
        <f>IF(AND(180&gt;=$NR$9,180&lt;=$NS$9),IF($NP$9="Single_Point",IF(180=$NR$9,$NN$9,0),IF($NP$9="Bell_Curve",$NN$9*(180-$NR$9+1)*($NS$9-180+1)/$NU$9,$NN$9/$NT$9)),0)</f>
        <v/>
      </c>
      <c r="GC9" s="228">
        <f>IF(AND(181&gt;=$NR$9,181&lt;=$NS$9),IF($NP$9="Single_Point",IF(181=$NR$9,$NN$9,0),IF($NP$9="Bell_Curve",$NN$9*(181-$NR$9+1)*($NS$9-181+1)/$NU$9,$NN$9/$NT$9)),0)</f>
        <v/>
      </c>
      <c r="GD9" s="228">
        <f>IF(AND(182&gt;=$NR$9,182&lt;=$NS$9),IF($NP$9="Single_Point",IF(182=$NR$9,$NN$9,0),IF($NP$9="Bell_Curve",$NN$9*(182-$NR$9+1)*($NS$9-182+1)/$NU$9,$NN$9/$NT$9)),0)</f>
        <v/>
      </c>
      <c r="GE9" s="228">
        <f>IF(AND(183&gt;=$NR$9,183&lt;=$NS$9),IF($NP$9="Single_Point",IF(183=$NR$9,$NN$9,0),IF($NP$9="Bell_Curve",$NN$9*(183-$NR$9+1)*($NS$9-183+1)/$NU$9,$NN$9/$NT$9)),0)</f>
        <v/>
      </c>
      <c r="GF9" s="228">
        <f>IF(AND(184&gt;=$NR$9,184&lt;=$NS$9),IF($NP$9="Single_Point",IF(184=$NR$9,$NN$9,0),IF($NP$9="Bell_Curve",$NN$9*(184-$NR$9+1)*($NS$9-184+1)/$NU$9,$NN$9/$NT$9)),0)</f>
        <v/>
      </c>
      <c r="GG9" s="228">
        <f>IF(AND(185&gt;=$NR$9,185&lt;=$NS$9),IF($NP$9="Single_Point",IF(185=$NR$9,$NN$9,0),IF($NP$9="Bell_Curve",$NN$9*(185-$NR$9+1)*($NS$9-185+1)/$NU$9,$NN$9/$NT$9)),0)</f>
        <v/>
      </c>
      <c r="GH9" s="228">
        <f>IF(AND(186&gt;=$NR$9,186&lt;=$NS$9),IF($NP$9="Single_Point",IF(186=$NR$9,$NN$9,0),IF($NP$9="Bell_Curve",$NN$9*(186-$NR$9+1)*($NS$9-186+1)/$NU$9,$NN$9/$NT$9)),0)</f>
        <v/>
      </c>
      <c r="GI9" s="228">
        <f>IF(AND(187&gt;=$NR$9,187&lt;=$NS$9),IF($NP$9="Single_Point",IF(187=$NR$9,$NN$9,0),IF($NP$9="Bell_Curve",$NN$9*(187-$NR$9+1)*($NS$9-187+1)/$NU$9,$NN$9/$NT$9)),0)</f>
        <v/>
      </c>
      <c r="GJ9" s="228">
        <f>IF(AND(188&gt;=$NR$9,188&lt;=$NS$9),IF($NP$9="Single_Point",IF(188=$NR$9,$NN$9,0),IF($NP$9="Bell_Curve",$NN$9*(188-$NR$9+1)*($NS$9-188+1)/$NU$9,$NN$9/$NT$9)),0)</f>
        <v/>
      </c>
      <c r="GK9" s="228">
        <f>IF(AND(189&gt;=$NR$9,189&lt;=$NS$9),IF($NP$9="Single_Point",IF(189=$NR$9,$NN$9,0),IF($NP$9="Bell_Curve",$NN$9*(189-$NR$9+1)*($NS$9-189+1)/$NU$9,$NN$9/$NT$9)),0)</f>
        <v/>
      </c>
      <c r="GL9" s="228">
        <f>IF(AND(190&gt;=$NR$9,190&lt;=$NS$9),IF($NP$9="Single_Point",IF(190=$NR$9,$NN$9,0),IF($NP$9="Bell_Curve",$NN$9*(190-$NR$9+1)*($NS$9-190+1)/$NU$9,$NN$9/$NT$9)),0)</f>
        <v/>
      </c>
      <c r="GM9" s="228">
        <f>IF(AND(191&gt;=$NR$9,191&lt;=$NS$9),IF($NP$9="Single_Point",IF(191=$NR$9,$NN$9,0),IF($NP$9="Bell_Curve",$NN$9*(191-$NR$9+1)*($NS$9-191+1)/$NU$9,$NN$9/$NT$9)),0)</f>
        <v/>
      </c>
      <c r="GN9" s="228">
        <f>IF(AND(192&gt;=$NR$9,192&lt;=$NS$9),IF($NP$9="Single_Point",IF(192=$NR$9,$NN$9,0),IF($NP$9="Bell_Curve",$NN$9*(192-$NR$9+1)*($NS$9-192+1)/$NU$9,$NN$9/$NT$9)),0)</f>
        <v/>
      </c>
      <c r="GO9" s="228">
        <f>IF(AND(193&gt;=$NR$9,193&lt;=$NS$9),IF($NP$9="Single_Point",IF(193=$NR$9,$NN$9,0),IF($NP$9="Bell_Curve",$NN$9*(193-$NR$9+1)*($NS$9-193+1)/$NU$9,$NN$9/$NT$9)),0)</f>
        <v/>
      </c>
      <c r="GP9" s="228">
        <f>IF(AND(194&gt;=$NR$9,194&lt;=$NS$9),IF($NP$9="Single_Point",IF(194=$NR$9,$NN$9,0),IF($NP$9="Bell_Curve",$NN$9*(194-$NR$9+1)*($NS$9-194+1)/$NU$9,$NN$9/$NT$9)),0)</f>
        <v/>
      </c>
      <c r="GQ9" s="228">
        <f>IF(AND(195&gt;=$NR$9,195&lt;=$NS$9),IF($NP$9="Single_Point",IF(195=$NR$9,$NN$9,0),IF($NP$9="Bell_Curve",$NN$9*(195-$NR$9+1)*($NS$9-195+1)/$NU$9,$NN$9/$NT$9)),0)</f>
        <v/>
      </c>
      <c r="GR9" s="228">
        <f>IF(AND(196&gt;=$NR$9,196&lt;=$NS$9),IF($NP$9="Single_Point",IF(196=$NR$9,$NN$9,0),IF($NP$9="Bell_Curve",$NN$9*(196-$NR$9+1)*($NS$9-196+1)/$NU$9,$NN$9/$NT$9)),0)</f>
        <v/>
      </c>
      <c r="GS9" s="228">
        <f>IF(AND(197&gt;=$NR$9,197&lt;=$NS$9),IF($NP$9="Single_Point",IF(197=$NR$9,$NN$9,0),IF($NP$9="Bell_Curve",$NN$9*(197-$NR$9+1)*($NS$9-197+1)/$NU$9,$NN$9/$NT$9)),0)</f>
        <v/>
      </c>
      <c r="GT9" s="228">
        <f>IF(AND(198&gt;=$NR$9,198&lt;=$NS$9),IF($NP$9="Single_Point",IF(198=$NR$9,$NN$9,0),IF($NP$9="Bell_Curve",$NN$9*(198-$NR$9+1)*($NS$9-198+1)/$NU$9,$NN$9/$NT$9)),0)</f>
        <v/>
      </c>
      <c r="GU9" s="228">
        <f>IF(AND(199&gt;=$NR$9,199&lt;=$NS$9),IF($NP$9="Single_Point",IF(199=$NR$9,$NN$9,0),IF($NP$9="Bell_Curve",$NN$9*(199-$NR$9+1)*($NS$9-199+1)/$NU$9,$NN$9/$NT$9)),0)</f>
        <v/>
      </c>
      <c r="GV9" s="228">
        <f>IF(AND(200&gt;=$NR$9,200&lt;=$NS$9),IF($NP$9="Single_Point",IF(200=$NR$9,$NN$9,0),IF($NP$9="Bell_Curve",$NN$9*(200-$NR$9+1)*($NS$9-200+1)/$NU$9,$NN$9/$NT$9)),0)</f>
        <v/>
      </c>
      <c r="GW9" s="228">
        <f>IF(AND(201&gt;=$NR$9,201&lt;=$NS$9),IF($NP$9="Single_Point",IF(201=$NR$9,$NN$9,0),IF($NP$9="Bell_Curve",$NN$9*(201-$NR$9+1)*($NS$9-201+1)/$NU$9,$NN$9/$NT$9)),0)</f>
        <v/>
      </c>
      <c r="GX9" s="228">
        <f>IF(AND(202&gt;=$NR$9,202&lt;=$NS$9),IF($NP$9="Single_Point",IF(202=$NR$9,$NN$9,0),IF($NP$9="Bell_Curve",$NN$9*(202-$NR$9+1)*($NS$9-202+1)/$NU$9,$NN$9/$NT$9)),0)</f>
        <v/>
      </c>
      <c r="GY9" s="228">
        <f>IF(AND(203&gt;=$NR$9,203&lt;=$NS$9),IF($NP$9="Single_Point",IF(203=$NR$9,$NN$9,0),IF($NP$9="Bell_Curve",$NN$9*(203-$NR$9+1)*($NS$9-203+1)/$NU$9,$NN$9/$NT$9)),0)</f>
        <v/>
      </c>
      <c r="GZ9" s="228">
        <f>IF(AND(204&gt;=$NR$9,204&lt;=$NS$9),IF($NP$9="Single_Point",IF(204=$NR$9,$NN$9,0),IF($NP$9="Bell_Curve",$NN$9*(204-$NR$9+1)*($NS$9-204+1)/$NU$9,$NN$9/$NT$9)),0)</f>
        <v/>
      </c>
      <c r="HA9" s="228">
        <f>IF(AND(205&gt;=$NR$9,205&lt;=$NS$9),IF($NP$9="Single_Point",IF(205=$NR$9,$NN$9,0),IF($NP$9="Bell_Curve",$NN$9*(205-$NR$9+1)*($NS$9-205+1)/$NU$9,$NN$9/$NT$9)),0)</f>
        <v/>
      </c>
      <c r="HB9" s="228">
        <f>IF(AND(206&gt;=$NR$9,206&lt;=$NS$9),IF($NP$9="Single_Point",IF(206=$NR$9,$NN$9,0),IF($NP$9="Bell_Curve",$NN$9*(206-$NR$9+1)*($NS$9-206+1)/$NU$9,$NN$9/$NT$9)),0)</f>
        <v/>
      </c>
      <c r="HC9" s="228">
        <f>IF(AND(207&gt;=$NR$9,207&lt;=$NS$9),IF($NP$9="Single_Point",IF(207=$NR$9,$NN$9,0),IF($NP$9="Bell_Curve",$NN$9*(207-$NR$9+1)*($NS$9-207+1)/$NU$9,$NN$9/$NT$9)),0)</f>
        <v/>
      </c>
      <c r="HD9" s="228">
        <f>IF(AND(208&gt;=$NR$9,208&lt;=$NS$9),IF($NP$9="Single_Point",IF(208=$NR$9,$NN$9,0),IF($NP$9="Bell_Curve",$NN$9*(208-$NR$9+1)*($NS$9-208+1)/$NU$9,$NN$9/$NT$9)),0)</f>
        <v/>
      </c>
      <c r="HE9" s="228">
        <f>IF(AND(209&gt;=$NR$9,209&lt;=$NS$9),IF($NP$9="Single_Point",IF(209=$NR$9,$NN$9,0),IF($NP$9="Bell_Curve",$NN$9*(209-$NR$9+1)*($NS$9-209+1)/$NU$9,$NN$9/$NT$9)),0)</f>
        <v/>
      </c>
      <c r="HF9" s="228">
        <f>IF(AND(210&gt;=$NR$9,210&lt;=$NS$9),IF($NP$9="Single_Point",IF(210=$NR$9,$NN$9,0),IF($NP$9="Bell_Curve",$NN$9*(210-$NR$9+1)*($NS$9-210+1)/$NU$9,$NN$9/$NT$9)),0)</f>
        <v/>
      </c>
      <c r="HG9" s="228">
        <f>IF(AND(211&gt;=$NR$9,211&lt;=$NS$9),IF($NP$9="Single_Point",IF(211=$NR$9,$NN$9,0),IF($NP$9="Bell_Curve",$NN$9*(211-$NR$9+1)*($NS$9-211+1)/$NU$9,$NN$9/$NT$9)),0)</f>
        <v/>
      </c>
      <c r="HH9" s="228">
        <f>IF(AND(212&gt;=$NR$9,212&lt;=$NS$9),IF($NP$9="Single_Point",IF(212=$NR$9,$NN$9,0),IF($NP$9="Bell_Curve",$NN$9*(212-$NR$9+1)*($NS$9-212+1)/$NU$9,$NN$9/$NT$9)),0)</f>
        <v/>
      </c>
      <c r="HI9" s="228">
        <f>IF(AND(213&gt;=$NR$9,213&lt;=$NS$9),IF($NP$9="Single_Point",IF(213=$NR$9,$NN$9,0),IF($NP$9="Bell_Curve",$NN$9*(213-$NR$9+1)*($NS$9-213+1)/$NU$9,$NN$9/$NT$9)),0)</f>
        <v/>
      </c>
      <c r="HJ9" s="228">
        <f>IF(AND(214&gt;=$NR$9,214&lt;=$NS$9),IF($NP$9="Single_Point",IF(214=$NR$9,$NN$9,0),IF($NP$9="Bell_Curve",$NN$9*(214-$NR$9+1)*($NS$9-214+1)/$NU$9,$NN$9/$NT$9)),0)</f>
        <v/>
      </c>
      <c r="HK9" s="228">
        <f>IF(AND(215&gt;=$NR$9,215&lt;=$NS$9),IF($NP$9="Single_Point",IF(215=$NR$9,$NN$9,0),IF($NP$9="Bell_Curve",$NN$9*(215-$NR$9+1)*($NS$9-215+1)/$NU$9,$NN$9/$NT$9)),0)</f>
        <v/>
      </c>
      <c r="HL9" s="228">
        <f>IF(AND(216&gt;=$NR$9,216&lt;=$NS$9),IF($NP$9="Single_Point",IF(216=$NR$9,$NN$9,0),IF($NP$9="Bell_Curve",$NN$9*(216-$NR$9+1)*($NS$9-216+1)/$NU$9,$NN$9/$NT$9)),0)</f>
        <v/>
      </c>
      <c r="HM9" s="228">
        <f>IF(AND(217&gt;=$NR$9,217&lt;=$NS$9),IF($NP$9="Single_Point",IF(217=$NR$9,$NN$9,0),IF($NP$9="Bell_Curve",$NN$9*(217-$NR$9+1)*($NS$9-217+1)/$NU$9,$NN$9/$NT$9)),0)</f>
        <v/>
      </c>
      <c r="HN9" s="228">
        <f>IF(AND(218&gt;=$NR$9,218&lt;=$NS$9),IF($NP$9="Single_Point",IF(218=$NR$9,$NN$9,0),IF($NP$9="Bell_Curve",$NN$9*(218-$NR$9+1)*($NS$9-218+1)/$NU$9,$NN$9/$NT$9)),0)</f>
        <v/>
      </c>
      <c r="HO9" s="228">
        <f>IF(AND(219&gt;=$NR$9,219&lt;=$NS$9),IF($NP$9="Single_Point",IF(219=$NR$9,$NN$9,0),IF($NP$9="Bell_Curve",$NN$9*(219-$NR$9+1)*($NS$9-219+1)/$NU$9,$NN$9/$NT$9)),0)</f>
        <v/>
      </c>
      <c r="HP9" s="228">
        <f>IF(AND(220&gt;=$NR$9,220&lt;=$NS$9),IF($NP$9="Single_Point",IF(220=$NR$9,$NN$9,0),IF($NP$9="Bell_Curve",$NN$9*(220-$NR$9+1)*($NS$9-220+1)/$NU$9,$NN$9/$NT$9)),0)</f>
        <v/>
      </c>
      <c r="HQ9" s="228">
        <f>IF(AND(221&gt;=$NR$9,221&lt;=$NS$9),IF($NP$9="Single_Point",IF(221=$NR$9,$NN$9,0),IF($NP$9="Bell_Curve",$NN$9*(221-$NR$9+1)*($NS$9-221+1)/$NU$9,$NN$9/$NT$9)),0)</f>
        <v/>
      </c>
      <c r="HR9" s="228">
        <f>IF(AND(222&gt;=$NR$9,222&lt;=$NS$9),IF($NP$9="Single_Point",IF(222=$NR$9,$NN$9,0),IF($NP$9="Bell_Curve",$NN$9*(222-$NR$9+1)*($NS$9-222+1)/$NU$9,$NN$9/$NT$9)),0)</f>
        <v/>
      </c>
      <c r="HS9" s="228">
        <f>IF(AND(223&gt;=$NR$9,223&lt;=$NS$9),IF($NP$9="Single_Point",IF(223=$NR$9,$NN$9,0),IF($NP$9="Bell_Curve",$NN$9*(223-$NR$9+1)*($NS$9-223+1)/$NU$9,$NN$9/$NT$9)),0)</f>
        <v/>
      </c>
      <c r="HT9" s="228">
        <f>IF(AND(224&gt;=$NR$9,224&lt;=$NS$9),IF($NP$9="Single_Point",IF(224=$NR$9,$NN$9,0),IF($NP$9="Bell_Curve",$NN$9*(224-$NR$9+1)*($NS$9-224+1)/$NU$9,$NN$9/$NT$9)),0)</f>
        <v/>
      </c>
      <c r="HU9" s="228">
        <f>IF(AND(225&gt;=$NR$9,225&lt;=$NS$9),IF($NP$9="Single_Point",IF(225=$NR$9,$NN$9,0),IF($NP$9="Bell_Curve",$NN$9*(225-$NR$9+1)*($NS$9-225+1)/$NU$9,$NN$9/$NT$9)),0)</f>
        <v/>
      </c>
      <c r="HV9" s="228">
        <f>IF(AND(226&gt;=$NR$9,226&lt;=$NS$9),IF($NP$9="Single_Point",IF(226=$NR$9,$NN$9,0),IF($NP$9="Bell_Curve",$NN$9*(226-$NR$9+1)*($NS$9-226+1)/$NU$9,$NN$9/$NT$9)),0)</f>
        <v/>
      </c>
      <c r="HW9" s="228">
        <f>IF(AND(227&gt;=$NR$9,227&lt;=$NS$9),IF($NP$9="Single_Point",IF(227=$NR$9,$NN$9,0),IF($NP$9="Bell_Curve",$NN$9*(227-$NR$9+1)*($NS$9-227+1)/$NU$9,$NN$9/$NT$9)),0)</f>
        <v/>
      </c>
      <c r="HX9" s="228">
        <f>IF(AND(228&gt;=$NR$9,228&lt;=$NS$9),IF($NP$9="Single_Point",IF(228=$NR$9,$NN$9,0),IF($NP$9="Bell_Curve",$NN$9*(228-$NR$9+1)*($NS$9-228+1)/$NU$9,$NN$9/$NT$9)),0)</f>
        <v/>
      </c>
      <c r="HY9" s="228">
        <f>IF(AND(229&gt;=$NR$9,229&lt;=$NS$9),IF($NP$9="Single_Point",IF(229=$NR$9,$NN$9,0),IF($NP$9="Bell_Curve",$NN$9*(229-$NR$9+1)*($NS$9-229+1)/$NU$9,$NN$9/$NT$9)),0)</f>
        <v/>
      </c>
      <c r="HZ9" s="228">
        <f>IF(AND(230&gt;=$NR$9,230&lt;=$NS$9),IF($NP$9="Single_Point",IF(230=$NR$9,$NN$9,0),IF($NP$9="Bell_Curve",$NN$9*(230-$NR$9+1)*($NS$9-230+1)/$NU$9,$NN$9/$NT$9)),0)</f>
        <v/>
      </c>
      <c r="IA9" s="228">
        <f>IF(AND(231&gt;=$NR$9,231&lt;=$NS$9),IF($NP$9="Single_Point",IF(231=$NR$9,$NN$9,0),IF($NP$9="Bell_Curve",$NN$9*(231-$NR$9+1)*($NS$9-231+1)/$NU$9,$NN$9/$NT$9)),0)</f>
        <v/>
      </c>
      <c r="IB9" s="228">
        <f>IF(AND(232&gt;=$NR$9,232&lt;=$NS$9),IF($NP$9="Single_Point",IF(232=$NR$9,$NN$9,0),IF($NP$9="Bell_Curve",$NN$9*(232-$NR$9+1)*($NS$9-232+1)/$NU$9,$NN$9/$NT$9)),0)</f>
        <v/>
      </c>
      <c r="IC9" s="228">
        <f>IF(AND(233&gt;=$NR$9,233&lt;=$NS$9),IF($NP$9="Single_Point",IF(233=$NR$9,$NN$9,0),IF($NP$9="Bell_Curve",$NN$9*(233-$NR$9+1)*($NS$9-233+1)/$NU$9,$NN$9/$NT$9)),0)</f>
        <v/>
      </c>
      <c r="ID9" s="228">
        <f>IF(AND(234&gt;=$NR$9,234&lt;=$NS$9),IF($NP$9="Single_Point",IF(234=$NR$9,$NN$9,0),IF($NP$9="Bell_Curve",$NN$9*(234-$NR$9+1)*($NS$9-234+1)/$NU$9,$NN$9/$NT$9)),0)</f>
        <v/>
      </c>
      <c r="IE9" s="228">
        <f>IF(AND(235&gt;=$NR$9,235&lt;=$NS$9),IF($NP$9="Single_Point",IF(235=$NR$9,$NN$9,0),IF($NP$9="Bell_Curve",$NN$9*(235-$NR$9+1)*($NS$9-235+1)/$NU$9,$NN$9/$NT$9)),0)</f>
        <v/>
      </c>
      <c r="IF9" s="228">
        <f>IF(AND(236&gt;=$NR$9,236&lt;=$NS$9),IF($NP$9="Single_Point",IF(236=$NR$9,$NN$9,0),IF($NP$9="Bell_Curve",$NN$9*(236-$NR$9+1)*($NS$9-236+1)/$NU$9,$NN$9/$NT$9)),0)</f>
        <v/>
      </c>
      <c r="IG9" s="228">
        <f>IF(AND(237&gt;=$NR$9,237&lt;=$NS$9),IF($NP$9="Single_Point",IF(237=$NR$9,$NN$9,0),IF($NP$9="Bell_Curve",$NN$9*(237-$NR$9+1)*($NS$9-237+1)/$NU$9,$NN$9/$NT$9)),0)</f>
        <v/>
      </c>
      <c r="IH9" s="228">
        <f>IF(AND(238&gt;=$NR$9,238&lt;=$NS$9),IF($NP$9="Single_Point",IF(238=$NR$9,$NN$9,0),IF($NP$9="Bell_Curve",$NN$9*(238-$NR$9+1)*($NS$9-238+1)/$NU$9,$NN$9/$NT$9)),0)</f>
        <v/>
      </c>
      <c r="II9" s="228">
        <f>IF(AND(239&gt;=$NR$9,239&lt;=$NS$9),IF($NP$9="Single_Point",IF(239=$NR$9,$NN$9,0),IF($NP$9="Bell_Curve",$NN$9*(239-$NR$9+1)*($NS$9-239+1)/$NU$9,$NN$9/$NT$9)),0)</f>
        <v/>
      </c>
      <c r="IJ9" s="228">
        <f>IF(AND(240&gt;=$NR$9,240&lt;=$NS$9),IF($NP$9="Single_Point",IF(240=$NR$9,$NN$9,0),IF($NP$9="Bell_Curve",$NN$9*(240-$NR$9+1)*($NS$9-240+1)/$NU$9,$NN$9/$NT$9)),0)</f>
        <v/>
      </c>
      <c r="IK9" s="228">
        <f>IF(AND(241&gt;=$NR$9,241&lt;=$NS$9),IF($NP$9="Single_Point",IF(241=$NR$9,$NN$9,0),IF($NP$9="Bell_Curve",$NN$9*(241-$NR$9+1)*($NS$9-241+1)/$NU$9,$NN$9/$NT$9)),0)</f>
        <v/>
      </c>
      <c r="IL9" s="228">
        <f>IF(AND(242&gt;=$NR$9,242&lt;=$NS$9),IF($NP$9="Single_Point",IF(242=$NR$9,$NN$9,0),IF($NP$9="Bell_Curve",$NN$9*(242-$NR$9+1)*($NS$9-242+1)/$NU$9,$NN$9/$NT$9)),0)</f>
        <v/>
      </c>
      <c r="IM9" s="228">
        <f>IF(AND(243&gt;=$NR$9,243&lt;=$NS$9),IF($NP$9="Single_Point",IF(243=$NR$9,$NN$9,0),IF($NP$9="Bell_Curve",$NN$9*(243-$NR$9+1)*($NS$9-243+1)/$NU$9,$NN$9/$NT$9)),0)</f>
        <v/>
      </c>
      <c r="IN9" s="228">
        <f>IF(AND(244&gt;=$NR$9,244&lt;=$NS$9),IF($NP$9="Single_Point",IF(244=$NR$9,$NN$9,0),IF($NP$9="Bell_Curve",$NN$9*(244-$NR$9+1)*($NS$9-244+1)/$NU$9,$NN$9/$NT$9)),0)</f>
        <v/>
      </c>
      <c r="IO9" s="228">
        <f>IF(AND(245&gt;=$NR$9,245&lt;=$NS$9),IF($NP$9="Single_Point",IF(245=$NR$9,$NN$9,0),IF($NP$9="Bell_Curve",$NN$9*(245-$NR$9+1)*($NS$9-245+1)/$NU$9,$NN$9/$NT$9)),0)</f>
        <v/>
      </c>
      <c r="IP9" s="228">
        <f>IF(AND(246&gt;=$NR$9,246&lt;=$NS$9),IF($NP$9="Single_Point",IF(246=$NR$9,$NN$9,0),IF($NP$9="Bell_Curve",$NN$9*(246-$NR$9+1)*($NS$9-246+1)/$NU$9,$NN$9/$NT$9)),0)</f>
        <v/>
      </c>
      <c r="IQ9" s="228">
        <f>IF(AND(247&gt;=$NR$9,247&lt;=$NS$9),IF($NP$9="Single_Point",IF(247=$NR$9,$NN$9,0),IF($NP$9="Bell_Curve",$NN$9*(247-$NR$9+1)*($NS$9-247+1)/$NU$9,$NN$9/$NT$9)),0)</f>
        <v/>
      </c>
      <c r="IR9" s="228">
        <f>IF(AND(248&gt;=$NR$9,248&lt;=$NS$9),IF($NP$9="Single_Point",IF(248=$NR$9,$NN$9,0),IF($NP$9="Bell_Curve",$NN$9*(248-$NR$9+1)*($NS$9-248+1)/$NU$9,$NN$9/$NT$9)),0)</f>
        <v/>
      </c>
      <c r="IS9" s="228">
        <f>IF(AND(249&gt;=$NR$9,249&lt;=$NS$9),IF($NP$9="Single_Point",IF(249=$NR$9,$NN$9,0),IF($NP$9="Bell_Curve",$NN$9*(249-$NR$9+1)*($NS$9-249+1)/$NU$9,$NN$9/$NT$9)),0)</f>
        <v/>
      </c>
      <c r="IT9" s="228">
        <f>IF(AND(250&gt;=$NR$9,250&lt;=$NS$9),IF($NP$9="Single_Point",IF(250=$NR$9,$NN$9,0),IF($NP$9="Bell_Curve",$NN$9*(250-$NR$9+1)*($NS$9-250+1)/$NU$9,$NN$9/$NT$9)),0)</f>
        <v/>
      </c>
      <c r="IU9" s="228">
        <f>IF(AND(251&gt;=$NR$9,251&lt;=$NS$9),IF($NP$9="Single_Point",IF(251=$NR$9,$NN$9,0),IF($NP$9="Bell_Curve",$NN$9*(251-$NR$9+1)*($NS$9-251+1)/$NU$9,$NN$9/$NT$9)),0)</f>
        <v/>
      </c>
      <c r="IV9" s="228">
        <f>IF(AND(252&gt;=$NR$9,252&lt;=$NS$9),IF($NP$9="Single_Point",IF(252=$NR$9,$NN$9,0),IF($NP$9="Bell_Curve",$NN$9*(252-$NR$9+1)*($NS$9-252+1)/$NU$9,$NN$9/$NT$9)),0)</f>
        <v/>
      </c>
      <c r="IW9" s="228">
        <f>IF(AND(253&gt;=$NR$9,253&lt;=$NS$9),IF($NP$9="Single_Point",IF(253=$NR$9,$NN$9,0),IF($NP$9="Bell_Curve",$NN$9*(253-$NR$9+1)*($NS$9-253+1)/$NU$9,$NN$9/$NT$9)),0)</f>
        <v/>
      </c>
      <c r="IX9" s="228">
        <f>IF(AND(254&gt;=$NR$9,254&lt;=$NS$9),IF($NP$9="Single_Point",IF(254=$NR$9,$NN$9,0),IF($NP$9="Bell_Curve",$NN$9*(254-$NR$9+1)*($NS$9-254+1)/$NU$9,$NN$9/$NT$9)),0)</f>
        <v/>
      </c>
      <c r="IY9" s="228">
        <f>IF(AND(255&gt;=$NR$9,255&lt;=$NS$9),IF($NP$9="Single_Point",IF(255=$NR$9,$NN$9,0),IF($NP$9="Bell_Curve",$NN$9*(255-$NR$9+1)*($NS$9-255+1)/$NU$9,$NN$9/$NT$9)),0)</f>
        <v/>
      </c>
      <c r="IZ9" s="228">
        <f>IF(AND(256&gt;=$NR$9,256&lt;=$NS$9),IF($NP$9="Single_Point",IF(256=$NR$9,$NN$9,0),IF($NP$9="Bell_Curve",$NN$9*(256-$NR$9+1)*($NS$9-256+1)/$NU$9,$NN$9/$NT$9)),0)</f>
        <v/>
      </c>
      <c r="JA9" s="228">
        <f>IF(AND(257&gt;=$NR$9,257&lt;=$NS$9),IF($NP$9="Single_Point",IF(257=$NR$9,$NN$9,0),IF($NP$9="Bell_Curve",$NN$9*(257-$NR$9+1)*($NS$9-257+1)/$NU$9,$NN$9/$NT$9)),0)</f>
        <v/>
      </c>
      <c r="JB9" s="228">
        <f>IF(AND(258&gt;=$NR$9,258&lt;=$NS$9),IF($NP$9="Single_Point",IF(258=$NR$9,$NN$9,0),IF($NP$9="Bell_Curve",$NN$9*(258-$NR$9+1)*($NS$9-258+1)/$NU$9,$NN$9/$NT$9)),0)</f>
        <v/>
      </c>
      <c r="JC9" s="228">
        <f>IF(AND(259&gt;=$NR$9,259&lt;=$NS$9),IF($NP$9="Single_Point",IF(259=$NR$9,$NN$9,0),IF($NP$9="Bell_Curve",$NN$9*(259-$NR$9+1)*($NS$9-259+1)/$NU$9,$NN$9/$NT$9)),0)</f>
        <v/>
      </c>
      <c r="JD9" s="228">
        <f>IF(AND(260&gt;=$NR$9,260&lt;=$NS$9),IF($NP$9="Single_Point",IF(260=$NR$9,$NN$9,0),IF($NP$9="Bell_Curve",$NN$9*(260-$NR$9+1)*($NS$9-260+1)/$NU$9,$NN$9/$NT$9)),0)</f>
        <v/>
      </c>
      <c r="JE9" s="228">
        <f>IF(AND(261&gt;=$NR$9,261&lt;=$NS$9),IF($NP$9="Single_Point",IF(261=$NR$9,$NN$9,0),IF($NP$9="Bell_Curve",$NN$9*(261-$NR$9+1)*($NS$9-261+1)/$NU$9,$NN$9/$NT$9)),0)</f>
        <v/>
      </c>
      <c r="JF9" s="228">
        <f>IF(AND(262&gt;=$NR$9,262&lt;=$NS$9),IF($NP$9="Single_Point",IF(262=$NR$9,$NN$9,0),IF($NP$9="Bell_Curve",$NN$9*(262-$NR$9+1)*($NS$9-262+1)/$NU$9,$NN$9/$NT$9)),0)</f>
        <v/>
      </c>
      <c r="JG9" s="228">
        <f>IF(AND(263&gt;=$NR$9,263&lt;=$NS$9),IF($NP$9="Single_Point",IF(263=$NR$9,$NN$9,0),IF($NP$9="Bell_Curve",$NN$9*(263-$NR$9+1)*($NS$9-263+1)/$NU$9,$NN$9/$NT$9)),0)</f>
        <v/>
      </c>
      <c r="JH9" s="228">
        <f>IF(AND(264&gt;=$NR$9,264&lt;=$NS$9),IF($NP$9="Single_Point",IF(264=$NR$9,$NN$9,0),IF($NP$9="Bell_Curve",$NN$9*(264-$NR$9+1)*($NS$9-264+1)/$NU$9,$NN$9/$NT$9)),0)</f>
        <v/>
      </c>
      <c r="JI9" s="228">
        <f>IF(AND(265&gt;=$NR$9,265&lt;=$NS$9),IF($NP$9="Single_Point",IF(265=$NR$9,$NN$9,0),IF($NP$9="Bell_Curve",$NN$9*(265-$NR$9+1)*($NS$9-265+1)/$NU$9,$NN$9/$NT$9)),0)</f>
        <v/>
      </c>
      <c r="JJ9" s="228">
        <f>IF(AND(266&gt;=$NR$9,266&lt;=$NS$9),IF($NP$9="Single_Point",IF(266=$NR$9,$NN$9,0),IF($NP$9="Bell_Curve",$NN$9*(266-$NR$9+1)*($NS$9-266+1)/$NU$9,$NN$9/$NT$9)),0)</f>
        <v/>
      </c>
      <c r="JK9" s="228">
        <f>IF(AND(267&gt;=$NR$9,267&lt;=$NS$9),IF($NP$9="Single_Point",IF(267=$NR$9,$NN$9,0),IF($NP$9="Bell_Curve",$NN$9*(267-$NR$9+1)*($NS$9-267+1)/$NU$9,$NN$9/$NT$9)),0)</f>
        <v/>
      </c>
      <c r="JL9" s="228">
        <f>IF(AND(268&gt;=$NR$9,268&lt;=$NS$9),IF($NP$9="Single_Point",IF(268=$NR$9,$NN$9,0),IF($NP$9="Bell_Curve",$NN$9*(268-$NR$9+1)*($NS$9-268+1)/$NU$9,$NN$9/$NT$9)),0)</f>
        <v/>
      </c>
      <c r="JM9" s="228">
        <f>IF(AND(269&gt;=$NR$9,269&lt;=$NS$9),IF($NP$9="Single_Point",IF(269=$NR$9,$NN$9,0),IF($NP$9="Bell_Curve",$NN$9*(269-$NR$9+1)*($NS$9-269+1)/$NU$9,$NN$9/$NT$9)),0)</f>
        <v/>
      </c>
      <c r="JN9" s="228">
        <f>IF(AND(270&gt;=$NR$9,270&lt;=$NS$9),IF($NP$9="Single_Point",IF(270=$NR$9,$NN$9,0),IF($NP$9="Bell_Curve",$NN$9*(270-$NR$9+1)*($NS$9-270+1)/$NU$9,$NN$9/$NT$9)),0)</f>
        <v/>
      </c>
      <c r="JO9" s="228">
        <f>IF(AND(271&gt;=$NR$9,271&lt;=$NS$9),IF($NP$9="Single_Point",IF(271=$NR$9,$NN$9,0),IF($NP$9="Bell_Curve",$NN$9*(271-$NR$9+1)*($NS$9-271+1)/$NU$9,$NN$9/$NT$9)),0)</f>
        <v/>
      </c>
      <c r="JP9" s="228">
        <f>IF(AND(272&gt;=$NR$9,272&lt;=$NS$9),IF($NP$9="Single_Point",IF(272=$NR$9,$NN$9,0),IF($NP$9="Bell_Curve",$NN$9*(272-$NR$9+1)*($NS$9-272+1)/$NU$9,$NN$9/$NT$9)),0)</f>
        <v/>
      </c>
      <c r="JQ9" s="228">
        <f>IF(AND(273&gt;=$NR$9,273&lt;=$NS$9),IF($NP$9="Single_Point",IF(273=$NR$9,$NN$9,0),IF($NP$9="Bell_Curve",$NN$9*(273-$NR$9+1)*($NS$9-273+1)/$NU$9,$NN$9/$NT$9)),0)</f>
        <v/>
      </c>
      <c r="JR9" s="228">
        <f>IF(AND(274&gt;=$NR$9,274&lt;=$NS$9),IF($NP$9="Single_Point",IF(274=$NR$9,$NN$9,0),IF($NP$9="Bell_Curve",$NN$9*(274-$NR$9+1)*($NS$9-274+1)/$NU$9,$NN$9/$NT$9)),0)</f>
        <v/>
      </c>
      <c r="JS9" s="228">
        <f>IF(AND(275&gt;=$NR$9,275&lt;=$NS$9),IF($NP$9="Single_Point",IF(275=$NR$9,$NN$9,0),IF($NP$9="Bell_Curve",$NN$9*(275-$NR$9+1)*($NS$9-275+1)/$NU$9,$NN$9/$NT$9)),0)</f>
        <v/>
      </c>
      <c r="JT9" s="228">
        <f>IF(AND(276&gt;=$NR$9,276&lt;=$NS$9),IF($NP$9="Single_Point",IF(276=$NR$9,$NN$9,0),IF($NP$9="Bell_Curve",$NN$9*(276-$NR$9+1)*($NS$9-276+1)/$NU$9,$NN$9/$NT$9)),0)</f>
        <v/>
      </c>
      <c r="JU9" s="228">
        <f>IF(AND(277&gt;=$NR$9,277&lt;=$NS$9),IF($NP$9="Single_Point",IF(277=$NR$9,$NN$9,0),IF($NP$9="Bell_Curve",$NN$9*(277-$NR$9+1)*($NS$9-277+1)/$NU$9,$NN$9/$NT$9)),0)</f>
        <v/>
      </c>
      <c r="JV9" s="228">
        <f>IF(AND(278&gt;=$NR$9,278&lt;=$NS$9),IF($NP$9="Single_Point",IF(278=$NR$9,$NN$9,0),IF($NP$9="Bell_Curve",$NN$9*(278-$NR$9+1)*($NS$9-278+1)/$NU$9,$NN$9/$NT$9)),0)</f>
        <v/>
      </c>
      <c r="JW9" s="228">
        <f>IF(AND(279&gt;=$NR$9,279&lt;=$NS$9),IF($NP$9="Single_Point",IF(279=$NR$9,$NN$9,0),IF($NP$9="Bell_Curve",$NN$9*(279-$NR$9+1)*($NS$9-279+1)/$NU$9,$NN$9/$NT$9)),0)</f>
        <v/>
      </c>
      <c r="JX9" s="228">
        <f>IF(AND(280&gt;=$NR$9,280&lt;=$NS$9),IF($NP$9="Single_Point",IF(280=$NR$9,$NN$9,0),IF($NP$9="Bell_Curve",$NN$9*(280-$NR$9+1)*($NS$9-280+1)/$NU$9,$NN$9/$NT$9)),0)</f>
        <v/>
      </c>
      <c r="JY9" s="228">
        <f>IF(AND(281&gt;=$NR$9,281&lt;=$NS$9),IF($NP$9="Single_Point",IF(281=$NR$9,$NN$9,0),IF($NP$9="Bell_Curve",$NN$9*(281-$NR$9+1)*($NS$9-281+1)/$NU$9,$NN$9/$NT$9)),0)</f>
        <v/>
      </c>
      <c r="JZ9" s="228">
        <f>IF(AND(282&gt;=$NR$9,282&lt;=$NS$9),IF($NP$9="Single_Point",IF(282=$NR$9,$NN$9,0),IF($NP$9="Bell_Curve",$NN$9*(282-$NR$9+1)*($NS$9-282+1)/$NU$9,$NN$9/$NT$9)),0)</f>
        <v/>
      </c>
      <c r="KA9" s="228">
        <f>IF(AND(283&gt;=$NR$9,283&lt;=$NS$9),IF($NP$9="Single_Point",IF(283=$NR$9,$NN$9,0),IF($NP$9="Bell_Curve",$NN$9*(283-$NR$9+1)*($NS$9-283+1)/$NU$9,$NN$9/$NT$9)),0)</f>
        <v/>
      </c>
      <c r="KB9" s="228">
        <f>IF(AND(284&gt;=$NR$9,284&lt;=$NS$9),IF($NP$9="Single_Point",IF(284=$NR$9,$NN$9,0),IF($NP$9="Bell_Curve",$NN$9*(284-$NR$9+1)*($NS$9-284+1)/$NU$9,$NN$9/$NT$9)),0)</f>
        <v/>
      </c>
      <c r="KC9" s="228">
        <f>IF(AND(285&gt;=$NR$9,285&lt;=$NS$9),IF($NP$9="Single_Point",IF(285=$NR$9,$NN$9,0),IF($NP$9="Bell_Curve",$NN$9*(285-$NR$9+1)*($NS$9-285+1)/$NU$9,$NN$9/$NT$9)),0)</f>
        <v/>
      </c>
      <c r="KD9" s="228">
        <f>IF(AND(286&gt;=$NR$9,286&lt;=$NS$9),IF($NP$9="Single_Point",IF(286=$NR$9,$NN$9,0),IF($NP$9="Bell_Curve",$NN$9*(286-$NR$9+1)*($NS$9-286+1)/$NU$9,$NN$9/$NT$9)),0)</f>
        <v/>
      </c>
      <c r="KE9" s="228">
        <f>IF(AND(287&gt;=$NR$9,287&lt;=$NS$9),IF($NP$9="Single_Point",IF(287=$NR$9,$NN$9,0),IF($NP$9="Bell_Curve",$NN$9*(287-$NR$9+1)*($NS$9-287+1)/$NU$9,$NN$9/$NT$9)),0)</f>
        <v/>
      </c>
      <c r="KF9" s="228">
        <f>IF(AND(288&gt;=$NR$9,288&lt;=$NS$9),IF($NP$9="Single_Point",IF(288=$NR$9,$NN$9,0),IF($NP$9="Bell_Curve",$NN$9*(288-$NR$9+1)*($NS$9-288+1)/$NU$9,$NN$9/$NT$9)),0)</f>
        <v/>
      </c>
      <c r="KG9" s="228">
        <f>IF(AND(289&gt;=$NR$9,289&lt;=$NS$9),IF($NP$9="Single_Point",IF(289=$NR$9,$NN$9,0),IF($NP$9="Bell_Curve",$NN$9*(289-$NR$9+1)*($NS$9-289+1)/$NU$9,$NN$9/$NT$9)),0)</f>
        <v/>
      </c>
      <c r="KH9" s="228">
        <f>IF(AND(290&gt;=$NR$9,290&lt;=$NS$9),IF($NP$9="Single_Point",IF(290=$NR$9,$NN$9,0),IF($NP$9="Bell_Curve",$NN$9*(290-$NR$9+1)*($NS$9-290+1)/$NU$9,$NN$9/$NT$9)),0)</f>
        <v/>
      </c>
      <c r="KI9" s="228">
        <f>IF(AND(291&gt;=$NR$9,291&lt;=$NS$9),IF($NP$9="Single_Point",IF(291=$NR$9,$NN$9,0),IF($NP$9="Bell_Curve",$NN$9*(291-$NR$9+1)*($NS$9-291+1)/$NU$9,$NN$9/$NT$9)),0)</f>
        <v/>
      </c>
      <c r="KJ9" s="228">
        <f>IF(AND(292&gt;=$NR$9,292&lt;=$NS$9),IF($NP$9="Single_Point",IF(292=$NR$9,$NN$9,0),IF($NP$9="Bell_Curve",$NN$9*(292-$NR$9+1)*($NS$9-292+1)/$NU$9,$NN$9/$NT$9)),0)</f>
        <v/>
      </c>
      <c r="KK9" s="228">
        <f>IF(AND(293&gt;=$NR$9,293&lt;=$NS$9),IF($NP$9="Single_Point",IF(293=$NR$9,$NN$9,0),IF($NP$9="Bell_Curve",$NN$9*(293-$NR$9+1)*($NS$9-293+1)/$NU$9,$NN$9/$NT$9)),0)</f>
        <v/>
      </c>
      <c r="KL9" s="228">
        <f>IF(AND(294&gt;=$NR$9,294&lt;=$NS$9),IF($NP$9="Single_Point",IF(294=$NR$9,$NN$9,0),IF($NP$9="Bell_Curve",$NN$9*(294-$NR$9+1)*($NS$9-294+1)/$NU$9,$NN$9/$NT$9)),0)</f>
        <v/>
      </c>
      <c r="KM9" s="228">
        <f>IF(AND(295&gt;=$NR$9,295&lt;=$NS$9),IF($NP$9="Single_Point",IF(295=$NR$9,$NN$9,0),IF($NP$9="Bell_Curve",$NN$9*(295-$NR$9+1)*($NS$9-295+1)/$NU$9,$NN$9/$NT$9)),0)</f>
        <v/>
      </c>
      <c r="KN9" s="228">
        <f>IF(AND(296&gt;=$NR$9,296&lt;=$NS$9),IF($NP$9="Single_Point",IF(296=$NR$9,$NN$9,0),IF($NP$9="Bell_Curve",$NN$9*(296-$NR$9+1)*($NS$9-296+1)/$NU$9,$NN$9/$NT$9)),0)</f>
        <v/>
      </c>
      <c r="KO9" s="228">
        <f>IF(AND(297&gt;=$NR$9,297&lt;=$NS$9),IF($NP$9="Single_Point",IF(297=$NR$9,$NN$9,0),IF($NP$9="Bell_Curve",$NN$9*(297-$NR$9+1)*($NS$9-297+1)/$NU$9,$NN$9/$NT$9)),0)</f>
        <v/>
      </c>
      <c r="KP9" s="228">
        <f>IF(AND(298&gt;=$NR$9,298&lt;=$NS$9),IF($NP$9="Single_Point",IF(298=$NR$9,$NN$9,0),IF($NP$9="Bell_Curve",$NN$9*(298-$NR$9+1)*($NS$9-298+1)/$NU$9,$NN$9/$NT$9)),0)</f>
        <v/>
      </c>
      <c r="KQ9" s="228">
        <f>IF(AND(299&gt;=$NR$9,299&lt;=$NS$9),IF($NP$9="Single_Point",IF(299=$NR$9,$NN$9,0),IF($NP$9="Bell_Curve",$NN$9*(299-$NR$9+1)*($NS$9-299+1)/$NU$9,$NN$9/$NT$9)),0)</f>
        <v/>
      </c>
      <c r="KR9" s="228">
        <f>IF(AND(300&gt;=$NR$9,300&lt;=$NS$9),IF($NP$9="Single_Point",IF(300=$NR$9,$NN$9,0),IF($NP$9="Bell_Curve",$NN$9*(300-$NR$9+1)*($NS$9-300+1)/$NU$9,$NN$9/$NT$9)),0)</f>
        <v/>
      </c>
      <c r="KS9" s="228">
        <f>IF(AND(301&gt;=$NR$9,301&lt;=$NS$9),IF($NP$9="Single_Point",IF(301=$NR$9,$NN$9,0),IF($NP$9="Bell_Curve",$NN$9*(301-$NR$9+1)*($NS$9-301+1)/$NU$9,$NN$9/$NT$9)),0)</f>
        <v/>
      </c>
      <c r="KT9" s="228">
        <f>IF(AND(302&gt;=$NR$9,302&lt;=$NS$9),IF($NP$9="Single_Point",IF(302=$NR$9,$NN$9,0),IF($NP$9="Bell_Curve",$NN$9*(302-$NR$9+1)*($NS$9-302+1)/$NU$9,$NN$9/$NT$9)),0)</f>
        <v/>
      </c>
      <c r="KU9" s="228">
        <f>IF(AND(303&gt;=$NR$9,303&lt;=$NS$9),IF($NP$9="Single_Point",IF(303=$NR$9,$NN$9,0),IF($NP$9="Bell_Curve",$NN$9*(303-$NR$9+1)*($NS$9-303+1)/$NU$9,$NN$9/$NT$9)),0)</f>
        <v/>
      </c>
      <c r="KV9" s="228">
        <f>IF(AND(304&gt;=$NR$9,304&lt;=$NS$9),IF($NP$9="Single_Point",IF(304=$NR$9,$NN$9,0),IF($NP$9="Bell_Curve",$NN$9*(304-$NR$9+1)*($NS$9-304+1)/$NU$9,$NN$9/$NT$9)),0)</f>
        <v/>
      </c>
      <c r="KW9" s="228">
        <f>IF(AND(305&gt;=$NR$9,305&lt;=$NS$9),IF($NP$9="Single_Point",IF(305=$NR$9,$NN$9,0),IF($NP$9="Bell_Curve",$NN$9*(305-$NR$9+1)*($NS$9-305+1)/$NU$9,$NN$9/$NT$9)),0)</f>
        <v/>
      </c>
      <c r="KX9" s="228">
        <f>IF(AND(306&gt;=$NR$9,306&lt;=$NS$9),IF($NP$9="Single_Point",IF(306=$NR$9,$NN$9,0),IF($NP$9="Bell_Curve",$NN$9*(306-$NR$9+1)*($NS$9-306+1)/$NU$9,$NN$9/$NT$9)),0)</f>
        <v/>
      </c>
      <c r="KY9" s="228">
        <f>IF(AND(307&gt;=$NR$9,307&lt;=$NS$9),IF($NP$9="Single_Point",IF(307=$NR$9,$NN$9,0),IF($NP$9="Bell_Curve",$NN$9*(307-$NR$9+1)*($NS$9-307+1)/$NU$9,$NN$9/$NT$9)),0)</f>
        <v/>
      </c>
      <c r="KZ9" s="228">
        <f>IF(AND(308&gt;=$NR$9,308&lt;=$NS$9),IF($NP$9="Single_Point",IF(308=$NR$9,$NN$9,0),IF($NP$9="Bell_Curve",$NN$9*(308-$NR$9+1)*($NS$9-308+1)/$NU$9,$NN$9/$NT$9)),0)</f>
        <v/>
      </c>
      <c r="LA9" s="228">
        <f>IF(AND(309&gt;=$NR$9,309&lt;=$NS$9),IF($NP$9="Single_Point",IF(309=$NR$9,$NN$9,0),IF($NP$9="Bell_Curve",$NN$9*(309-$NR$9+1)*($NS$9-309+1)/$NU$9,$NN$9/$NT$9)),0)</f>
        <v/>
      </c>
      <c r="LB9" s="228">
        <f>IF(AND(310&gt;=$NR$9,310&lt;=$NS$9),IF($NP$9="Single_Point",IF(310=$NR$9,$NN$9,0),IF($NP$9="Bell_Curve",$NN$9*(310-$NR$9+1)*($NS$9-310+1)/$NU$9,$NN$9/$NT$9)),0)</f>
        <v/>
      </c>
      <c r="LC9" s="228">
        <f>IF(AND(311&gt;=$NR$9,311&lt;=$NS$9),IF($NP$9="Single_Point",IF(311=$NR$9,$NN$9,0),IF($NP$9="Bell_Curve",$NN$9*(311-$NR$9+1)*($NS$9-311+1)/$NU$9,$NN$9/$NT$9)),0)</f>
        <v/>
      </c>
      <c r="LD9" s="228">
        <f>IF(AND(312&gt;=$NR$9,312&lt;=$NS$9),IF($NP$9="Single_Point",IF(312=$NR$9,$NN$9,0),IF($NP$9="Bell_Curve",$NN$9*(312-$NR$9+1)*($NS$9-312+1)/$NU$9,$NN$9/$NT$9)),0)</f>
        <v/>
      </c>
      <c r="LE9" s="228">
        <f>IF(AND(313&gt;=$NR$9,313&lt;=$NS$9),IF($NP$9="Single_Point",IF(313=$NR$9,$NN$9,0),IF($NP$9="Bell_Curve",$NN$9*(313-$NR$9+1)*($NS$9-313+1)/$NU$9,$NN$9/$NT$9)),0)</f>
        <v/>
      </c>
      <c r="LF9" s="228">
        <f>IF(AND(314&gt;=$NR$9,314&lt;=$NS$9),IF($NP$9="Single_Point",IF(314=$NR$9,$NN$9,0),IF($NP$9="Bell_Curve",$NN$9*(314-$NR$9+1)*($NS$9-314+1)/$NU$9,$NN$9/$NT$9)),0)</f>
        <v/>
      </c>
      <c r="LG9" s="228">
        <f>IF(AND(315&gt;=$NR$9,315&lt;=$NS$9),IF($NP$9="Single_Point",IF(315=$NR$9,$NN$9,0),IF($NP$9="Bell_Curve",$NN$9*(315-$NR$9+1)*($NS$9-315+1)/$NU$9,$NN$9/$NT$9)),0)</f>
        <v/>
      </c>
      <c r="LH9" s="228">
        <f>IF(AND(316&gt;=$NR$9,316&lt;=$NS$9),IF($NP$9="Single_Point",IF(316=$NR$9,$NN$9,0),IF($NP$9="Bell_Curve",$NN$9*(316-$NR$9+1)*($NS$9-316+1)/$NU$9,$NN$9/$NT$9)),0)</f>
        <v/>
      </c>
      <c r="LI9" s="228">
        <f>IF(AND(317&gt;=$NR$9,317&lt;=$NS$9),IF($NP$9="Single_Point",IF(317=$NR$9,$NN$9,0),IF($NP$9="Bell_Curve",$NN$9*(317-$NR$9+1)*($NS$9-317+1)/$NU$9,$NN$9/$NT$9)),0)</f>
        <v/>
      </c>
      <c r="LJ9" s="228">
        <f>IF(AND(318&gt;=$NR$9,318&lt;=$NS$9),IF($NP$9="Single_Point",IF(318=$NR$9,$NN$9,0),IF($NP$9="Bell_Curve",$NN$9*(318-$NR$9+1)*($NS$9-318+1)/$NU$9,$NN$9/$NT$9)),0)</f>
        <v/>
      </c>
      <c r="LK9" s="228">
        <f>IF(AND(319&gt;=$NR$9,319&lt;=$NS$9),IF($NP$9="Single_Point",IF(319=$NR$9,$NN$9,0),IF($NP$9="Bell_Curve",$NN$9*(319-$NR$9+1)*($NS$9-319+1)/$NU$9,$NN$9/$NT$9)),0)</f>
        <v/>
      </c>
      <c r="LL9" s="228">
        <f>IF(AND(320&gt;=$NR$9,320&lt;=$NS$9),IF($NP$9="Single_Point",IF(320=$NR$9,$NN$9,0),IF($NP$9="Bell_Curve",$NN$9*(320-$NR$9+1)*($NS$9-320+1)/$NU$9,$NN$9/$NT$9)),0)</f>
        <v/>
      </c>
      <c r="LM9" s="228">
        <f>IF(AND(321&gt;=$NR$9,321&lt;=$NS$9),IF($NP$9="Single_Point",IF(321=$NR$9,$NN$9,0),IF($NP$9="Bell_Curve",$NN$9*(321-$NR$9+1)*($NS$9-321+1)/$NU$9,$NN$9/$NT$9)),0)</f>
        <v/>
      </c>
      <c r="LN9" s="228">
        <f>IF(AND(322&gt;=$NR$9,322&lt;=$NS$9),IF($NP$9="Single_Point",IF(322=$NR$9,$NN$9,0),IF($NP$9="Bell_Curve",$NN$9*(322-$NR$9+1)*($NS$9-322+1)/$NU$9,$NN$9/$NT$9)),0)</f>
        <v/>
      </c>
      <c r="LO9" s="228">
        <f>IF(AND(323&gt;=$NR$9,323&lt;=$NS$9),IF($NP$9="Single_Point",IF(323=$NR$9,$NN$9,0),IF($NP$9="Bell_Curve",$NN$9*(323-$NR$9+1)*($NS$9-323+1)/$NU$9,$NN$9/$NT$9)),0)</f>
        <v/>
      </c>
      <c r="LP9" s="228">
        <f>IF(AND(324&gt;=$NR$9,324&lt;=$NS$9),IF($NP$9="Single_Point",IF(324=$NR$9,$NN$9,0),IF($NP$9="Bell_Curve",$NN$9*(324-$NR$9+1)*($NS$9-324+1)/$NU$9,$NN$9/$NT$9)),0)</f>
        <v/>
      </c>
      <c r="LQ9" s="228">
        <f>IF(AND(325&gt;=$NR$9,325&lt;=$NS$9),IF($NP$9="Single_Point",IF(325=$NR$9,$NN$9,0),IF($NP$9="Bell_Curve",$NN$9*(325-$NR$9+1)*($NS$9-325+1)/$NU$9,$NN$9/$NT$9)),0)</f>
        <v/>
      </c>
      <c r="LR9" s="228">
        <f>IF(AND(326&gt;=$NR$9,326&lt;=$NS$9),IF($NP$9="Single_Point",IF(326=$NR$9,$NN$9,0),IF($NP$9="Bell_Curve",$NN$9*(326-$NR$9+1)*($NS$9-326+1)/$NU$9,$NN$9/$NT$9)),0)</f>
        <v/>
      </c>
      <c r="LS9" s="228">
        <f>IF(AND(327&gt;=$NR$9,327&lt;=$NS$9),IF($NP$9="Single_Point",IF(327=$NR$9,$NN$9,0),IF($NP$9="Bell_Curve",$NN$9*(327-$NR$9+1)*($NS$9-327+1)/$NU$9,$NN$9/$NT$9)),0)</f>
        <v/>
      </c>
      <c r="LT9" s="228">
        <f>IF(AND(328&gt;=$NR$9,328&lt;=$NS$9),IF($NP$9="Single_Point",IF(328=$NR$9,$NN$9,0),IF($NP$9="Bell_Curve",$NN$9*(328-$NR$9+1)*($NS$9-328+1)/$NU$9,$NN$9/$NT$9)),0)</f>
        <v/>
      </c>
      <c r="LU9" s="228">
        <f>IF(AND(329&gt;=$NR$9,329&lt;=$NS$9),IF($NP$9="Single_Point",IF(329=$NR$9,$NN$9,0),IF($NP$9="Bell_Curve",$NN$9*(329-$NR$9+1)*($NS$9-329+1)/$NU$9,$NN$9/$NT$9)),0)</f>
        <v/>
      </c>
      <c r="LV9" s="228">
        <f>IF(AND(330&gt;=$NR$9,330&lt;=$NS$9),IF($NP$9="Single_Point",IF(330=$NR$9,$NN$9,0),IF($NP$9="Bell_Curve",$NN$9*(330-$NR$9+1)*($NS$9-330+1)/$NU$9,$NN$9/$NT$9)),0)</f>
        <v/>
      </c>
      <c r="LW9" s="228">
        <f>IF(AND(331&gt;=$NR$9,331&lt;=$NS$9),IF($NP$9="Single_Point",IF(331=$NR$9,$NN$9,0),IF($NP$9="Bell_Curve",$NN$9*(331-$NR$9+1)*($NS$9-331+1)/$NU$9,$NN$9/$NT$9)),0)</f>
        <v/>
      </c>
      <c r="LX9" s="228">
        <f>IF(AND(332&gt;=$NR$9,332&lt;=$NS$9),IF($NP$9="Single_Point",IF(332=$NR$9,$NN$9,0),IF($NP$9="Bell_Curve",$NN$9*(332-$NR$9+1)*($NS$9-332+1)/$NU$9,$NN$9/$NT$9)),0)</f>
        <v/>
      </c>
      <c r="LY9" s="228">
        <f>IF(AND(333&gt;=$NR$9,333&lt;=$NS$9),IF($NP$9="Single_Point",IF(333=$NR$9,$NN$9,0),IF($NP$9="Bell_Curve",$NN$9*(333-$NR$9+1)*($NS$9-333+1)/$NU$9,$NN$9/$NT$9)),0)</f>
        <v/>
      </c>
      <c r="LZ9" s="228">
        <f>IF(AND(334&gt;=$NR$9,334&lt;=$NS$9),IF($NP$9="Single_Point",IF(334=$NR$9,$NN$9,0),IF($NP$9="Bell_Curve",$NN$9*(334-$NR$9+1)*($NS$9-334+1)/$NU$9,$NN$9/$NT$9)),0)</f>
        <v/>
      </c>
      <c r="MA9" s="228">
        <f>IF(AND(335&gt;=$NR$9,335&lt;=$NS$9),IF($NP$9="Single_Point",IF(335=$NR$9,$NN$9,0),IF($NP$9="Bell_Curve",$NN$9*(335-$NR$9+1)*($NS$9-335+1)/$NU$9,$NN$9/$NT$9)),0)</f>
        <v/>
      </c>
      <c r="MB9" s="228">
        <f>IF(AND(336&gt;=$NR$9,336&lt;=$NS$9),IF($NP$9="Single_Point",IF(336=$NR$9,$NN$9,0),IF($NP$9="Bell_Curve",$NN$9*(336-$NR$9+1)*($NS$9-336+1)/$NU$9,$NN$9/$NT$9)),0)</f>
        <v/>
      </c>
      <c r="MC9" s="228">
        <f>IF(AND(337&gt;=$NR$9,337&lt;=$NS$9),IF($NP$9="Single_Point",IF(337=$NR$9,$NN$9,0),IF($NP$9="Bell_Curve",$NN$9*(337-$NR$9+1)*($NS$9-337+1)/$NU$9,$NN$9/$NT$9)),0)</f>
        <v/>
      </c>
      <c r="MD9" s="228">
        <f>IF(AND(338&gt;=$NR$9,338&lt;=$NS$9),IF($NP$9="Single_Point",IF(338=$NR$9,$NN$9,0),IF($NP$9="Bell_Curve",$NN$9*(338-$NR$9+1)*($NS$9-338+1)/$NU$9,$NN$9/$NT$9)),0)</f>
        <v/>
      </c>
      <c r="ME9" s="228">
        <f>IF(AND(339&gt;=$NR$9,339&lt;=$NS$9),IF($NP$9="Single_Point",IF(339=$NR$9,$NN$9,0),IF($NP$9="Bell_Curve",$NN$9*(339-$NR$9+1)*($NS$9-339+1)/$NU$9,$NN$9/$NT$9)),0)</f>
        <v/>
      </c>
      <c r="MF9" s="228">
        <f>IF(AND(340&gt;=$NR$9,340&lt;=$NS$9),IF($NP$9="Single_Point",IF(340=$NR$9,$NN$9,0),IF($NP$9="Bell_Curve",$NN$9*(340-$NR$9+1)*($NS$9-340+1)/$NU$9,$NN$9/$NT$9)),0)</f>
        <v/>
      </c>
      <c r="MG9" s="228">
        <f>IF(AND(341&gt;=$NR$9,341&lt;=$NS$9),IF($NP$9="Single_Point",IF(341=$NR$9,$NN$9,0),IF($NP$9="Bell_Curve",$NN$9*(341-$NR$9+1)*($NS$9-341+1)/$NU$9,$NN$9/$NT$9)),0)</f>
        <v/>
      </c>
      <c r="MH9" s="228">
        <f>IF(AND(342&gt;=$NR$9,342&lt;=$NS$9),IF($NP$9="Single_Point",IF(342=$NR$9,$NN$9,0),IF($NP$9="Bell_Curve",$NN$9*(342-$NR$9+1)*($NS$9-342+1)/$NU$9,$NN$9/$NT$9)),0)</f>
        <v/>
      </c>
      <c r="MI9" s="228">
        <f>IF(AND(343&gt;=$NR$9,343&lt;=$NS$9),IF($NP$9="Single_Point",IF(343=$NR$9,$NN$9,0),IF($NP$9="Bell_Curve",$NN$9*(343-$NR$9+1)*($NS$9-343+1)/$NU$9,$NN$9/$NT$9)),0)</f>
        <v/>
      </c>
      <c r="MJ9" s="228">
        <f>IF(AND(344&gt;=$NR$9,344&lt;=$NS$9),IF($NP$9="Single_Point",IF(344=$NR$9,$NN$9,0),IF($NP$9="Bell_Curve",$NN$9*(344-$NR$9+1)*($NS$9-344+1)/$NU$9,$NN$9/$NT$9)),0)</f>
        <v/>
      </c>
      <c r="MK9" s="228">
        <f>IF(AND(345&gt;=$NR$9,345&lt;=$NS$9),IF($NP$9="Single_Point",IF(345=$NR$9,$NN$9,0),IF($NP$9="Bell_Curve",$NN$9*(345-$NR$9+1)*($NS$9-345+1)/$NU$9,$NN$9/$NT$9)),0)</f>
        <v/>
      </c>
      <c r="ML9" s="228">
        <f>IF(AND(346&gt;=$NR$9,346&lt;=$NS$9),IF($NP$9="Single_Point",IF(346=$NR$9,$NN$9,0),IF($NP$9="Bell_Curve",$NN$9*(346-$NR$9+1)*($NS$9-346+1)/$NU$9,$NN$9/$NT$9)),0)</f>
        <v/>
      </c>
      <c r="MM9" s="228">
        <f>IF(AND(347&gt;=$NR$9,347&lt;=$NS$9),IF($NP$9="Single_Point",IF(347=$NR$9,$NN$9,0),IF($NP$9="Bell_Curve",$NN$9*(347-$NR$9+1)*($NS$9-347+1)/$NU$9,$NN$9/$NT$9)),0)</f>
        <v/>
      </c>
      <c r="MN9" s="228">
        <f>IF(AND(348&gt;=$NR$9,348&lt;=$NS$9),IF($NP$9="Single_Point",IF(348=$NR$9,$NN$9,0),IF($NP$9="Bell_Curve",$NN$9*(348-$NR$9+1)*($NS$9-348+1)/$NU$9,$NN$9/$NT$9)),0)</f>
        <v/>
      </c>
      <c r="MO9" s="228">
        <f>IF(AND(349&gt;=$NR$9,349&lt;=$NS$9),IF($NP$9="Single_Point",IF(349=$NR$9,$NN$9,0),IF($NP$9="Bell_Curve",$NN$9*(349-$NR$9+1)*($NS$9-349+1)/$NU$9,$NN$9/$NT$9)),0)</f>
        <v/>
      </c>
      <c r="MP9" s="228">
        <f>IF(AND(350&gt;=$NR$9,350&lt;=$NS$9),IF($NP$9="Single_Point",IF(350=$NR$9,$NN$9,0),IF($NP$9="Bell_Curve",$NN$9*(350-$NR$9+1)*($NS$9-350+1)/$NU$9,$NN$9/$NT$9)),0)</f>
        <v/>
      </c>
      <c r="MQ9" s="228">
        <f>IF(AND(351&gt;=$NR$9,351&lt;=$NS$9),IF($NP$9="Single_Point",IF(351=$NR$9,$NN$9,0),IF($NP$9="Bell_Curve",$NN$9*(351-$NR$9+1)*($NS$9-351+1)/$NU$9,$NN$9/$NT$9)),0)</f>
        <v/>
      </c>
      <c r="MR9" s="228">
        <f>IF(AND(352&gt;=$NR$9,352&lt;=$NS$9),IF($NP$9="Single_Point",IF(352=$NR$9,$NN$9,0),IF($NP$9="Bell_Curve",$NN$9*(352-$NR$9+1)*($NS$9-352+1)/$NU$9,$NN$9/$NT$9)),0)</f>
        <v/>
      </c>
      <c r="MS9" s="228">
        <f>IF(AND(353&gt;=$NR$9,353&lt;=$NS$9),IF($NP$9="Single_Point",IF(353=$NR$9,$NN$9,0),IF($NP$9="Bell_Curve",$NN$9*(353-$NR$9+1)*($NS$9-353+1)/$NU$9,$NN$9/$NT$9)),0)</f>
        <v/>
      </c>
      <c r="MT9" s="228">
        <f>IF(AND(354&gt;=$NR$9,354&lt;=$NS$9),IF($NP$9="Single_Point",IF(354=$NR$9,$NN$9,0),IF($NP$9="Bell_Curve",$NN$9*(354-$NR$9+1)*($NS$9-354+1)/$NU$9,$NN$9/$NT$9)),0)</f>
        <v/>
      </c>
      <c r="MU9" s="228">
        <f>IF(AND(355&gt;=$NR$9,355&lt;=$NS$9),IF($NP$9="Single_Point",IF(355=$NR$9,$NN$9,0),IF($NP$9="Bell_Curve",$NN$9*(355-$NR$9+1)*($NS$9-355+1)/$NU$9,$NN$9/$NT$9)),0)</f>
        <v/>
      </c>
      <c r="MV9" s="228">
        <f>IF(AND(356&gt;=$NR$9,356&lt;=$NS$9),IF($NP$9="Single_Point",IF(356=$NR$9,$NN$9,0),IF($NP$9="Bell_Curve",$NN$9*(356-$NR$9+1)*($NS$9-356+1)/$NU$9,$NN$9/$NT$9)),0)</f>
        <v/>
      </c>
      <c r="MW9" s="228">
        <f>IF(AND(357&gt;=$NR$9,357&lt;=$NS$9),IF($NP$9="Single_Point",IF(357=$NR$9,$NN$9,0),IF($NP$9="Bell_Curve",$NN$9*(357-$NR$9+1)*($NS$9-357+1)/$NU$9,$NN$9/$NT$9)),0)</f>
        <v/>
      </c>
      <c r="MX9" s="228">
        <f>IF(AND(358&gt;=$NR$9,358&lt;=$NS$9),IF($NP$9="Single_Point",IF(358=$NR$9,$NN$9,0),IF($NP$9="Bell_Curve",$NN$9*(358-$NR$9+1)*($NS$9-358+1)/$NU$9,$NN$9/$NT$9)),0)</f>
        <v/>
      </c>
      <c r="MY9" s="228">
        <f>IF(AND(359&gt;=$NR$9,359&lt;=$NS$9),IF($NP$9="Single_Point",IF(359=$NR$9,$NN$9,0),IF($NP$9="Bell_Curve",$NN$9*(359-$NR$9+1)*($NS$9-359+1)/$NU$9,$NN$9/$NT$9)),0)</f>
        <v/>
      </c>
      <c r="MZ9" s="228">
        <f>IF(AND(360&gt;=$NR$9,360&lt;=$NS$9),IF($NP$9="Single_Point",IF(360=$NR$9,$NN$9,0),IF($NP$9="Bell_Curve",$NN$9*(360-$NR$9+1)*($NS$9-360+1)/$NU$9,$NN$9/$NT$9)),0)</f>
        <v/>
      </c>
      <c r="NA9" s="228">
        <f>IF(AND(361&gt;=$NR$9,361&lt;=$NS$9),IF($NP$9="Single_Point",IF(361=$NR$9,$NN$9,0),IF($NP$9="Bell_Curve",$NN$9*(361-$NR$9+1)*($NS$9-361+1)/$NU$9,$NN$9/$NT$9)),0)</f>
        <v/>
      </c>
      <c r="NB9" s="228">
        <f>IF(AND(362&gt;=$NR$9,362&lt;=$NS$9),IF($NP$9="Single_Point",IF(362=$NR$9,$NN$9,0),IF($NP$9="Bell_Curve",$NN$9*(362-$NR$9+1)*($NS$9-362+1)/$NU$9,$NN$9/$NT$9)),0)</f>
        <v/>
      </c>
      <c r="NC9" s="228">
        <f>IF(AND(363&gt;=$NR$9,363&lt;=$NS$9),IF($NP$9="Single_Point",IF(363=$NR$9,$NN$9,0),IF($NP$9="Bell_Curve",$NN$9*(363-$NR$9+1)*($NS$9-363+1)/$NU$9,$NN$9/$NT$9)),0)</f>
        <v/>
      </c>
      <c r="ND9" s="228">
        <f>IF(AND(364&gt;=$NR$9,364&lt;=$NS$9),IF($NP$9="Single_Point",IF(364=$NR$9,$NN$9,0),IF($NP$9="Bell_Curve",$NN$9*(364-$NR$9+1)*($NS$9-364+1)/$NU$9,$NN$9/$NT$9)),0)</f>
        <v/>
      </c>
      <c r="NE9" s="228">
        <f>IF(AND(365&gt;=$NR$9,365&lt;=$NS$9),IF($NP$9="Single_Point",IF(365=$NR$9,$NN$9,0),IF($NP$9="Bell_Curve",$NN$9*(365-$NR$9+1)*($NS$9-365+1)/$NU$9,$NN$9/$NT$9)),0)</f>
        <v/>
      </c>
      <c r="NF9" s="228">
        <f>IF(AND(366&gt;=$NR$9,366&lt;=$NS$9),IF($NP$9="Single_Point",IF(366=$NR$9,$NN$9,0),IF($NP$9="Bell_Curve",$NN$9*(366-$NR$9+1)*($NS$9-366+1)/$NU$9,$NN$9/$NT$9)),0)</f>
        <v/>
      </c>
      <c r="NG9" s="228">
        <f>IF(AND(367&gt;=$NR$9,367&lt;=$NS$9),IF($NP$9="Single_Point",IF(367=$NR$9,$NN$9,0),IF($NP$9="Bell_Curve",$NN$9*(367-$NR$9+1)*($NS$9-367+1)/$NU$9,$NN$9/$NT$9)),0)</f>
        <v/>
      </c>
      <c r="NH9" s="228">
        <f>IF(AND(368&gt;=$NR$9,368&lt;=$NS$9),IF($NP$9="Single_Point",IF(368=$NR$9,$NN$9,0),IF($NP$9="Bell_Curve",$NN$9*(368-$NR$9+1)*($NS$9-368+1)/$NU$9,$NN$9/$NT$9)),0)</f>
        <v/>
      </c>
      <c r="NI9" s="228">
        <f>IF(AND(369&gt;=$NR$9,369&lt;=$NS$9),IF($NP$9="Single_Point",IF(369=$NR$9,$NN$9,0),IF($NP$9="Bell_Curve",$NN$9*(369-$NR$9+1)*($NS$9-369+1)/$NU$9,$NN$9/$NT$9)),0)</f>
        <v/>
      </c>
      <c r="NJ9" s="228">
        <f>IF(AND(370&gt;=$NR$9,370&lt;=$NS$9),IF($NP$9="Single_Point",IF(370=$NR$9,$NN$9,0),IF($NP$9="Bell_Curve",$NN$9*(370-$NR$9+1)*($NS$9-370+1)/$NU$9,$NN$9/$NT$9)),0)</f>
        <v/>
      </c>
      <c r="NK9" s="228">
        <f>IF(AND(371&gt;=$NR$9,371&lt;=$NS$9),IF($NP$9="Single_Point",IF(371=$NR$9,$NN$9,0),IF($NP$9="Bell_Curve",$NN$9*(371-$NR$9+1)*($NS$9-371+1)/$NU$9,$NN$9/$NT$9)),0)</f>
        <v/>
      </c>
      <c r="NL9" s="247">
        <f>IF(AND(372&gt;=$NR$9,372&lt;=$NS$9),IF($NP$9="Single_Point",IF(372=$NR$9,$NN$9,0),IF($NP$9="Bell_Curve",$NN$9*(372-$NR$9+1)*($NS$9-372+1)/$NU$9,$NN$9/$NT$9)),0)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36" t="inlineStr">
        <is>
          <t>Architecture &amp; Eng.</t>
        </is>
      </c>
      <c r="D10" s="246">
        <f>SUM(E10:NL10)</f>
        <v/>
      </c>
      <c r="E10" s="228">
        <f>IF(AND(1&gt;=$NR$10,1&lt;=$NS$10),IF($NP$10="Single_Point",IF(1=$NR$10,$NN$10,0),IF($NP$10="Bell_Curve",$NN$10*(1-$NR$10+1)*($NS$10-1+1)/$NU$10,$NN$10/$NT$10)),0)</f>
        <v/>
      </c>
      <c r="F10" s="228">
        <f>IF(AND(2&gt;=$NR$10,2&lt;=$NS$10),IF($NP$10="Single_Point",IF(2=$NR$10,$NN$10,0),IF($NP$10="Bell_Curve",$NN$10*(2-$NR$10+1)*($NS$10-2+1)/$NU$10,$NN$10/$NT$10)),0)</f>
        <v/>
      </c>
      <c r="G10" s="228">
        <f>IF(AND(3&gt;=$NR$10,3&lt;=$NS$10),IF($NP$10="Single_Point",IF(3=$NR$10,$NN$10,0),IF($NP$10="Bell_Curve",$NN$10*(3-$NR$10+1)*($NS$10-3+1)/$NU$10,$NN$10/$NT$10)),0)</f>
        <v/>
      </c>
      <c r="H10" s="228">
        <f>IF(AND(4&gt;=$NR$10,4&lt;=$NS$10),IF($NP$10="Single_Point",IF(4=$NR$10,$NN$10,0),IF($NP$10="Bell_Curve",$NN$10*(4-$NR$10+1)*($NS$10-4+1)/$NU$10,$NN$10/$NT$10)),0)</f>
        <v/>
      </c>
      <c r="I10" s="228">
        <f>IF(AND(5&gt;=$NR$10,5&lt;=$NS$10),IF($NP$10="Single_Point",IF(5=$NR$10,$NN$10,0),IF($NP$10="Bell_Curve",$NN$10*(5-$NR$10+1)*($NS$10-5+1)/$NU$10,$NN$10/$NT$10)),0)</f>
        <v/>
      </c>
      <c r="J10" s="228">
        <f>IF(AND(6&gt;=$NR$10,6&lt;=$NS$10),IF($NP$10="Single_Point",IF(6=$NR$10,$NN$10,0),IF($NP$10="Bell_Curve",$NN$10*(6-$NR$10+1)*($NS$10-6+1)/$NU$10,$NN$10/$NT$10)),0)</f>
        <v/>
      </c>
      <c r="K10" s="228">
        <f>IF(AND(7&gt;=$NR$10,7&lt;=$NS$10),IF($NP$10="Single_Point",IF(7=$NR$10,$NN$10,0),IF($NP$10="Bell_Curve",$NN$10*(7-$NR$10+1)*($NS$10-7+1)/$NU$10,$NN$10/$NT$10)),0)</f>
        <v/>
      </c>
      <c r="L10" s="228">
        <f>IF(AND(8&gt;=$NR$10,8&lt;=$NS$10),IF($NP$10="Single_Point",IF(8=$NR$10,$NN$10,0),IF($NP$10="Bell_Curve",$NN$10*(8-$NR$10+1)*($NS$10-8+1)/$NU$10,$NN$10/$NT$10)),0)</f>
        <v/>
      </c>
      <c r="M10" s="228">
        <f>IF(AND(9&gt;=$NR$10,9&lt;=$NS$10),IF($NP$10="Single_Point",IF(9=$NR$10,$NN$10,0),IF($NP$10="Bell_Curve",$NN$10*(9-$NR$10+1)*($NS$10-9+1)/$NU$10,$NN$10/$NT$10)),0)</f>
        <v/>
      </c>
      <c r="N10" s="228">
        <f>IF(AND(10&gt;=$NR$10,10&lt;=$NS$10),IF($NP$10="Single_Point",IF(10=$NR$10,$NN$10,0),IF($NP$10="Bell_Curve",$NN$10*(10-$NR$10+1)*($NS$10-10+1)/$NU$10,$NN$10/$NT$10)),0)</f>
        <v/>
      </c>
      <c r="O10" s="228">
        <f>IF(AND(11&gt;=$NR$10,11&lt;=$NS$10),IF($NP$10="Single_Point",IF(11=$NR$10,$NN$10,0),IF($NP$10="Bell_Curve",$NN$10*(11-$NR$10+1)*($NS$10-11+1)/$NU$10,$NN$10/$NT$10)),0)</f>
        <v/>
      </c>
      <c r="P10" s="228">
        <f>IF(AND(12&gt;=$NR$10,12&lt;=$NS$10),IF($NP$10="Single_Point",IF(12=$NR$10,$NN$10,0),IF($NP$10="Bell_Curve",$NN$10*(12-$NR$10+1)*($NS$10-12+1)/$NU$10,$NN$10/$NT$10)),0)</f>
        <v/>
      </c>
      <c r="Q10" s="228">
        <f>IF(AND(13&gt;=$NR$10,13&lt;=$NS$10),IF($NP$10="Single_Point",IF(13=$NR$10,$NN$10,0),IF($NP$10="Bell_Curve",$NN$10*(13-$NR$10+1)*($NS$10-13+1)/$NU$10,$NN$10/$NT$10)),0)</f>
        <v/>
      </c>
      <c r="R10" s="228">
        <f>IF(AND(14&gt;=$NR$10,14&lt;=$NS$10),IF($NP$10="Single_Point",IF(14=$NR$10,$NN$10,0),IF($NP$10="Bell_Curve",$NN$10*(14-$NR$10+1)*($NS$10-14+1)/$NU$10,$NN$10/$NT$10)),0)</f>
        <v/>
      </c>
      <c r="S10" s="228">
        <f>IF(AND(15&gt;=$NR$10,15&lt;=$NS$10),IF($NP$10="Single_Point",IF(15=$NR$10,$NN$10,0),IF($NP$10="Bell_Curve",$NN$10*(15-$NR$10+1)*($NS$10-15+1)/$NU$10,$NN$10/$NT$10)),0)</f>
        <v/>
      </c>
      <c r="T10" s="228">
        <f>IF(AND(16&gt;=$NR$10,16&lt;=$NS$10),IF($NP$10="Single_Point",IF(16=$NR$10,$NN$10,0),IF($NP$10="Bell_Curve",$NN$10*(16-$NR$10+1)*($NS$10-16+1)/$NU$10,$NN$10/$NT$10)),0)</f>
        <v/>
      </c>
      <c r="U10" s="228">
        <f>IF(AND(17&gt;=$NR$10,17&lt;=$NS$10),IF($NP$10="Single_Point",IF(17=$NR$10,$NN$10,0),IF($NP$10="Bell_Curve",$NN$10*(17-$NR$10+1)*($NS$10-17+1)/$NU$10,$NN$10/$NT$10)),0)</f>
        <v/>
      </c>
      <c r="V10" s="228">
        <f>IF(AND(18&gt;=$NR$10,18&lt;=$NS$10),IF($NP$10="Single_Point",IF(18=$NR$10,$NN$10,0),IF($NP$10="Bell_Curve",$NN$10*(18-$NR$10+1)*($NS$10-18+1)/$NU$10,$NN$10/$NT$10)),0)</f>
        <v/>
      </c>
      <c r="W10" s="228">
        <f>IF(AND(19&gt;=$NR$10,19&lt;=$NS$10),IF($NP$10="Single_Point",IF(19=$NR$10,$NN$10,0),IF($NP$10="Bell_Curve",$NN$10*(19-$NR$10+1)*($NS$10-19+1)/$NU$10,$NN$10/$NT$10)),0)</f>
        <v/>
      </c>
      <c r="X10" s="228">
        <f>IF(AND(20&gt;=$NR$10,20&lt;=$NS$10),IF($NP$10="Single_Point",IF(20=$NR$10,$NN$10,0),IF($NP$10="Bell_Curve",$NN$10*(20-$NR$10+1)*($NS$10-20+1)/$NU$10,$NN$10/$NT$10)),0)</f>
        <v/>
      </c>
      <c r="Y10" s="228">
        <f>IF(AND(21&gt;=$NR$10,21&lt;=$NS$10),IF($NP$10="Single_Point",IF(21=$NR$10,$NN$10,0),IF($NP$10="Bell_Curve",$NN$10*(21-$NR$10+1)*($NS$10-21+1)/$NU$10,$NN$10/$NT$10)),0)</f>
        <v/>
      </c>
      <c r="Z10" s="228">
        <f>IF(AND(22&gt;=$NR$10,22&lt;=$NS$10),IF($NP$10="Single_Point",IF(22=$NR$10,$NN$10,0),IF($NP$10="Bell_Curve",$NN$10*(22-$NR$10+1)*($NS$10-22+1)/$NU$10,$NN$10/$NT$10)),0)</f>
        <v/>
      </c>
      <c r="AA10" s="228">
        <f>IF(AND(23&gt;=$NR$10,23&lt;=$NS$10),IF($NP$10="Single_Point",IF(23=$NR$10,$NN$10,0),IF($NP$10="Bell_Curve",$NN$10*(23-$NR$10+1)*($NS$10-23+1)/$NU$10,$NN$10/$NT$10)),0)</f>
        <v/>
      </c>
      <c r="AB10" s="228">
        <f>IF(AND(24&gt;=$NR$10,24&lt;=$NS$10),IF($NP$10="Single_Point",IF(24=$NR$10,$NN$10,0),IF($NP$10="Bell_Curve",$NN$10*(24-$NR$10+1)*($NS$10-24+1)/$NU$10,$NN$10/$NT$10)),0)</f>
        <v/>
      </c>
      <c r="AC10" s="228">
        <f>IF(AND(25&gt;=$NR$10,25&lt;=$NS$10),IF($NP$10="Single_Point",IF(25=$NR$10,$NN$10,0),IF($NP$10="Bell_Curve",$NN$10*(25-$NR$10+1)*($NS$10-25+1)/$NU$10,$NN$10/$NT$10)),0)</f>
        <v/>
      </c>
      <c r="AD10" s="228">
        <f>IF(AND(26&gt;=$NR$10,26&lt;=$NS$10),IF($NP$10="Single_Point",IF(26=$NR$10,$NN$10,0),IF($NP$10="Bell_Curve",$NN$10*(26-$NR$10+1)*($NS$10-26+1)/$NU$10,$NN$10/$NT$10)),0)</f>
        <v/>
      </c>
      <c r="AE10" s="228">
        <f>IF(AND(27&gt;=$NR$10,27&lt;=$NS$10),IF($NP$10="Single_Point",IF(27=$NR$10,$NN$10,0),IF($NP$10="Bell_Curve",$NN$10*(27-$NR$10+1)*($NS$10-27+1)/$NU$10,$NN$10/$NT$10)),0)</f>
        <v/>
      </c>
      <c r="AF10" s="228">
        <f>IF(AND(28&gt;=$NR$10,28&lt;=$NS$10),IF($NP$10="Single_Point",IF(28=$NR$10,$NN$10,0),IF($NP$10="Bell_Curve",$NN$10*(28-$NR$10+1)*($NS$10-28+1)/$NU$10,$NN$10/$NT$10)),0)</f>
        <v/>
      </c>
      <c r="AG10" s="228">
        <f>IF(AND(29&gt;=$NR$10,29&lt;=$NS$10),IF($NP$10="Single_Point",IF(29=$NR$10,$NN$10,0),IF($NP$10="Bell_Curve",$NN$10*(29-$NR$10+1)*($NS$10-29+1)/$NU$10,$NN$10/$NT$10)),0)</f>
        <v/>
      </c>
      <c r="AH10" s="228">
        <f>IF(AND(30&gt;=$NR$10,30&lt;=$NS$10),IF($NP$10="Single_Point",IF(30=$NR$10,$NN$10,0),IF($NP$10="Bell_Curve",$NN$10*(30-$NR$10+1)*($NS$10-30+1)/$NU$10,$NN$10/$NT$10)),0)</f>
        <v/>
      </c>
      <c r="AI10" s="228">
        <f>IF(AND(31&gt;=$NR$10,31&lt;=$NS$10),IF($NP$10="Single_Point",IF(31=$NR$10,$NN$10,0),IF($NP$10="Bell_Curve",$NN$10*(31-$NR$10+1)*($NS$10-31+1)/$NU$10,$NN$10/$NT$10)),0)</f>
        <v/>
      </c>
      <c r="AJ10" s="228">
        <f>IF(AND(32&gt;=$NR$10,32&lt;=$NS$10),IF($NP$10="Single_Point",IF(32=$NR$10,$NN$10,0),IF($NP$10="Bell_Curve",$NN$10*(32-$NR$10+1)*($NS$10-32+1)/$NU$10,$NN$10/$NT$10)),0)</f>
        <v/>
      </c>
      <c r="AK10" s="228">
        <f>IF(AND(33&gt;=$NR$10,33&lt;=$NS$10),IF($NP$10="Single_Point",IF(33=$NR$10,$NN$10,0),IF($NP$10="Bell_Curve",$NN$10*(33-$NR$10+1)*($NS$10-33+1)/$NU$10,$NN$10/$NT$10)),0)</f>
        <v/>
      </c>
      <c r="AL10" s="228">
        <f>IF(AND(34&gt;=$NR$10,34&lt;=$NS$10),IF($NP$10="Single_Point",IF(34=$NR$10,$NN$10,0),IF($NP$10="Bell_Curve",$NN$10*(34-$NR$10+1)*($NS$10-34+1)/$NU$10,$NN$10/$NT$10)),0)</f>
        <v/>
      </c>
      <c r="AM10" s="228">
        <f>IF(AND(35&gt;=$NR$10,35&lt;=$NS$10),IF($NP$10="Single_Point",IF(35=$NR$10,$NN$10,0),IF($NP$10="Bell_Curve",$NN$10*(35-$NR$10+1)*($NS$10-35+1)/$NU$10,$NN$10/$NT$10)),0)</f>
        <v/>
      </c>
      <c r="AN10" s="228">
        <f>IF(AND(36&gt;=$NR$10,36&lt;=$NS$10),IF($NP$10="Single_Point",IF(36=$NR$10,$NN$10,0),IF($NP$10="Bell_Curve",$NN$10*(36-$NR$10+1)*($NS$10-36+1)/$NU$10,$NN$10/$NT$10)),0)</f>
        <v/>
      </c>
      <c r="AO10" s="228">
        <f>IF(AND(37&gt;=$NR$10,37&lt;=$NS$10),IF($NP$10="Single_Point",IF(37=$NR$10,$NN$10,0),IF($NP$10="Bell_Curve",$NN$10*(37-$NR$10+1)*($NS$10-37+1)/$NU$10,$NN$10/$NT$10)),0)</f>
        <v/>
      </c>
      <c r="AP10" s="228">
        <f>IF(AND(38&gt;=$NR$10,38&lt;=$NS$10),IF($NP$10="Single_Point",IF(38=$NR$10,$NN$10,0),IF($NP$10="Bell_Curve",$NN$10*(38-$NR$10+1)*($NS$10-38+1)/$NU$10,$NN$10/$NT$10)),0)</f>
        <v/>
      </c>
      <c r="AQ10" s="228">
        <f>IF(AND(39&gt;=$NR$10,39&lt;=$NS$10),IF($NP$10="Single_Point",IF(39=$NR$10,$NN$10,0),IF($NP$10="Bell_Curve",$NN$10*(39-$NR$10+1)*($NS$10-39+1)/$NU$10,$NN$10/$NT$10)),0)</f>
        <v/>
      </c>
      <c r="AR10" s="228">
        <f>IF(AND(40&gt;=$NR$10,40&lt;=$NS$10),IF($NP$10="Single_Point",IF(40=$NR$10,$NN$10,0),IF($NP$10="Bell_Curve",$NN$10*(40-$NR$10+1)*($NS$10-40+1)/$NU$10,$NN$10/$NT$10)),0)</f>
        <v/>
      </c>
      <c r="AS10" s="228">
        <f>IF(AND(41&gt;=$NR$10,41&lt;=$NS$10),IF($NP$10="Single_Point",IF(41=$NR$10,$NN$10,0),IF($NP$10="Bell_Curve",$NN$10*(41-$NR$10+1)*($NS$10-41+1)/$NU$10,$NN$10/$NT$10)),0)</f>
        <v/>
      </c>
      <c r="AT10" s="228">
        <f>IF(AND(42&gt;=$NR$10,42&lt;=$NS$10),IF($NP$10="Single_Point",IF(42=$NR$10,$NN$10,0),IF($NP$10="Bell_Curve",$NN$10*(42-$NR$10+1)*($NS$10-42+1)/$NU$10,$NN$10/$NT$10)),0)</f>
        <v/>
      </c>
      <c r="AU10" s="228">
        <f>IF(AND(43&gt;=$NR$10,43&lt;=$NS$10),IF($NP$10="Single_Point",IF(43=$NR$10,$NN$10,0),IF($NP$10="Bell_Curve",$NN$10*(43-$NR$10+1)*($NS$10-43+1)/$NU$10,$NN$10/$NT$10)),0)</f>
        <v/>
      </c>
      <c r="AV10" s="228">
        <f>IF(AND(44&gt;=$NR$10,44&lt;=$NS$10),IF($NP$10="Single_Point",IF(44=$NR$10,$NN$10,0),IF($NP$10="Bell_Curve",$NN$10*(44-$NR$10+1)*($NS$10-44+1)/$NU$10,$NN$10/$NT$10)),0)</f>
        <v/>
      </c>
      <c r="AW10" s="228">
        <f>IF(AND(45&gt;=$NR$10,45&lt;=$NS$10),IF($NP$10="Single_Point",IF(45=$NR$10,$NN$10,0),IF($NP$10="Bell_Curve",$NN$10*(45-$NR$10+1)*($NS$10-45+1)/$NU$10,$NN$10/$NT$10)),0)</f>
        <v/>
      </c>
      <c r="AX10" s="228">
        <f>IF(AND(46&gt;=$NR$10,46&lt;=$NS$10),IF($NP$10="Single_Point",IF(46=$NR$10,$NN$10,0),IF($NP$10="Bell_Curve",$NN$10*(46-$NR$10+1)*($NS$10-46+1)/$NU$10,$NN$10/$NT$10)),0)</f>
        <v/>
      </c>
      <c r="AY10" s="228">
        <f>IF(AND(47&gt;=$NR$10,47&lt;=$NS$10),IF($NP$10="Single_Point",IF(47=$NR$10,$NN$10,0),IF($NP$10="Bell_Curve",$NN$10*(47-$NR$10+1)*($NS$10-47+1)/$NU$10,$NN$10/$NT$10)),0)</f>
        <v/>
      </c>
      <c r="AZ10" s="228">
        <f>IF(AND(48&gt;=$NR$10,48&lt;=$NS$10),IF($NP$10="Single_Point",IF(48=$NR$10,$NN$10,0),IF($NP$10="Bell_Curve",$NN$10*(48-$NR$10+1)*($NS$10-48+1)/$NU$10,$NN$10/$NT$10)),0)</f>
        <v/>
      </c>
      <c r="BA10" s="228">
        <f>IF(AND(49&gt;=$NR$10,49&lt;=$NS$10),IF($NP$10="Single_Point",IF(49=$NR$10,$NN$10,0),IF($NP$10="Bell_Curve",$NN$10*(49-$NR$10+1)*($NS$10-49+1)/$NU$10,$NN$10/$NT$10)),0)</f>
        <v/>
      </c>
      <c r="BB10" s="228">
        <f>IF(AND(50&gt;=$NR$10,50&lt;=$NS$10),IF($NP$10="Single_Point",IF(50=$NR$10,$NN$10,0),IF($NP$10="Bell_Curve",$NN$10*(50-$NR$10+1)*($NS$10-50+1)/$NU$10,$NN$10/$NT$10)),0)</f>
        <v/>
      </c>
      <c r="BC10" s="228">
        <f>IF(AND(51&gt;=$NR$10,51&lt;=$NS$10),IF($NP$10="Single_Point",IF(51=$NR$10,$NN$10,0),IF($NP$10="Bell_Curve",$NN$10*(51-$NR$10+1)*($NS$10-51+1)/$NU$10,$NN$10/$NT$10)),0)</f>
        <v/>
      </c>
      <c r="BD10" s="228">
        <f>IF(AND(52&gt;=$NR$10,52&lt;=$NS$10),IF($NP$10="Single_Point",IF(52=$NR$10,$NN$10,0),IF($NP$10="Bell_Curve",$NN$10*(52-$NR$10+1)*($NS$10-52+1)/$NU$10,$NN$10/$NT$10)),0)</f>
        <v/>
      </c>
      <c r="BE10" s="228">
        <f>IF(AND(53&gt;=$NR$10,53&lt;=$NS$10),IF($NP$10="Single_Point",IF(53=$NR$10,$NN$10,0),IF($NP$10="Bell_Curve",$NN$10*(53-$NR$10+1)*($NS$10-53+1)/$NU$10,$NN$10/$NT$10)),0)</f>
        <v/>
      </c>
      <c r="BF10" s="228">
        <f>IF(AND(54&gt;=$NR$10,54&lt;=$NS$10),IF($NP$10="Single_Point",IF(54=$NR$10,$NN$10,0),IF($NP$10="Bell_Curve",$NN$10*(54-$NR$10+1)*($NS$10-54+1)/$NU$10,$NN$10/$NT$10)),0)</f>
        <v/>
      </c>
      <c r="BG10" s="228">
        <f>IF(AND(55&gt;=$NR$10,55&lt;=$NS$10),IF($NP$10="Single_Point",IF(55=$NR$10,$NN$10,0),IF($NP$10="Bell_Curve",$NN$10*(55-$NR$10+1)*($NS$10-55+1)/$NU$10,$NN$10/$NT$10)),0)</f>
        <v/>
      </c>
      <c r="BH10" s="228">
        <f>IF(AND(56&gt;=$NR$10,56&lt;=$NS$10),IF($NP$10="Single_Point",IF(56=$NR$10,$NN$10,0),IF($NP$10="Bell_Curve",$NN$10*(56-$NR$10+1)*($NS$10-56+1)/$NU$10,$NN$10/$NT$10)),0)</f>
        <v/>
      </c>
      <c r="BI10" s="228">
        <f>IF(AND(57&gt;=$NR$10,57&lt;=$NS$10),IF($NP$10="Single_Point",IF(57=$NR$10,$NN$10,0),IF($NP$10="Bell_Curve",$NN$10*(57-$NR$10+1)*($NS$10-57+1)/$NU$10,$NN$10/$NT$10)),0)</f>
        <v/>
      </c>
      <c r="BJ10" s="228">
        <f>IF(AND(58&gt;=$NR$10,58&lt;=$NS$10),IF($NP$10="Single_Point",IF(58=$NR$10,$NN$10,0),IF($NP$10="Bell_Curve",$NN$10*(58-$NR$10+1)*($NS$10-58+1)/$NU$10,$NN$10/$NT$10)),0)</f>
        <v/>
      </c>
      <c r="BK10" s="228">
        <f>IF(AND(59&gt;=$NR$10,59&lt;=$NS$10),IF($NP$10="Single_Point",IF(59=$NR$10,$NN$10,0),IF($NP$10="Bell_Curve",$NN$10*(59-$NR$10+1)*($NS$10-59+1)/$NU$10,$NN$10/$NT$10)),0)</f>
        <v/>
      </c>
      <c r="BL10" s="228">
        <f>IF(AND(60&gt;=$NR$10,60&lt;=$NS$10),IF($NP$10="Single_Point",IF(60=$NR$10,$NN$10,0),IF($NP$10="Bell_Curve",$NN$10*(60-$NR$10+1)*($NS$10-60+1)/$NU$10,$NN$10/$NT$10)),0)</f>
        <v/>
      </c>
      <c r="BM10" s="228">
        <f>IF(AND(61&gt;=$NR$10,61&lt;=$NS$10),IF($NP$10="Single_Point",IF(61=$NR$10,$NN$10,0),IF($NP$10="Bell_Curve",$NN$10*(61-$NR$10+1)*($NS$10-61+1)/$NU$10,$NN$10/$NT$10)),0)</f>
        <v/>
      </c>
      <c r="BN10" s="228">
        <f>IF(AND(62&gt;=$NR$10,62&lt;=$NS$10),IF($NP$10="Single_Point",IF(62=$NR$10,$NN$10,0),IF($NP$10="Bell_Curve",$NN$10*(62-$NR$10+1)*($NS$10-62+1)/$NU$10,$NN$10/$NT$10)),0)</f>
        <v/>
      </c>
      <c r="BO10" s="228">
        <f>IF(AND(63&gt;=$NR$10,63&lt;=$NS$10),IF($NP$10="Single_Point",IF(63=$NR$10,$NN$10,0),IF($NP$10="Bell_Curve",$NN$10*(63-$NR$10+1)*($NS$10-63+1)/$NU$10,$NN$10/$NT$10)),0)</f>
        <v/>
      </c>
      <c r="BP10" s="228">
        <f>IF(AND(64&gt;=$NR$10,64&lt;=$NS$10),IF($NP$10="Single_Point",IF(64=$NR$10,$NN$10,0),IF($NP$10="Bell_Curve",$NN$10*(64-$NR$10+1)*($NS$10-64+1)/$NU$10,$NN$10/$NT$10)),0)</f>
        <v/>
      </c>
      <c r="BQ10" s="228">
        <f>IF(AND(65&gt;=$NR$10,65&lt;=$NS$10),IF($NP$10="Single_Point",IF(65=$NR$10,$NN$10,0),IF($NP$10="Bell_Curve",$NN$10*(65-$NR$10+1)*($NS$10-65+1)/$NU$10,$NN$10/$NT$10)),0)</f>
        <v/>
      </c>
      <c r="BR10" s="228">
        <f>IF(AND(66&gt;=$NR$10,66&lt;=$NS$10),IF($NP$10="Single_Point",IF(66=$NR$10,$NN$10,0),IF($NP$10="Bell_Curve",$NN$10*(66-$NR$10+1)*($NS$10-66+1)/$NU$10,$NN$10/$NT$10)),0)</f>
        <v/>
      </c>
      <c r="BS10" s="228">
        <f>IF(AND(67&gt;=$NR$10,67&lt;=$NS$10),IF($NP$10="Single_Point",IF(67=$NR$10,$NN$10,0),IF($NP$10="Bell_Curve",$NN$10*(67-$NR$10+1)*($NS$10-67+1)/$NU$10,$NN$10/$NT$10)),0)</f>
        <v/>
      </c>
      <c r="BT10" s="228">
        <f>IF(AND(68&gt;=$NR$10,68&lt;=$NS$10),IF($NP$10="Single_Point",IF(68=$NR$10,$NN$10,0),IF($NP$10="Bell_Curve",$NN$10*(68-$NR$10+1)*($NS$10-68+1)/$NU$10,$NN$10/$NT$10)),0)</f>
        <v/>
      </c>
      <c r="BU10" s="228">
        <f>IF(AND(69&gt;=$NR$10,69&lt;=$NS$10),IF($NP$10="Single_Point",IF(69=$NR$10,$NN$10,0),IF($NP$10="Bell_Curve",$NN$10*(69-$NR$10+1)*($NS$10-69+1)/$NU$10,$NN$10/$NT$10)),0)</f>
        <v/>
      </c>
      <c r="BV10" s="228">
        <f>IF(AND(70&gt;=$NR$10,70&lt;=$NS$10),IF($NP$10="Single_Point",IF(70=$NR$10,$NN$10,0),IF($NP$10="Bell_Curve",$NN$10*(70-$NR$10+1)*($NS$10-70+1)/$NU$10,$NN$10/$NT$10)),0)</f>
        <v/>
      </c>
      <c r="BW10" s="228">
        <f>IF(AND(71&gt;=$NR$10,71&lt;=$NS$10),IF($NP$10="Single_Point",IF(71=$NR$10,$NN$10,0),IF($NP$10="Bell_Curve",$NN$10*(71-$NR$10+1)*($NS$10-71+1)/$NU$10,$NN$10/$NT$10)),0)</f>
        <v/>
      </c>
      <c r="BX10" s="228">
        <f>IF(AND(72&gt;=$NR$10,72&lt;=$NS$10),IF($NP$10="Single_Point",IF(72=$NR$10,$NN$10,0),IF($NP$10="Bell_Curve",$NN$10*(72-$NR$10+1)*($NS$10-72+1)/$NU$10,$NN$10/$NT$10)),0)</f>
        <v/>
      </c>
      <c r="BY10" s="228">
        <f>IF(AND(73&gt;=$NR$10,73&lt;=$NS$10),IF($NP$10="Single_Point",IF(73=$NR$10,$NN$10,0),IF($NP$10="Bell_Curve",$NN$10*(73-$NR$10+1)*($NS$10-73+1)/$NU$10,$NN$10/$NT$10)),0)</f>
        <v/>
      </c>
      <c r="BZ10" s="228">
        <f>IF(AND(74&gt;=$NR$10,74&lt;=$NS$10),IF($NP$10="Single_Point",IF(74=$NR$10,$NN$10,0),IF($NP$10="Bell_Curve",$NN$10*(74-$NR$10+1)*($NS$10-74+1)/$NU$10,$NN$10/$NT$10)),0)</f>
        <v/>
      </c>
      <c r="CA10" s="228">
        <f>IF(AND(75&gt;=$NR$10,75&lt;=$NS$10),IF($NP$10="Single_Point",IF(75=$NR$10,$NN$10,0),IF($NP$10="Bell_Curve",$NN$10*(75-$NR$10+1)*($NS$10-75+1)/$NU$10,$NN$10/$NT$10)),0)</f>
        <v/>
      </c>
      <c r="CB10" s="228">
        <f>IF(AND(76&gt;=$NR$10,76&lt;=$NS$10),IF($NP$10="Single_Point",IF(76=$NR$10,$NN$10,0),IF($NP$10="Bell_Curve",$NN$10*(76-$NR$10+1)*($NS$10-76+1)/$NU$10,$NN$10/$NT$10)),0)</f>
        <v/>
      </c>
      <c r="CC10" s="228">
        <f>IF(AND(77&gt;=$NR$10,77&lt;=$NS$10),IF($NP$10="Single_Point",IF(77=$NR$10,$NN$10,0),IF($NP$10="Bell_Curve",$NN$10*(77-$NR$10+1)*($NS$10-77+1)/$NU$10,$NN$10/$NT$10)),0)</f>
        <v/>
      </c>
      <c r="CD10" s="228">
        <f>IF(AND(78&gt;=$NR$10,78&lt;=$NS$10),IF($NP$10="Single_Point",IF(78=$NR$10,$NN$10,0),IF($NP$10="Bell_Curve",$NN$10*(78-$NR$10+1)*($NS$10-78+1)/$NU$10,$NN$10/$NT$10)),0)</f>
        <v/>
      </c>
      <c r="CE10" s="228">
        <f>IF(AND(79&gt;=$NR$10,79&lt;=$NS$10),IF($NP$10="Single_Point",IF(79=$NR$10,$NN$10,0),IF($NP$10="Bell_Curve",$NN$10*(79-$NR$10+1)*($NS$10-79+1)/$NU$10,$NN$10/$NT$10)),0)</f>
        <v/>
      </c>
      <c r="CF10" s="228">
        <f>IF(AND(80&gt;=$NR$10,80&lt;=$NS$10),IF($NP$10="Single_Point",IF(80=$NR$10,$NN$10,0),IF($NP$10="Bell_Curve",$NN$10*(80-$NR$10+1)*($NS$10-80+1)/$NU$10,$NN$10/$NT$10)),0)</f>
        <v/>
      </c>
      <c r="CG10" s="228">
        <f>IF(AND(81&gt;=$NR$10,81&lt;=$NS$10),IF($NP$10="Single_Point",IF(81=$NR$10,$NN$10,0),IF($NP$10="Bell_Curve",$NN$10*(81-$NR$10+1)*($NS$10-81+1)/$NU$10,$NN$10/$NT$10)),0)</f>
        <v/>
      </c>
      <c r="CH10" s="228">
        <f>IF(AND(82&gt;=$NR$10,82&lt;=$NS$10),IF($NP$10="Single_Point",IF(82=$NR$10,$NN$10,0),IF($NP$10="Bell_Curve",$NN$10*(82-$NR$10+1)*($NS$10-82+1)/$NU$10,$NN$10/$NT$10)),0)</f>
        <v/>
      </c>
      <c r="CI10" s="228">
        <f>IF(AND(83&gt;=$NR$10,83&lt;=$NS$10),IF($NP$10="Single_Point",IF(83=$NR$10,$NN$10,0),IF($NP$10="Bell_Curve",$NN$10*(83-$NR$10+1)*($NS$10-83+1)/$NU$10,$NN$10/$NT$10)),0)</f>
        <v/>
      </c>
      <c r="CJ10" s="228">
        <f>IF(AND(84&gt;=$NR$10,84&lt;=$NS$10),IF($NP$10="Single_Point",IF(84=$NR$10,$NN$10,0),IF($NP$10="Bell_Curve",$NN$10*(84-$NR$10+1)*($NS$10-84+1)/$NU$10,$NN$10/$NT$10)),0)</f>
        <v/>
      </c>
      <c r="CK10" s="228">
        <f>IF(AND(85&gt;=$NR$10,85&lt;=$NS$10),IF($NP$10="Single_Point",IF(85=$NR$10,$NN$10,0),IF($NP$10="Bell_Curve",$NN$10*(85-$NR$10+1)*($NS$10-85+1)/$NU$10,$NN$10/$NT$10)),0)</f>
        <v/>
      </c>
      <c r="CL10" s="228">
        <f>IF(AND(86&gt;=$NR$10,86&lt;=$NS$10),IF($NP$10="Single_Point",IF(86=$NR$10,$NN$10,0),IF($NP$10="Bell_Curve",$NN$10*(86-$NR$10+1)*($NS$10-86+1)/$NU$10,$NN$10/$NT$10)),0)</f>
        <v/>
      </c>
      <c r="CM10" s="228">
        <f>IF(AND(87&gt;=$NR$10,87&lt;=$NS$10),IF($NP$10="Single_Point",IF(87=$NR$10,$NN$10,0),IF($NP$10="Bell_Curve",$NN$10*(87-$NR$10+1)*($NS$10-87+1)/$NU$10,$NN$10/$NT$10)),0)</f>
        <v/>
      </c>
      <c r="CN10" s="228">
        <f>IF(AND(88&gt;=$NR$10,88&lt;=$NS$10),IF($NP$10="Single_Point",IF(88=$NR$10,$NN$10,0),IF($NP$10="Bell_Curve",$NN$10*(88-$NR$10+1)*($NS$10-88+1)/$NU$10,$NN$10/$NT$10)),0)</f>
        <v/>
      </c>
      <c r="CO10" s="228">
        <f>IF(AND(89&gt;=$NR$10,89&lt;=$NS$10),IF($NP$10="Single_Point",IF(89=$NR$10,$NN$10,0),IF($NP$10="Bell_Curve",$NN$10*(89-$NR$10+1)*($NS$10-89+1)/$NU$10,$NN$10/$NT$10)),0)</f>
        <v/>
      </c>
      <c r="CP10" s="228">
        <f>IF(AND(90&gt;=$NR$10,90&lt;=$NS$10),IF($NP$10="Single_Point",IF(90=$NR$10,$NN$10,0),IF($NP$10="Bell_Curve",$NN$10*(90-$NR$10+1)*($NS$10-90+1)/$NU$10,$NN$10/$NT$10)),0)</f>
        <v/>
      </c>
      <c r="CQ10" s="228">
        <f>IF(AND(91&gt;=$NR$10,91&lt;=$NS$10),IF($NP$10="Single_Point",IF(91=$NR$10,$NN$10,0),IF($NP$10="Bell_Curve",$NN$10*(91-$NR$10+1)*($NS$10-91+1)/$NU$10,$NN$10/$NT$10)),0)</f>
        <v/>
      </c>
      <c r="CR10" s="228">
        <f>IF(AND(92&gt;=$NR$10,92&lt;=$NS$10),IF($NP$10="Single_Point",IF(92=$NR$10,$NN$10,0),IF($NP$10="Bell_Curve",$NN$10*(92-$NR$10+1)*($NS$10-92+1)/$NU$10,$NN$10/$NT$10)),0)</f>
        <v/>
      </c>
      <c r="CS10" s="228">
        <f>IF(AND(93&gt;=$NR$10,93&lt;=$NS$10),IF($NP$10="Single_Point",IF(93=$NR$10,$NN$10,0),IF($NP$10="Bell_Curve",$NN$10*(93-$NR$10+1)*($NS$10-93+1)/$NU$10,$NN$10/$NT$10)),0)</f>
        <v/>
      </c>
      <c r="CT10" s="228">
        <f>IF(AND(94&gt;=$NR$10,94&lt;=$NS$10),IF($NP$10="Single_Point",IF(94=$NR$10,$NN$10,0),IF($NP$10="Bell_Curve",$NN$10*(94-$NR$10+1)*($NS$10-94+1)/$NU$10,$NN$10/$NT$10)),0)</f>
        <v/>
      </c>
      <c r="CU10" s="228">
        <f>IF(AND(95&gt;=$NR$10,95&lt;=$NS$10),IF($NP$10="Single_Point",IF(95=$NR$10,$NN$10,0),IF($NP$10="Bell_Curve",$NN$10*(95-$NR$10+1)*($NS$10-95+1)/$NU$10,$NN$10/$NT$10)),0)</f>
        <v/>
      </c>
      <c r="CV10" s="228">
        <f>IF(AND(96&gt;=$NR$10,96&lt;=$NS$10),IF($NP$10="Single_Point",IF(96=$NR$10,$NN$10,0),IF($NP$10="Bell_Curve",$NN$10*(96-$NR$10+1)*($NS$10-96+1)/$NU$10,$NN$10/$NT$10)),0)</f>
        <v/>
      </c>
      <c r="CW10" s="228">
        <f>IF(AND(97&gt;=$NR$10,97&lt;=$NS$10),IF($NP$10="Single_Point",IF(97=$NR$10,$NN$10,0),IF($NP$10="Bell_Curve",$NN$10*(97-$NR$10+1)*($NS$10-97+1)/$NU$10,$NN$10/$NT$10)),0)</f>
        <v/>
      </c>
      <c r="CX10" s="228">
        <f>IF(AND(98&gt;=$NR$10,98&lt;=$NS$10),IF($NP$10="Single_Point",IF(98=$NR$10,$NN$10,0),IF($NP$10="Bell_Curve",$NN$10*(98-$NR$10+1)*($NS$10-98+1)/$NU$10,$NN$10/$NT$10)),0)</f>
        <v/>
      </c>
      <c r="CY10" s="228">
        <f>IF(AND(99&gt;=$NR$10,99&lt;=$NS$10),IF($NP$10="Single_Point",IF(99=$NR$10,$NN$10,0),IF($NP$10="Bell_Curve",$NN$10*(99-$NR$10+1)*($NS$10-99+1)/$NU$10,$NN$10/$NT$10)),0)</f>
        <v/>
      </c>
      <c r="CZ10" s="228">
        <f>IF(AND(100&gt;=$NR$10,100&lt;=$NS$10),IF($NP$10="Single_Point",IF(100=$NR$10,$NN$10,0),IF($NP$10="Bell_Curve",$NN$10*(100-$NR$10+1)*($NS$10-100+1)/$NU$10,$NN$10/$NT$10)),0)</f>
        <v/>
      </c>
      <c r="DA10" s="228">
        <f>IF(AND(101&gt;=$NR$10,101&lt;=$NS$10),IF($NP$10="Single_Point",IF(101=$NR$10,$NN$10,0),IF($NP$10="Bell_Curve",$NN$10*(101-$NR$10+1)*($NS$10-101+1)/$NU$10,$NN$10/$NT$10)),0)</f>
        <v/>
      </c>
      <c r="DB10" s="228">
        <f>IF(AND(102&gt;=$NR$10,102&lt;=$NS$10),IF($NP$10="Single_Point",IF(102=$NR$10,$NN$10,0),IF($NP$10="Bell_Curve",$NN$10*(102-$NR$10+1)*($NS$10-102+1)/$NU$10,$NN$10/$NT$10)),0)</f>
        <v/>
      </c>
      <c r="DC10" s="228">
        <f>IF(AND(103&gt;=$NR$10,103&lt;=$NS$10),IF($NP$10="Single_Point",IF(103=$NR$10,$NN$10,0),IF($NP$10="Bell_Curve",$NN$10*(103-$NR$10+1)*($NS$10-103+1)/$NU$10,$NN$10/$NT$10)),0)</f>
        <v/>
      </c>
      <c r="DD10" s="228">
        <f>IF(AND(104&gt;=$NR$10,104&lt;=$NS$10),IF($NP$10="Single_Point",IF(104=$NR$10,$NN$10,0),IF($NP$10="Bell_Curve",$NN$10*(104-$NR$10+1)*($NS$10-104+1)/$NU$10,$NN$10/$NT$10)),0)</f>
        <v/>
      </c>
      <c r="DE10" s="228">
        <f>IF(AND(105&gt;=$NR$10,105&lt;=$NS$10),IF($NP$10="Single_Point",IF(105=$NR$10,$NN$10,0),IF($NP$10="Bell_Curve",$NN$10*(105-$NR$10+1)*($NS$10-105+1)/$NU$10,$NN$10/$NT$10)),0)</f>
        <v/>
      </c>
      <c r="DF10" s="228">
        <f>IF(AND(106&gt;=$NR$10,106&lt;=$NS$10),IF($NP$10="Single_Point",IF(106=$NR$10,$NN$10,0),IF($NP$10="Bell_Curve",$NN$10*(106-$NR$10+1)*($NS$10-106+1)/$NU$10,$NN$10/$NT$10)),0)</f>
        <v/>
      </c>
      <c r="DG10" s="228">
        <f>IF(AND(107&gt;=$NR$10,107&lt;=$NS$10),IF($NP$10="Single_Point",IF(107=$NR$10,$NN$10,0),IF($NP$10="Bell_Curve",$NN$10*(107-$NR$10+1)*($NS$10-107+1)/$NU$10,$NN$10/$NT$10)),0)</f>
        <v/>
      </c>
      <c r="DH10" s="228">
        <f>IF(AND(108&gt;=$NR$10,108&lt;=$NS$10),IF($NP$10="Single_Point",IF(108=$NR$10,$NN$10,0),IF($NP$10="Bell_Curve",$NN$10*(108-$NR$10+1)*($NS$10-108+1)/$NU$10,$NN$10/$NT$10)),0)</f>
        <v/>
      </c>
      <c r="DI10" s="228">
        <f>IF(AND(109&gt;=$NR$10,109&lt;=$NS$10),IF($NP$10="Single_Point",IF(109=$NR$10,$NN$10,0),IF($NP$10="Bell_Curve",$NN$10*(109-$NR$10+1)*($NS$10-109+1)/$NU$10,$NN$10/$NT$10)),0)</f>
        <v/>
      </c>
      <c r="DJ10" s="228">
        <f>IF(AND(110&gt;=$NR$10,110&lt;=$NS$10),IF($NP$10="Single_Point",IF(110=$NR$10,$NN$10,0),IF($NP$10="Bell_Curve",$NN$10*(110-$NR$10+1)*($NS$10-110+1)/$NU$10,$NN$10/$NT$10)),0)</f>
        <v/>
      </c>
      <c r="DK10" s="228">
        <f>IF(AND(111&gt;=$NR$10,111&lt;=$NS$10),IF($NP$10="Single_Point",IF(111=$NR$10,$NN$10,0),IF($NP$10="Bell_Curve",$NN$10*(111-$NR$10+1)*($NS$10-111+1)/$NU$10,$NN$10/$NT$10)),0)</f>
        <v/>
      </c>
      <c r="DL10" s="228">
        <f>IF(AND(112&gt;=$NR$10,112&lt;=$NS$10),IF($NP$10="Single_Point",IF(112=$NR$10,$NN$10,0),IF($NP$10="Bell_Curve",$NN$10*(112-$NR$10+1)*($NS$10-112+1)/$NU$10,$NN$10/$NT$10)),0)</f>
        <v/>
      </c>
      <c r="DM10" s="228">
        <f>IF(AND(113&gt;=$NR$10,113&lt;=$NS$10),IF($NP$10="Single_Point",IF(113=$NR$10,$NN$10,0),IF($NP$10="Bell_Curve",$NN$10*(113-$NR$10+1)*($NS$10-113+1)/$NU$10,$NN$10/$NT$10)),0)</f>
        <v/>
      </c>
      <c r="DN10" s="228">
        <f>IF(AND(114&gt;=$NR$10,114&lt;=$NS$10),IF($NP$10="Single_Point",IF(114=$NR$10,$NN$10,0),IF($NP$10="Bell_Curve",$NN$10*(114-$NR$10+1)*($NS$10-114+1)/$NU$10,$NN$10/$NT$10)),0)</f>
        <v/>
      </c>
      <c r="DO10" s="228">
        <f>IF(AND(115&gt;=$NR$10,115&lt;=$NS$10),IF($NP$10="Single_Point",IF(115=$NR$10,$NN$10,0),IF($NP$10="Bell_Curve",$NN$10*(115-$NR$10+1)*($NS$10-115+1)/$NU$10,$NN$10/$NT$10)),0)</f>
        <v/>
      </c>
      <c r="DP10" s="228">
        <f>IF(AND(116&gt;=$NR$10,116&lt;=$NS$10),IF($NP$10="Single_Point",IF(116=$NR$10,$NN$10,0),IF($NP$10="Bell_Curve",$NN$10*(116-$NR$10+1)*($NS$10-116+1)/$NU$10,$NN$10/$NT$10)),0)</f>
        <v/>
      </c>
      <c r="DQ10" s="228">
        <f>IF(AND(117&gt;=$NR$10,117&lt;=$NS$10),IF($NP$10="Single_Point",IF(117=$NR$10,$NN$10,0),IF($NP$10="Bell_Curve",$NN$10*(117-$NR$10+1)*($NS$10-117+1)/$NU$10,$NN$10/$NT$10)),0)</f>
        <v/>
      </c>
      <c r="DR10" s="228">
        <f>IF(AND(118&gt;=$NR$10,118&lt;=$NS$10),IF($NP$10="Single_Point",IF(118=$NR$10,$NN$10,0),IF($NP$10="Bell_Curve",$NN$10*(118-$NR$10+1)*($NS$10-118+1)/$NU$10,$NN$10/$NT$10)),0)</f>
        <v/>
      </c>
      <c r="DS10" s="228">
        <f>IF(AND(119&gt;=$NR$10,119&lt;=$NS$10),IF($NP$10="Single_Point",IF(119=$NR$10,$NN$10,0),IF($NP$10="Bell_Curve",$NN$10*(119-$NR$10+1)*($NS$10-119+1)/$NU$10,$NN$10/$NT$10)),0)</f>
        <v/>
      </c>
      <c r="DT10" s="228">
        <f>IF(AND(120&gt;=$NR$10,120&lt;=$NS$10),IF($NP$10="Single_Point",IF(120=$NR$10,$NN$10,0),IF($NP$10="Bell_Curve",$NN$10*(120-$NR$10+1)*($NS$10-120+1)/$NU$10,$NN$10/$NT$10)),0)</f>
        <v/>
      </c>
      <c r="DU10" s="228">
        <f>IF(AND(121&gt;=$NR$10,121&lt;=$NS$10),IF($NP$10="Single_Point",IF(121=$NR$10,$NN$10,0),IF($NP$10="Bell_Curve",$NN$10*(121-$NR$10+1)*($NS$10-121+1)/$NU$10,$NN$10/$NT$10)),0)</f>
        <v/>
      </c>
      <c r="DV10" s="228">
        <f>IF(AND(122&gt;=$NR$10,122&lt;=$NS$10),IF($NP$10="Single_Point",IF(122=$NR$10,$NN$10,0),IF($NP$10="Bell_Curve",$NN$10*(122-$NR$10+1)*($NS$10-122+1)/$NU$10,$NN$10/$NT$10)),0)</f>
        <v/>
      </c>
      <c r="DW10" s="228">
        <f>IF(AND(123&gt;=$NR$10,123&lt;=$NS$10),IF($NP$10="Single_Point",IF(123=$NR$10,$NN$10,0),IF($NP$10="Bell_Curve",$NN$10*(123-$NR$10+1)*($NS$10-123+1)/$NU$10,$NN$10/$NT$10)),0)</f>
        <v/>
      </c>
      <c r="DX10" s="228">
        <f>IF(AND(124&gt;=$NR$10,124&lt;=$NS$10),IF($NP$10="Single_Point",IF(124=$NR$10,$NN$10,0),IF($NP$10="Bell_Curve",$NN$10*(124-$NR$10+1)*($NS$10-124+1)/$NU$10,$NN$10/$NT$10)),0)</f>
        <v/>
      </c>
      <c r="DY10" s="228">
        <f>IF(AND(125&gt;=$NR$10,125&lt;=$NS$10),IF($NP$10="Single_Point",IF(125=$NR$10,$NN$10,0),IF($NP$10="Bell_Curve",$NN$10*(125-$NR$10+1)*($NS$10-125+1)/$NU$10,$NN$10/$NT$10)),0)</f>
        <v/>
      </c>
      <c r="DZ10" s="228">
        <f>IF(AND(126&gt;=$NR$10,126&lt;=$NS$10),IF($NP$10="Single_Point",IF(126=$NR$10,$NN$10,0),IF($NP$10="Bell_Curve",$NN$10*(126-$NR$10+1)*($NS$10-126+1)/$NU$10,$NN$10/$NT$10)),0)</f>
        <v/>
      </c>
      <c r="EA10" s="228">
        <f>IF(AND(127&gt;=$NR$10,127&lt;=$NS$10),IF($NP$10="Single_Point",IF(127=$NR$10,$NN$10,0),IF($NP$10="Bell_Curve",$NN$10*(127-$NR$10+1)*($NS$10-127+1)/$NU$10,$NN$10/$NT$10)),0)</f>
        <v/>
      </c>
      <c r="EB10" s="228">
        <f>IF(AND(128&gt;=$NR$10,128&lt;=$NS$10),IF($NP$10="Single_Point",IF(128=$NR$10,$NN$10,0),IF($NP$10="Bell_Curve",$NN$10*(128-$NR$10+1)*($NS$10-128+1)/$NU$10,$NN$10/$NT$10)),0)</f>
        <v/>
      </c>
      <c r="EC10" s="228">
        <f>IF(AND(129&gt;=$NR$10,129&lt;=$NS$10),IF($NP$10="Single_Point",IF(129=$NR$10,$NN$10,0),IF($NP$10="Bell_Curve",$NN$10*(129-$NR$10+1)*($NS$10-129+1)/$NU$10,$NN$10/$NT$10)),0)</f>
        <v/>
      </c>
      <c r="ED10" s="228">
        <f>IF(AND(130&gt;=$NR$10,130&lt;=$NS$10),IF($NP$10="Single_Point",IF(130=$NR$10,$NN$10,0),IF($NP$10="Bell_Curve",$NN$10*(130-$NR$10+1)*($NS$10-130+1)/$NU$10,$NN$10/$NT$10)),0)</f>
        <v/>
      </c>
      <c r="EE10" s="228">
        <f>IF(AND(131&gt;=$NR$10,131&lt;=$NS$10),IF($NP$10="Single_Point",IF(131=$NR$10,$NN$10,0),IF($NP$10="Bell_Curve",$NN$10*(131-$NR$10+1)*($NS$10-131+1)/$NU$10,$NN$10/$NT$10)),0)</f>
        <v/>
      </c>
      <c r="EF10" s="228">
        <f>IF(AND(132&gt;=$NR$10,132&lt;=$NS$10),IF($NP$10="Single_Point",IF(132=$NR$10,$NN$10,0),IF($NP$10="Bell_Curve",$NN$10*(132-$NR$10+1)*($NS$10-132+1)/$NU$10,$NN$10/$NT$10)),0)</f>
        <v/>
      </c>
      <c r="EG10" s="228">
        <f>IF(AND(133&gt;=$NR$10,133&lt;=$NS$10),IF($NP$10="Single_Point",IF(133=$NR$10,$NN$10,0),IF($NP$10="Bell_Curve",$NN$10*(133-$NR$10+1)*($NS$10-133+1)/$NU$10,$NN$10/$NT$10)),0)</f>
        <v/>
      </c>
      <c r="EH10" s="228">
        <f>IF(AND(134&gt;=$NR$10,134&lt;=$NS$10),IF($NP$10="Single_Point",IF(134=$NR$10,$NN$10,0),IF($NP$10="Bell_Curve",$NN$10*(134-$NR$10+1)*($NS$10-134+1)/$NU$10,$NN$10/$NT$10)),0)</f>
        <v/>
      </c>
      <c r="EI10" s="228">
        <f>IF(AND(135&gt;=$NR$10,135&lt;=$NS$10),IF($NP$10="Single_Point",IF(135=$NR$10,$NN$10,0),IF($NP$10="Bell_Curve",$NN$10*(135-$NR$10+1)*($NS$10-135+1)/$NU$10,$NN$10/$NT$10)),0)</f>
        <v/>
      </c>
      <c r="EJ10" s="228">
        <f>IF(AND(136&gt;=$NR$10,136&lt;=$NS$10),IF($NP$10="Single_Point",IF(136=$NR$10,$NN$10,0),IF($NP$10="Bell_Curve",$NN$10*(136-$NR$10+1)*($NS$10-136+1)/$NU$10,$NN$10/$NT$10)),0)</f>
        <v/>
      </c>
      <c r="EK10" s="228">
        <f>IF(AND(137&gt;=$NR$10,137&lt;=$NS$10),IF($NP$10="Single_Point",IF(137=$NR$10,$NN$10,0),IF($NP$10="Bell_Curve",$NN$10*(137-$NR$10+1)*($NS$10-137+1)/$NU$10,$NN$10/$NT$10)),0)</f>
        <v/>
      </c>
      <c r="EL10" s="228">
        <f>IF(AND(138&gt;=$NR$10,138&lt;=$NS$10),IF($NP$10="Single_Point",IF(138=$NR$10,$NN$10,0),IF($NP$10="Bell_Curve",$NN$10*(138-$NR$10+1)*($NS$10-138+1)/$NU$10,$NN$10/$NT$10)),0)</f>
        <v/>
      </c>
      <c r="EM10" s="228">
        <f>IF(AND(139&gt;=$NR$10,139&lt;=$NS$10),IF($NP$10="Single_Point",IF(139=$NR$10,$NN$10,0),IF($NP$10="Bell_Curve",$NN$10*(139-$NR$10+1)*($NS$10-139+1)/$NU$10,$NN$10/$NT$10)),0)</f>
        <v/>
      </c>
      <c r="EN10" s="228">
        <f>IF(AND(140&gt;=$NR$10,140&lt;=$NS$10),IF($NP$10="Single_Point",IF(140=$NR$10,$NN$10,0),IF($NP$10="Bell_Curve",$NN$10*(140-$NR$10+1)*($NS$10-140+1)/$NU$10,$NN$10/$NT$10)),0)</f>
        <v/>
      </c>
      <c r="EO10" s="228">
        <f>IF(AND(141&gt;=$NR$10,141&lt;=$NS$10),IF($NP$10="Single_Point",IF(141=$NR$10,$NN$10,0),IF($NP$10="Bell_Curve",$NN$10*(141-$NR$10+1)*($NS$10-141+1)/$NU$10,$NN$10/$NT$10)),0)</f>
        <v/>
      </c>
      <c r="EP10" s="228">
        <f>IF(AND(142&gt;=$NR$10,142&lt;=$NS$10),IF($NP$10="Single_Point",IF(142=$NR$10,$NN$10,0),IF($NP$10="Bell_Curve",$NN$10*(142-$NR$10+1)*($NS$10-142+1)/$NU$10,$NN$10/$NT$10)),0)</f>
        <v/>
      </c>
      <c r="EQ10" s="228">
        <f>IF(AND(143&gt;=$NR$10,143&lt;=$NS$10),IF($NP$10="Single_Point",IF(143=$NR$10,$NN$10,0),IF($NP$10="Bell_Curve",$NN$10*(143-$NR$10+1)*($NS$10-143+1)/$NU$10,$NN$10/$NT$10)),0)</f>
        <v/>
      </c>
      <c r="ER10" s="228">
        <f>IF(AND(144&gt;=$NR$10,144&lt;=$NS$10),IF($NP$10="Single_Point",IF(144=$NR$10,$NN$10,0),IF($NP$10="Bell_Curve",$NN$10*(144-$NR$10+1)*($NS$10-144+1)/$NU$10,$NN$10/$NT$10)),0)</f>
        <v/>
      </c>
      <c r="ES10" s="228">
        <f>IF(AND(145&gt;=$NR$10,145&lt;=$NS$10),IF($NP$10="Single_Point",IF(145=$NR$10,$NN$10,0),IF($NP$10="Bell_Curve",$NN$10*(145-$NR$10+1)*($NS$10-145+1)/$NU$10,$NN$10/$NT$10)),0)</f>
        <v/>
      </c>
      <c r="ET10" s="228">
        <f>IF(AND(146&gt;=$NR$10,146&lt;=$NS$10),IF($NP$10="Single_Point",IF(146=$NR$10,$NN$10,0),IF($NP$10="Bell_Curve",$NN$10*(146-$NR$10+1)*($NS$10-146+1)/$NU$10,$NN$10/$NT$10)),0)</f>
        <v/>
      </c>
      <c r="EU10" s="228">
        <f>IF(AND(147&gt;=$NR$10,147&lt;=$NS$10),IF($NP$10="Single_Point",IF(147=$NR$10,$NN$10,0),IF($NP$10="Bell_Curve",$NN$10*(147-$NR$10+1)*($NS$10-147+1)/$NU$10,$NN$10/$NT$10)),0)</f>
        <v/>
      </c>
      <c r="EV10" s="228">
        <f>IF(AND(148&gt;=$NR$10,148&lt;=$NS$10),IF($NP$10="Single_Point",IF(148=$NR$10,$NN$10,0),IF($NP$10="Bell_Curve",$NN$10*(148-$NR$10+1)*($NS$10-148+1)/$NU$10,$NN$10/$NT$10)),0)</f>
        <v/>
      </c>
      <c r="EW10" s="228">
        <f>IF(AND(149&gt;=$NR$10,149&lt;=$NS$10),IF($NP$10="Single_Point",IF(149=$NR$10,$NN$10,0),IF($NP$10="Bell_Curve",$NN$10*(149-$NR$10+1)*($NS$10-149+1)/$NU$10,$NN$10/$NT$10)),0)</f>
        <v/>
      </c>
      <c r="EX10" s="228">
        <f>IF(AND(150&gt;=$NR$10,150&lt;=$NS$10),IF($NP$10="Single_Point",IF(150=$NR$10,$NN$10,0),IF($NP$10="Bell_Curve",$NN$10*(150-$NR$10+1)*($NS$10-150+1)/$NU$10,$NN$10/$NT$10)),0)</f>
        <v/>
      </c>
      <c r="EY10" s="228">
        <f>IF(AND(151&gt;=$NR$10,151&lt;=$NS$10),IF($NP$10="Single_Point",IF(151=$NR$10,$NN$10,0),IF($NP$10="Bell_Curve",$NN$10*(151-$NR$10+1)*($NS$10-151+1)/$NU$10,$NN$10/$NT$10)),0)</f>
        <v/>
      </c>
      <c r="EZ10" s="228">
        <f>IF(AND(152&gt;=$NR$10,152&lt;=$NS$10),IF($NP$10="Single_Point",IF(152=$NR$10,$NN$10,0),IF($NP$10="Bell_Curve",$NN$10*(152-$NR$10+1)*($NS$10-152+1)/$NU$10,$NN$10/$NT$10)),0)</f>
        <v/>
      </c>
      <c r="FA10" s="228">
        <f>IF(AND(153&gt;=$NR$10,153&lt;=$NS$10),IF($NP$10="Single_Point",IF(153=$NR$10,$NN$10,0),IF($NP$10="Bell_Curve",$NN$10*(153-$NR$10+1)*($NS$10-153+1)/$NU$10,$NN$10/$NT$10)),0)</f>
        <v/>
      </c>
      <c r="FB10" s="228">
        <f>IF(AND(154&gt;=$NR$10,154&lt;=$NS$10),IF($NP$10="Single_Point",IF(154=$NR$10,$NN$10,0),IF($NP$10="Bell_Curve",$NN$10*(154-$NR$10+1)*($NS$10-154+1)/$NU$10,$NN$10/$NT$10)),0)</f>
        <v/>
      </c>
      <c r="FC10" s="228">
        <f>IF(AND(155&gt;=$NR$10,155&lt;=$NS$10),IF($NP$10="Single_Point",IF(155=$NR$10,$NN$10,0),IF($NP$10="Bell_Curve",$NN$10*(155-$NR$10+1)*($NS$10-155+1)/$NU$10,$NN$10/$NT$10)),0)</f>
        <v/>
      </c>
      <c r="FD10" s="228">
        <f>IF(AND(156&gt;=$NR$10,156&lt;=$NS$10),IF($NP$10="Single_Point",IF(156=$NR$10,$NN$10,0),IF($NP$10="Bell_Curve",$NN$10*(156-$NR$10+1)*($NS$10-156+1)/$NU$10,$NN$10/$NT$10)),0)</f>
        <v/>
      </c>
      <c r="FE10" s="228">
        <f>IF(AND(157&gt;=$NR$10,157&lt;=$NS$10),IF($NP$10="Single_Point",IF(157=$NR$10,$NN$10,0),IF($NP$10="Bell_Curve",$NN$10*(157-$NR$10+1)*($NS$10-157+1)/$NU$10,$NN$10/$NT$10)),0)</f>
        <v/>
      </c>
      <c r="FF10" s="228">
        <f>IF(AND(158&gt;=$NR$10,158&lt;=$NS$10),IF($NP$10="Single_Point",IF(158=$NR$10,$NN$10,0),IF($NP$10="Bell_Curve",$NN$10*(158-$NR$10+1)*($NS$10-158+1)/$NU$10,$NN$10/$NT$10)),0)</f>
        <v/>
      </c>
      <c r="FG10" s="228">
        <f>IF(AND(159&gt;=$NR$10,159&lt;=$NS$10),IF($NP$10="Single_Point",IF(159=$NR$10,$NN$10,0),IF($NP$10="Bell_Curve",$NN$10*(159-$NR$10+1)*($NS$10-159+1)/$NU$10,$NN$10/$NT$10)),0)</f>
        <v/>
      </c>
      <c r="FH10" s="228">
        <f>IF(AND(160&gt;=$NR$10,160&lt;=$NS$10),IF($NP$10="Single_Point",IF(160=$NR$10,$NN$10,0),IF($NP$10="Bell_Curve",$NN$10*(160-$NR$10+1)*($NS$10-160+1)/$NU$10,$NN$10/$NT$10)),0)</f>
        <v/>
      </c>
      <c r="FI10" s="228">
        <f>IF(AND(161&gt;=$NR$10,161&lt;=$NS$10),IF($NP$10="Single_Point",IF(161=$NR$10,$NN$10,0),IF($NP$10="Bell_Curve",$NN$10*(161-$NR$10+1)*($NS$10-161+1)/$NU$10,$NN$10/$NT$10)),0)</f>
        <v/>
      </c>
      <c r="FJ10" s="228">
        <f>IF(AND(162&gt;=$NR$10,162&lt;=$NS$10),IF($NP$10="Single_Point",IF(162=$NR$10,$NN$10,0),IF($NP$10="Bell_Curve",$NN$10*(162-$NR$10+1)*($NS$10-162+1)/$NU$10,$NN$10/$NT$10)),0)</f>
        <v/>
      </c>
      <c r="FK10" s="228">
        <f>IF(AND(163&gt;=$NR$10,163&lt;=$NS$10),IF($NP$10="Single_Point",IF(163=$NR$10,$NN$10,0),IF($NP$10="Bell_Curve",$NN$10*(163-$NR$10+1)*($NS$10-163+1)/$NU$10,$NN$10/$NT$10)),0)</f>
        <v/>
      </c>
      <c r="FL10" s="228">
        <f>IF(AND(164&gt;=$NR$10,164&lt;=$NS$10),IF($NP$10="Single_Point",IF(164=$NR$10,$NN$10,0),IF($NP$10="Bell_Curve",$NN$10*(164-$NR$10+1)*($NS$10-164+1)/$NU$10,$NN$10/$NT$10)),0)</f>
        <v/>
      </c>
      <c r="FM10" s="228">
        <f>IF(AND(165&gt;=$NR$10,165&lt;=$NS$10),IF($NP$10="Single_Point",IF(165=$NR$10,$NN$10,0),IF($NP$10="Bell_Curve",$NN$10*(165-$NR$10+1)*($NS$10-165+1)/$NU$10,$NN$10/$NT$10)),0)</f>
        <v/>
      </c>
      <c r="FN10" s="228">
        <f>IF(AND(166&gt;=$NR$10,166&lt;=$NS$10),IF($NP$10="Single_Point",IF(166=$NR$10,$NN$10,0),IF($NP$10="Bell_Curve",$NN$10*(166-$NR$10+1)*($NS$10-166+1)/$NU$10,$NN$10/$NT$10)),0)</f>
        <v/>
      </c>
      <c r="FO10" s="228">
        <f>IF(AND(167&gt;=$NR$10,167&lt;=$NS$10),IF($NP$10="Single_Point",IF(167=$NR$10,$NN$10,0),IF($NP$10="Bell_Curve",$NN$10*(167-$NR$10+1)*($NS$10-167+1)/$NU$10,$NN$10/$NT$10)),0)</f>
        <v/>
      </c>
      <c r="FP10" s="228">
        <f>IF(AND(168&gt;=$NR$10,168&lt;=$NS$10),IF($NP$10="Single_Point",IF(168=$NR$10,$NN$10,0),IF($NP$10="Bell_Curve",$NN$10*(168-$NR$10+1)*($NS$10-168+1)/$NU$10,$NN$10/$NT$10)),0)</f>
        <v/>
      </c>
      <c r="FQ10" s="228">
        <f>IF(AND(169&gt;=$NR$10,169&lt;=$NS$10),IF($NP$10="Single_Point",IF(169=$NR$10,$NN$10,0),IF($NP$10="Bell_Curve",$NN$10*(169-$NR$10+1)*($NS$10-169+1)/$NU$10,$NN$10/$NT$10)),0)</f>
        <v/>
      </c>
      <c r="FR10" s="228">
        <f>IF(AND(170&gt;=$NR$10,170&lt;=$NS$10),IF($NP$10="Single_Point",IF(170=$NR$10,$NN$10,0),IF($NP$10="Bell_Curve",$NN$10*(170-$NR$10+1)*($NS$10-170+1)/$NU$10,$NN$10/$NT$10)),0)</f>
        <v/>
      </c>
      <c r="FS10" s="228">
        <f>IF(AND(171&gt;=$NR$10,171&lt;=$NS$10),IF($NP$10="Single_Point",IF(171=$NR$10,$NN$10,0),IF($NP$10="Bell_Curve",$NN$10*(171-$NR$10+1)*($NS$10-171+1)/$NU$10,$NN$10/$NT$10)),0)</f>
        <v/>
      </c>
      <c r="FT10" s="228">
        <f>IF(AND(172&gt;=$NR$10,172&lt;=$NS$10),IF($NP$10="Single_Point",IF(172=$NR$10,$NN$10,0),IF($NP$10="Bell_Curve",$NN$10*(172-$NR$10+1)*($NS$10-172+1)/$NU$10,$NN$10/$NT$10)),0)</f>
        <v/>
      </c>
      <c r="FU10" s="228">
        <f>IF(AND(173&gt;=$NR$10,173&lt;=$NS$10),IF($NP$10="Single_Point",IF(173=$NR$10,$NN$10,0),IF($NP$10="Bell_Curve",$NN$10*(173-$NR$10+1)*($NS$10-173+1)/$NU$10,$NN$10/$NT$10)),0)</f>
        <v/>
      </c>
      <c r="FV10" s="228">
        <f>IF(AND(174&gt;=$NR$10,174&lt;=$NS$10),IF($NP$10="Single_Point",IF(174=$NR$10,$NN$10,0),IF($NP$10="Bell_Curve",$NN$10*(174-$NR$10+1)*($NS$10-174+1)/$NU$10,$NN$10/$NT$10)),0)</f>
        <v/>
      </c>
      <c r="FW10" s="228">
        <f>IF(AND(175&gt;=$NR$10,175&lt;=$NS$10),IF($NP$10="Single_Point",IF(175=$NR$10,$NN$10,0),IF($NP$10="Bell_Curve",$NN$10*(175-$NR$10+1)*($NS$10-175+1)/$NU$10,$NN$10/$NT$10)),0)</f>
        <v/>
      </c>
      <c r="FX10" s="228">
        <f>IF(AND(176&gt;=$NR$10,176&lt;=$NS$10),IF($NP$10="Single_Point",IF(176=$NR$10,$NN$10,0),IF($NP$10="Bell_Curve",$NN$10*(176-$NR$10+1)*($NS$10-176+1)/$NU$10,$NN$10/$NT$10)),0)</f>
        <v/>
      </c>
      <c r="FY10" s="228">
        <f>IF(AND(177&gt;=$NR$10,177&lt;=$NS$10),IF($NP$10="Single_Point",IF(177=$NR$10,$NN$10,0),IF($NP$10="Bell_Curve",$NN$10*(177-$NR$10+1)*($NS$10-177+1)/$NU$10,$NN$10/$NT$10)),0)</f>
        <v/>
      </c>
      <c r="FZ10" s="228">
        <f>IF(AND(178&gt;=$NR$10,178&lt;=$NS$10),IF($NP$10="Single_Point",IF(178=$NR$10,$NN$10,0),IF($NP$10="Bell_Curve",$NN$10*(178-$NR$10+1)*($NS$10-178+1)/$NU$10,$NN$10/$NT$10)),0)</f>
        <v/>
      </c>
      <c r="GA10" s="228">
        <f>IF(AND(179&gt;=$NR$10,179&lt;=$NS$10),IF($NP$10="Single_Point",IF(179=$NR$10,$NN$10,0),IF($NP$10="Bell_Curve",$NN$10*(179-$NR$10+1)*($NS$10-179+1)/$NU$10,$NN$10/$NT$10)),0)</f>
        <v/>
      </c>
      <c r="GB10" s="228">
        <f>IF(AND(180&gt;=$NR$10,180&lt;=$NS$10),IF($NP$10="Single_Point",IF(180=$NR$10,$NN$10,0),IF($NP$10="Bell_Curve",$NN$10*(180-$NR$10+1)*($NS$10-180+1)/$NU$10,$NN$10/$NT$10)),0)</f>
        <v/>
      </c>
      <c r="GC10" s="228">
        <f>IF(AND(181&gt;=$NR$10,181&lt;=$NS$10),IF($NP$10="Single_Point",IF(181=$NR$10,$NN$10,0),IF($NP$10="Bell_Curve",$NN$10*(181-$NR$10+1)*($NS$10-181+1)/$NU$10,$NN$10/$NT$10)),0)</f>
        <v/>
      </c>
      <c r="GD10" s="228">
        <f>IF(AND(182&gt;=$NR$10,182&lt;=$NS$10),IF($NP$10="Single_Point",IF(182=$NR$10,$NN$10,0),IF($NP$10="Bell_Curve",$NN$10*(182-$NR$10+1)*($NS$10-182+1)/$NU$10,$NN$10/$NT$10)),0)</f>
        <v/>
      </c>
      <c r="GE10" s="228">
        <f>IF(AND(183&gt;=$NR$10,183&lt;=$NS$10),IF($NP$10="Single_Point",IF(183=$NR$10,$NN$10,0),IF($NP$10="Bell_Curve",$NN$10*(183-$NR$10+1)*($NS$10-183+1)/$NU$10,$NN$10/$NT$10)),0)</f>
        <v/>
      </c>
      <c r="GF10" s="228">
        <f>IF(AND(184&gt;=$NR$10,184&lt;=$NS$10),IF($NP$10="Single_Point",IF(184=$NR$10,$NN$10,0),IF($NP$10="Bell_Curve",$NN$10*(184-$NR$10+1)*($NS$10-184+1)/$NU$10,$NN$10/$NT$10)),0)</f>
        <v/>
      </c>
      <c r="GG10" s="228">
        <f>IF(AND(185&gt;=$NR$10,185&lt;=$NS$10),IF($NP$10="Single_Point",IF(185=$NR$10,$NN$10,0),IF($NP$10="Bell_Curve",$NN$10*(185-$NR$10+1)*($NS$10-185+1)/$NU$10,$NN$10/$NT$10)),0)</f>
        <v/>
      </c>
      <c r="GH10" s="228">
        <f>IF(AND(186&gt;=$NR$10,186&lt;=$NS$10),IF($NP$10="Single_Point",IF(186=$NR$10,$NN$10,0),IF($NP$10="Bell_Curve",$NN$10*(186-$NR$10+1)*($NS$10-186+1)/$NU$10,$NN$10/$NT$10)),0)</f>
        <v/>
      </c>
      <c r="GI10" s="228">
        <f>IF(AND(187&gt;=$NR$10,187&lt;=$NS$10),IF($NP$10="Single_Point",IF(187=$NR$10,$NN$10,0),IF($NP$10="Bell_Curve",$NN$10*(187-$NR$10+1)*($NS$10-187+1)/$NU$10,$NN$10/$NT$10)),0)</f>
        <v/>
      </c>
      <c r="GJ10" s="228">
        <f>IF(AND(188&gt;=$NR$10,188&lt;=$NS$10),IF($NP$10="Single_Point",IF(188=$NR$10,$NN$10,0),IF($NP$10="Bell_Curve",$NN$10*(188-$NR$10+1)*($NS$10-188+1)/$NU$10,$NN$10/$NT$10)),0)</f>
        <v/>
      </c>
      <c r="GK10" s="228">
        <f>IF(AND(189&gt;=$NR$10,189&lt;=$NS$10),IF($NP$10="Single_Point",IF(189=$NR$10,$NN$10,0),IF($NP$10="Bell_Curve",$NN$10*(189-$NR$10+1)*($NS$10-189+1)/$NU$10,$NN$10/$NT$10)),0)</f>
        <v/>
      </c>
      <c r="GL10" s="228">
        <f>IF(AND(190&gt;=$NR$10,190&lt;=$NS$10),IF($NP$10="Single_Point",IF(190=$NR$10,$NN$10,0),IF($NP$10="Bell_Curve",$NN$10*(190-$NR$10+1)*($NS$10-190+1)/$NU$10,$NN$10/$NT$10)),0)</f>
        <v/>
      </c>
      <c r="GM10" s="228">
        <f>IF(AND(191&gt;=$NR$10,191&lt;=$NS$10),IF($NP$10="Single_Point",IF(191=$NR$10,$NN$10,0),IF($NP$10="Bell_Curve",$NN$10*(191-$NR$10+1)*($NS$10-191+1)/$NU$10,$NN$10/$NT$10)),0)</f>
        <v/>
      </c>
      <c r="GN10" s="228">
        <f>IF(AND(192&gt;=$NR$10,192&lt;=$NS$10),IF($NP$10="Single_Point",IF(192=$NR$10,$NN$10,0),IF($NP$10="Bell_Curve",$NN$10*(192-$NR$10+1)*($NS$10-192+1)/$NU$10,$NN$10/$NT$10)),0)</f>
        <v/>
      </c>
      <c r="GO10" s="228">
        <f>IF(AND(193&gt;=$NR$10,193&lt;=$NS$10),IF($NP$10="Single_Point",IF(193=$NR$10,$NN$10,0),IF($NP$10="Bell_Curve",$NN$10*(193-$NR$10+1)*($NS$10-193+1)/$NU$10,$NN$10/$NT$10)),0)</f>
        <v/>
      </c>
      <c r="GP10" s="228">
        <f>IF(AND(194&gt;=$NR$10,194&lt;=$NS$10),IF($NP$10="Single_Point",IF(194=$NR$10,$NN$10,0),IF($NP$10="Bell_Curve",$NN$10*(194-$NR$10+1)*($NS$10-194+1)/$NU$10,$NN$10/$NT$10)),0)</f>
        <v/>
      </c>
      <c r="GQ10" s="228">
        <f>IF(AND(195&gt;=$NR$10,195&lt;=$NS$10),IF($NP$10="Single_Point",IF(195=$NR$10,$NN$10,0),IF($NP$10="Bell_Curve",$NN$10*(195-$NR$10+1)*($NS$10-195+1)/$NU$10,$NN$10/$NT$10)),0)</f>
        <v/>
      </c>
      <c r="GR10" s="228">
        <f>IF(AND(196&gt;=$NR$10,196&lt;=$NS$10),IF($NP$10="Single_Point",IF(196=$NR$10,$NN$10,0),IF($NP$10="Bell_Curve",$NN$10*(196-$NR$10+1)*($NS$10-196+1)/$NU$10,$NN$10/$NT$10)),0)</f>
        <v/>
      </c>
      <c r="GS10" s="228">
        <f>IF(AND(197&gt;=$NR$10,197&lt;=$NS$10),IF($NP$10="Single_Point",IF(197=$NR$10,$NN$10,0),IF($NP$10="Bell_Curve",$NN$10*(197-$NR$10+1)*($NS$10-197+1)/$NU$10,$NN$10/$NT$10)),0)</f>
        <v/>
      </c>
      <c r="GT10" s="228">
        <f>IF(AND(198&gt;=$NR$10,198&lt;=$NS$10),IF($NP$10="Single_Point",IF(198=$NR$10,$NN$10,0),IF($NP$10="Bell_Curve",$NN$10*(198-$NR$10+1)*($NS$10-198+1)/$NU$10,$NN$10/$NT$10)),0)</f>
        <v/>
      </c>
      <c r="GU10" s="228">
        <f>IF(AND(199&gt;=$NR$10,199&lt;=$NS$10),IF($NP$10="Single_Point",IF(199=$NR$10,$NN$10,0),IF($NP$10="Bell_Curve",$NN$10*(199-$NR$10+1)*($NS$10-199+1)/$NU$10,$NN$10/$NT$10)),0)</f>
        <v/>
      </c>
      <c r="GV10" s="228">
        <f>IF(AND(200&gt;=$NR$10,200&lt;=$NS$10),IF($NP$10="Single_Point",IF(200=$NR$10,$NN$10,0),IF($NP$10="Bell_Curve",$NN$10*(200-$NR$10+1)*($NS$10-200+1)/$NU$10,$NN$10/$NT$10)),0)</f>
        <v/>
      </c>
      <c r="GW10" s="228">
        <f>IF(AND(201&gt;=$NR$10,201&lt;=$NS$10),IF($NP$10="Single_Point",IF(201=$NR$10,$NN$10,0),IF($NP$10="Bell_Curve",$NN$10*(201-$NR$10+1)*($NS$10-201+1)/$NU$10,$NN$10/$NT$10)),0)</f>
        <v/>
      </c>
      <c r="GX10" s="228">
        <f>IF(AND(202&gt;=$NR$10,202&lt;=$NS$10),IF($NP$10="Single_Point",IF(202=$NR$10,$NN$10,0),IF($NP$10="Bell_Curve",$NN$10*(202-$NR$10+1)*($NS$10-202+1)/$NU$10,$NN$10/$NT$10)),0)</f>
        <v/>
      </c>
      <c r="GY10" s="228">
        <f>IF(AND(203&gt;=$NR$10,203&lt;=$NS$10),IF($NP$10="Single_Point",IF(203=$NR$10,$NN$10,0),IF($NP$10="Bell_Curve",$NN$10*(203-$NR$10+1)*($NS$10-203+1)/$NU$10,$NN$10/$NT$10)),0)</f>
        <v/>
      </c>
      <c r="GZ10" s="228">
        <f>IF(AND(204&gt;=$NR$10,204&lt;=$NS$10),IF($NP$10="Single_Point",IF(204=$NR$10,$NN$10,0),IF($NP$10="Bell_Curve",$NN$10*(204-$NR$10+1)*($NS$10-204+1)/$NU$10,$NN$10/$NT$10)),0)</f>
        <v/>
      </c>
      <c r="HA10" s="228">
        <f>IF(AND(205&gt;=$NR$10,205&lt;=$NS$10),IF($NP$10="Single_Point",IF(205=$NR$10,$NN$10,0),IF($NP$10="Bell_Curve",$NN$10*(205-$NR$10+1)*($NS$10-205+1)/$NU$10,$NN$10/$NT$10)),0)</f>
        <v/>
      </c>
      <c r="HB10" s="228">
        <f>IF(AND(206&gt;=$NR$10,206&lt;=$NS$10),IF($NP$10="Single_Point",IF(206=$NR$10,$NN$10,0),IF($NP$10="Bell_Curve",$NN$10*(206-$NR$10+1)*($NS$10-206+1)/$NU$10,$NN$10/$NT$10)),0)</f>
        <v/>
      </c>
      <c r="HC10" s="228">
        <f>IF(AND(207&gt;=$NR$10,207&lt;=$NS$10),IF($NP$10="Single_Point",IF(207=$NR$10,$NN$10,0),IF($NP$10="Bell_Curve",$NN$10*(207-$NR$10+1)*($NS$10-207+1)/$NU$10,$NN$10/$NT$10)),0)</f>
        <v/>
      </c>
      <c r="HD10" s="228">
        <f>IF(AND(208&gt;=$NR$10,208&lt;=$NS$10),IF($NP$10="Single_Point",IF(208=$NR$10,$NN$10,0),IF($NP$10="Bell_Curve",$NN$10*(208-$NR$10+1)*($NS$10-208+1)/$NU$10,$NN$10/$NT$10)),0)</f>
        <v/>
      </c>
      <c r="HE10" s="228">
        <f>IF(AND(209&gt;=$NR$10,209&lt;=$NS$10),IF($NP$10="Single_Point",IF(209=$NR$10,$NN$10,0),IF($NP$10="Bell_Curve",$NN$10*(209-$NR$10+1)*($NS$10-209+1)/$NU$10,$NN$10/$NT$10)),0)</f>
        <v/>
      </c>
      <c r="HF10" s="228">
        <f>IF(AND(210&gt;=$NR$10,210&lt;=$NS$10),IF($NP$10="Single_Point",IF(210=$NR$10,$NN$10,0),IF($NP$10="Bell_Curve",$NN$10*(210-$NR$10+1)*($NS$10-210+1)/$NU$10,$NN$10/$NT$10)),0)</f>
        <v/>
      </c>
      <c r="HG10" s="228">
        <f>IF(AND(211&gt;=$NR$10,211&lt;=$NS$10),IF($NP$10="Single_Point",IF(211=$NR$10,$NN$10,0),IF($NP$10="Bell_Curve",$NN$10*(211-$NR$10+1)*($NS$10-211+1)/$NU$10,$NN$10/$NT$10)),0)</f>
        <v/>
      </c>
      <c r="HH10" s="228">
        <f>IF(AND(212&gt;=$NR$10,212&lt;=$NS$10),IF($NP$10="Single_Point",IF(212=$NR$10,$NN$10,0),IF($NP$10="Bell_Curve",$NN$10*(212-$NR$10+1)*($NS$10-212+1)/$NU$10,$NN$10/$NT$10)),0)</f>
        <v/>
      </c>
      <c r="HI10" s="228">
        <f>IF(AND(213&gt;=$NR$10,213&lt;=$NS$10),IF($NP$10="Single_Point",IF(213=$NR$10,$NN$10,0),IF($NP$10="Bell_Curve",$NN$10*(213-$NR$10+1)*($NS$10-213+1)/$NU$10,$NN$10/$NT$10)),0)</f>
        <v/>
      </c>
      <c r="HJ10" s="228">
        <f>IF(AND(214&gt;=$NR$10,214&lt;=$NS$10),IF($NP$10="Single_Point",IF(214=$NR$10,$NN$10,0),IF($NP$10="Bell_Curve",$NN$10*(214-$NR$10+1)*($NS$10-214+1)/$NU$10,$NN$10/$NT$10)),0)</f>
        <v/>
      </c>
      <c r="HK10" s="228">
        <f>IF(AND(215&gt;=$NR$10,215&lt;=$NS$10),IF($NP$10="Single_Point",IF(215=$NR$10,$NN$10,0),IF($NP$10="Bell_Curve",$NN$10*(215-$NR$10+1)*($NS$10-215+1)/$NU$10,$NN$10/$NT$10)),0)</f>
        <v/>
      </c>
      <c r="HL10" s="228">
        <f>IF(AND(216&gt;=$NR$10,216&lt;=$NS$10),IF($NP$10="Single_Point",IF(216=$NR$10,$NN$10,0),IF($NP$10="Bell_Curve",$NN$10*(216-$NR$10+1)*($NS$10-216+1)/$NU$10,$NN$10/$NT$10)),0)</f>
        <v/>
      </c>
      <c r="HM10" s="228">
        <f>IF(AND(217&gt;=$NR$10,217&lt;=$NS$10),IF($NP$10="Single_Point",IF(217=$NR$10,$NN$10,0),IF($NP$10="Bell_Curve",$NN$10*(217-$NR$10+1)*($NS$10-217+1)/$NU$10,$NN$10/$NT$10)),0)</f>
        <v/>
      </c>
      <c r="HN10" s="228">
        <f>IF(AND(218&gt;=$NR$10,218&lt;=$NS$10),IF($NP$10="Single_Point",IF(218=$NR$10,$NN$10,0),IF($NP$10="Bell_Curve",$NN$10*(218-$NR$10+1)*($NS$10-218+1)/$NU$10,$NN$10/$NT$10)),0)</f>
        <v/>
      </c>
      <c r="HO10" s="228">
        <f>IF(AND(219&gt;=$NR$10,219&lt;=$NS$10),IF($NP$10="Single_Point",IF(219=$NR$10,$NN$10,0),IF($NP$10="Bell_Curve",$NN$10*(219-$NR$10+1)*($NS$10-219+1)/$NU$10,$NN$10/$NT$10)),0)</f>
        <v/>
      </c>
      <c r="HP10" s="228">
        <f>IF(AND(220&gt;=$NR$10,220&lt;=$NS$10),IF($NP$10="Single_Point",IF(220=$NR$10,$NN$10,0),IF($NP$10="Bell_Curve",$NN$10*(220-$NR$10+1)*($NS$10-220+1)/$NU$10,$NN$10/$NT$10)),0)</f>
        <v/>
      </c>
      <c r="HQ10" s="228">
        <f>IF(AND(221&gt;=$NR$10,221&lt;=$NS$10),IF($NP$10="Single_Point",IF(221=$NR$10,$NN$10,0),IF($NP$10="Bell_Curve",$NN$10*(221-$NR$10+1)*($NS$10-221+1)/$NU$10,$NN$10/$NT$10)),0)</f>
        <v/>
      </c>
      <c r="HR10" s="228">
        <f>IF(AND(222&gt;=$NR$10,222&lt;=$NS$10),IF($NP$10="Single_Point",IF(222=$NR$10,$NN$10,0),IF($NP$10="Bell_Curve",$NN$10*(222-$NR$10+1)*($NS$10-222+1)/$NU$10,$NN$10/$NT$10)),0)</f>
        <v/>
      </c>
      <c r="HS10" s="228">
        <f>IF(AND(223&gt;=$NR$10,223&lt;=$NS$10),IF($NP$10="Single_Point",IF(223=$NR$10,$NN$10,0),IF($NP$10="Bell_Curve",$NN$10*(223-$NR$10+1)*($NS$10-223+1)/$NU$10,$NN$10/$NT$10)),0)</f>
        <v/>
      </c>
      <c r="HT10" s="228">
        <f>IF(AND(224&gt;=$NR$10,224&lt;=$NS$10),IF($NP$10="Single_Point",IF(224=$NR$10,$NN$10,0),IF($NP$10="Bell_Curve",$NN$10*(224-$NR$10+1)*($NS$10-224+1)/$NU$10,$NN$10/$NT$10)),0)</f>
        <v/>
      </c>
      <c r="HU10" s="228">
        <f>IF(AND(225&gt;=$NR$10,225&lt;=$NS$10),IF($NP$10="Single_Point",IF(225=$NR$10,$NN$10,0),IF($NP$10="Bell_Curve",$NN$10*(225-$NR$10+1)*($NS$10-225+1)/$NU$10,$NN$10/$NT$10)),0)</f>
        <v/>
      </c>
      <c r="HV10" s="228">
        <f>IF(AND(226&gt;=$NR$10,226&lt;=$NS$10),IF($NP$10="Single_Point",IF(226=$NR$10,$NN$10,0),IF($NP$10="Bell_Curve",$NN$10*(226-$NR$10+1)*($NS$10-226+1)/$NU$10,$NN$10/$NT$10)),0)</f>
        <v/>
      </c>
      <c r="HW10" s="228">
        <f>IF(AND(227&gt;=$NR$10,227&lt;=$NS$10),IF($NP$10="Single_Point",IF(227=$NR$10,$NN$10,0),IF($NP$10="Bell_Curve",$NN$10*(227-$NR$10+1)*($NS$10-227+1)/$NU$10,$NN$10/$NT$10)),0)</f>
        <v/>
      </c>
      <c r="HX10" s="228">
        <f>IF(AND(228&gt;=$NR$10,228&lt;=$NS$10),IF($NP$10="Single_Point",IF(228=$NR$10,$NN$10,0),IF($NP$10="Bell_Curve",$NN$10*(228-$NR$10+1)*($NS$10-228+1)/$NU$10,$NN$10/$NT$10)),0)</f>
        <v/>
      </c>
      <c r="HY10" s="228">
        <f>IF(AND(229&gt;=$NR$10,229&lt;=$NS$10),IF($NP$10="Single_Point",IF(229=$NR$10,$NN$10,0),IF($NP$10="Bell_Curve",$NN$10*(229-$NR$10+1)*($NS$10-229+1)/$NU$10,$NN$10/$NT$10)),0)</f>
        <v/>
      </c>
      <c r="HZ10" s="228">
        <f>IF(AND(230&gt;=$NR$10,230&lt;=$NS$10),IF($NP$10="Single_Point",IF(230=$NR$10,$NN$10,0),IF($NP$10="Bell_Curve",$NN$10*(230-$NR$10+1)*($NS$10-230+1)/$NU$10,$NN$10/$NT$10)),0)</f>
        <v/>
      </c>
      <c r="IA10" s="228">
        <f>IF(AND(231&gt;=$NR$10,231&lt;=$NS$10),IF($NP$10="Single_Point",IF(231=$NR$10,$NN$10,0),IF($NP$10="Bell_Curve",$NN$10*(231-$NR$10+1)*($NS$10-231+1)/$NU$10,$NN$10/$NT$10)),0)</f>
        <v/>
      </c>
      <c r="IB10" s="228">
        <f>IF(AND(232&gt;=$NR$10,232&lt;=$NS$10),IF($NP$10="Single_Point",IF(232=$NR$10,$NN$10,0),IF($NP$10="Bell_Curve",$NN$10*(232-$NR$10+1)*($NS$10-232+1)/$NU$10,$NN$10/$NT$10)),0)</f>
        <v/>
      </c>
      <c r="IC10" s="228">
        <f>IF(AND(233&gt;=$NR$10,233&lt;=$NS$10),IF($NP$10="Single_Point",IF(233=$NR$10,$NN$10,0),IF($NP$10="Bell_Curve",$NN$10*(233-$NR$10+1)*($NS$10-233+1)/$NU$10,$NN$10/$NT$10)),0)</f>
        <v/>
      </c>
      <c r="ID10" s="228">
        <f>IF(AND(234&gt;=$NR$10,234&lt;=$NS$10),IF($NP$10="Single_Point",IF(234=$NR$10,$NN$10,0),IF($NP$10="Bell_Curve",$NN$10*(234-$NR$10+1)*($NS$10-234+1)/$NU$10,$NN$10/$NT$10)),0)</f>
        <v/>
      </c>
      <c r="IE10" s="228">
        <f>IF(AND(235&gt;=$NR$10,235&lt;=$NS$10),IF($NP$10="Single_Point",IF(235=$NR$10,$NN$10,0),IF($NP$10="Bell_Curve",$NN$10*(235-$NR$10+1)*($NS$10-235+1)/$NU$10,$NN$10/$NT$10)),0)</f>
        <v/>
      </c>
      <c r="IF10" s="228">
        <f>IF(AND(236&gt;=$NR$10,236&lt;=$NS$10),IF($NP$10="Single_Point",IF(236=$NR$10,$NN$10,0),IF($NP$10="Bell_Curve",$NN$10*(236-$NR$10+1)*($NS$10-236+1)/$NU$10,$NN$10/$NT$10)),0)</f>
        <v/>
      </c>
      <c r="IG10" s="228">
        <f>IF(AND(237&gt;=$NR$10,237&lt;=$NS$10),IF($NP$10="Single_Point",IF(237=$NR$10,$NN$10,0),IF($NP$10="Bell_Curve",$NN$10*(237-$NR$10+1)*($NS$10-237+1)/$NU$10,$NN$10/$NT$10)),0)</f>
        <v/>
      </c>
      <c r="IH10" s="228">
        <f>IF(AND(238&gt;=$NR$10,238&lt;=$NS$10),IF($NP$10="Single_Point",IF(238=$NR$10,$NN$10,0),IF($NP$10="Bell_Curve",$NN$10*(238-$NR$10+1)*($NS$10-238+1)/$NU$10,$NN$10/$NT$10)),0)</f>
        <v/>
      </c>
      <c r="II10" s="228">
        <f>IF(AND(239&gt;=$NR$10,239&lt;=$NS$10),IF($NP$10="Single_Point",IF(239=$NR$10,$NN$10,0),IF($NP$10="Bell_Curve",$NN$10*(239-$NR$10+1)*($NS$10-239+1)/$NU$10,$NN$10/$NT$10)),0)</f>
        <v/>
      </c>
      <c r="IJ10" s="228">
        <f>IF(AND(240&gt;=$NR$10,240&lt;=$NS$10),IF($NP$10="Single_Point",IF(240=$NR$10,$NN$10,0),IF($NP$10="Bell_Curve",$NN$10*(240-$NR$10+1)*($NS$10-240+1)/$NU$10,$NN$10/$NT$10)),0)</f>
        <v/>
      </c>
      <c r="IK10" s="228">
        <f>IF(AND(241&gt;=$NR$10,241&lt;=$NS$10),IF($NP$10="Single_Point",IF(241=$NR$10,$NN$10,0),IF($NP$10="Bell_Curve",$NN$10*(241-$NR$10+1)*($NS$10-241+1)/$NU$10,$NN$10/$NT$10)),0)</f>
        <v/>
      </c>
      <c r="IL10" s="228">
        <f>IF(AND(242&gt;=$NR$10,242&lt;=$NS$10),IF($NP$10="Single_Point",IF(242=$NR$10,$NN$10,0),IF($NP$10="Bell_Curve",$NN$10*(242-$NR$10+1)*($NS$10-242+1)/$NU$10,$NN$10/$NT$10)),0)</f>
        <v/>
      </c>
      <c r="IM10" s="228">
        <f>IF(AND(243&gt;=$NR$10,243&lt;=$NS$10),IF($NP$10="Single_Point",IF(243=$NR$10,$NN$10,0),IF($NP$10="Bell_Curve",$NN$10*(243-$NR$10+1)*($NS$10-243+1)/$NU$10,$NN$10/$NT$10)),0)</f>
        <v/>
      </c>
      <c r="IN10" s="228">
        <f>IF(AND(244&gt;=$NR$10,244&lt;=$NS$10),IF($NP$10="Single_Point",IF(244=$NR$10,$NN$10,0),IF($NP$10="Bell_Curve",$NN$10*(244-$NR$10+1)*($NS$10-244+1)/$NU$10,$NN$10/$NT$10)),0)</f>
        <v/>
      </c>
      <c r="IO10" s="228">
        <f>IF(AND(245&gt;=$NR$10,245&lt;=$NS$10),IF($NP$10="Single_Point",IF(245=$NR$10,$NN$10,0),IF($NP$10="Bell_Curve",$NN$10*(245-$NR$10+1)*($NS$10-245+1)/$NU$10,$NN$10/$NT$10)),0)</f>
        <v/>
      </c>
      <c r="IP10" s="228">
        <f>IF(AND(246&gt;=$NR$10,246&lt;=$NS$10),IF($NP$10="Single_Point",IF(246=$NR$10,$NN$10,0),IF($NP$10="Bell_Curve",$NN$10*(246-$NR$10+1)*($NS$10-246+1)/$NU$10,$NN$10/$NT$10)),0)</f>
        <v/>
      </c>
      <c r="IQ10" s="228">
        <f>IF(AND(247&gt;=$NR$10,247&lt;=$NS$10),IF($NP$10="Single_Point",IF(247=$NR$10,$NN$10,0),IF($NP$10="Bell_Curve",$NN$10*(247-$NR$10+1)*($NS$10-247+1)/$NU$10,$NN$10/$NT$10)),0)</f>
        <v/>
      </c>
      <c r="IR10" s="228">
        <f>IF(AND(248&gt;=$NR$10,248&lt;=$NS$10),IF($NP$10="Single_Point",IF(248=$NR$10,$NN$10,0),IF($NP$10="Bell_Curve",$NN$10*(248-$NR$10+1)*($NS$10-248+1)/$NU$10,$NN$10/$NT$10)),0)</f>
        <v/>
      </c>
      <c r="IS10" s="228">
        <f>IF(AND(249&gt;=$NR$10,249&lt;=$NS$10),IF($NP$10="Single_Point",IF(249=$NR$10,$NN$10,0),IF($NP$10="Bell_Curve",$NN$10*(249-$NR$10+1)*($NS$10-249+1)/$NU$10,$NN$10/$NT$10)),0)</f>
        <v/>
      </c>
      <c r="IT10" s="228">
        <f>IF(AND(250&gt;=$NR$10,250&lt;=$NS$10),IF($NP$10="Single_Point",IF(250=$NR$10,$NN$10,0),IF($NP$10="Bell_Curve",$NN$10*(250-$NR$10+1)*($NS$10-250+1)/$NU$10,$NN$10/$NT$10)),0)</f>
        <v/>
      </c>
      <c r="IU10" s="228">
        <f>IF(AND(251&gt;=$NR$10,251&lt;=$NS$10),IF($NP$10="Single_Point",IF(251=$NR$10,$NN$10,0),IF($NP$10="Bell_Curve",$NN$10*(251-$NR$10+1)*($NS$10-251+1)/$NU$10,$NN$10/$NT$10)),0)</f>
        <v/>
      </c>
      <c r="IV10" s="228">
        <f>IF(AND(252&gt;=$NR$10,252&lt;=$NS$10),IF($NP$10="Single_Point",IF(252=$NR$10,$NN$10,0),IF($NP$10="Bell_Curve",$NN$10*(252-$NR$10+1)*($NS$10-252+1)/$NU$10,$NN$10/$NT$10)),0)</f>
        <v/>
      </c>
      <c r="IW10" s="228">
        <f>IF(AND(253&gt;=$NR$10,253&lt;=$NS$10),IF($NP$10="Single_Point",IF(253=$NR$10,$NN$10,0),IF($NP$10="Bell_Curve",$NN$10*(253-$NR$10+1)*($NS$10-253+1)/$NU$10,$NN$10/$NT$10)),0)</f>
        <v/>
      </c>
      <c r="IX10" s="228">
        <f>IF(AND(254&gt;=$NR$10,254&lt;=$NS$10),IF($NP$10="Single_Point",IF(254=$NR$10,$NN$10,0),IF($NP$10="Bell_Curve",$NN$10*(254-$NR$10+1)*($NS$10-254+1)/$NU$10,$NN$10/$NT$10)),0)</f>
        <v/>
      </c>
      <c r="IY10" s="228">
        <f>IF(AND(255&gt;=$NR$10,255&lt;=$NS$10),IF($NP$10="Single_Point",IF(255=$NR$10,$NN$10,0),IF($NP$10="Bell_Curve",$NN$10*(255-$NR$10+1)*($NS$10-255+1)/$NU$10,$NN$10/$NT$10)),0)</f>
        <v/>
      </c>
      <c r="IZ10" s="228">
        <f>IF(AND(256&gt;=$NR$10,256&lt;=$NS$10),IF($NP$10="Single_Point",IF(256=$NR$10,$NN$10,0),IF($NP$10="Bell_Curve",$NN$10*(256-$NR$10+1)*($NS$10-256+1)/$NU$10,$NN$10/$NT$10)),0)</f>
        <v/>
      </c>
      <c r="JA10" s="228">
        <f>IF(AND(257&gt;=$NR$10,257&lt;=$NS$10),IF($NP$10="Single_Point",IF(257=$NR$10,$NN$10,0),IF($NP$10="Bell_Curve",$NN$10*(257-$NR$10+1)*($NS$10-257+1)/$NU$10,$NN$10/$NT$10)),0)</f>
        <v/>
      </c>
      <c r="JB10" s="228">
        <f>IF(AND(258&gt;=$NR$10,258&lt;=$NS$10),IF($NP$10="Single_Point",IF(258=$NR$10,$NN$10,0),IF($NP$10="Bell_Curve",$NN$10*(258-$NR$10+1)*($NS$10-258+1)/$NU$10,$NN$10/$NT$10)),0)</f>
        <v/>
      </c>
      <c r="JC10" s="228">
        <f>IF(AND(259&gt;=$NR$10,259&lt;=$NS$10),IF($NP$10="Single_Point",IF(259=$NR$10,$NN$10,0),IF($NP$10="Bell_Curve",$NN$10*(259-$NR$10+1)*($NS$10-259+1)/$NU$10,$NN$10/$NT$10)),0)</f>
        <v/>
      </c>
      <c r="JD10" s="228">
        <f>IF(AND(260&gt;=$NR$10,260&lt;=$NS$10),IF($NP$10="Single_Point",IF(260=$NR$10,$NN$10,0),IF($NP$10="Bell_Curve",$NN$10*(260-$NR$10+1)*($NS$10-260+1)/$NU$10,$NN$10/$NT$10)),0)</f>
        <v/>
      </c>
      <c r="JE10" s="228">
        <f>IF(AND(261&gt;=$NR$10,261&lt;=$NS$10),IF($NP$10="Single_Point",IF(261=$NR$10,$NN$10,0),IF($NP$10="Bell_Curve",$NN$10*(261-$NR$10+1)*($NS$10-261+1)/$NU$10,$NN$10/$NT$10)),0)</f>
        <v/>
      </c>
      <c r="JF10" s="228">
        <f>IF(AND(262&gt;=$NR$10,262&lt;=$NS$10),IF($NP$10="Single_Point",IF(262=$NR$10,$NN$10,0),IF($NP$10="Bell_Curve",$NN$10*(262-$NR$10+1)*($NS$10-262+1)/$NU$10,$NN$10/$NT$10)),0)</f>
        <v/>
      </c>
      <c r="JG10" s="228">
        <f>IF(AND(263&gt;=$NR$10,263&lt;=$NS$10),IF($NP$10="Single_Point",IF(263=$NR$10,$NN$10,0),IF($NP$10="Bell_Curve",$NN$10*(263-$NR$10+1)*($NS$10-263+1)/$NU$10,$NN$10/$NT$10)),0)</f>
        <v/>
      </c>
      <c r="JH10" s="228">
        <f>IF(AND(264&gt;=$NR$10,264&lt;=$NS$10),IF($NP$10="Single_Point",IF(264=$NR$10,$NN$10,0),IF($NP$10="Bell_Curve",$NN$10*(264-$NR$10+1)*($NS$10-264+1)/$NU$10,$NN$10/$NT$10)),0)</f>
        <v/>
      </c>
      <c r="JI10" s="228">
        <f>IF(AND(265&gt;=$NR$10,265&lt;=$NS$10),IF($NP$10="Single_Point",IF(265=$NR$10,$NN$10,0),IF($NP$10="Bell_Curve",$NN$10*(265-$NR$10+1)*($NS$10-265+1)/$NU$10,$NN$10/$NT$10)),0)</f>
        <v/>
      </c>
      <c r="JJ10" s="228">
        <f>IF(AND(266&gt;=$NR$10,266&lt;=$NS$10),IF($NP$10="Single_Point",IF(266=$NR$10,$NN$10,0),IF($NP$10="Bell_Curve",$NN$10*(266-$NR$10+1)*($NS$10-266+1)/$NU$10,$NN$10/$NT$10)),0)</f>
        <v/>
      </c>
      <c r="JK10" s="228">
        <f>IF(AND(267&gt;=$NR$10,267&lt;=$NS$10),IF($NP$10="Single_Point",IF(267=$NR$10,$NN$10,0),IF($NP$10="Bell_Curve",$NN$10*(267-$NR$10+1)*($NS$10-267+1)/$NU$10,$NN$10/$NT$10)),0)</f>
        <v/>
      </c>
      <c r="JL10" s="228">
        <f>IF(AND(268&gt;=$NR$10,268&lt;=$NS$10),IF($NP$10="Single_Point",IF(268=$NR$10,$NN$10,0),IF($NP$10="Bell_Curve",$NN$10*(268-$NR$10+1)*($NS$10-268+1)/$NU$10,$NN$10/$NT$10)),0)</f>
        <v/>
      </c>
      <c r="JM10" s="228">
        <f>IF(AND(269&gt;=$NR$10,269&lt;=$NS$10),IF($NP$10="Single_Point",IF(269=$NR$10,$NN$10,0),IF($NP$10="Bell_Curve",$NN$10*(269-$NR$10+1)*($NS$10-269+1)/$NU$10,$NN$10/$NT$10)),0)</f>
        <v/>
      </c>
      <c r="JN10" s="228">
        <f>IF(AND(270&gt;=$NR$10,270&lt;=$NS$10),IF($NP$10="Single_Point",IF(270=$NR$10,$NN$10,0),IF($NP$10="Bell_Curve",$NN$10*(270-$NR$10+1)*($NS$10-270+1)/$NU$10,$NN$10/$NT$10)),0)</f>
        <v/>
      </c>
      <c r="JO10" s="228">
        <f>IF(AND(271&gt;=$NR$10,271&lt;=$NS$10),IF($NP$10="Single_Point",IF(271=$NR$10,$NN$10,0),IF($NP$10="Bell_Curve",$NN$10*(271-$NR$10+1)*($NS$10-271+1)/$NU$10,$NN$10/$NT$10)),0)</f>
        <v/>
      </c>
      <c r="JP10" s="228">
        <f>IF(AND(272&gt;=$NR$10,272&lt;=$NS$10),IF($NP$10="Single_Point",IF(272=$NR$10,$NN$10,0),IF($NP$10="Bell_Curve",$NN$10*(272-$NR$10+1)*($NS$10-272+1)/$NU$10,$NN$10/$NT$10)),0)</f>
        <v/>
      </c>
      <c r="JQ10" s="228">
        <f>IF(AND(273&gt;=$NR$10,273&lt;=$NS$10),IF($NP$10="Single_Point",IF(273=$NR$10,$NN$10,0),IF($NP$10="Bell_Curve",$NN$10*(273-$NR$10+1)*($NS$10-273+1)/$NU$10,$NN$10/$NT$10)),0)</f>
        <v/>
      </c>
      <c r="JR10" s="228">
        <f>IF(AND(274&gt;=$NR$10,274&lt;=$NS$10),IF($NP$10="Single_Point",IF(274=$NR$10,$NN$10,0),IF($NP$10="Bell_Curve",$NN$10*(274-$NR$10+1)*($NS$10-274+1)/$NU$10,$NN$10/$NT$10)),0)</f>
        <v/>
      </c>
      <c r="JS10" s="228">
        <f>IF(AND(275&gt;=$NR$10,275&lt;=$NS$10),IF($NP$10="Single_Point",IF(275=$NR$10,$NN$10,0),IF($NP$10="Bell_Curve",$NN$10*(275-$NR$10+1)*($NS$10-275+1)/$NU$10,$NN$10/$NT$10)),0)</f>
        <v/>
      </c>
      <c r="JT10" s="228">
        <f>IF(AND(276&gt;=$NR$10,276&lt;=$NS$10),IF($NP$10="Single_Point",IF(276=$NR$10,$NN$10,0),IF($NP$10="Bell_Curve",$NN$10*(276-$NR$10+1)*($NS$10-276+1)/$NU$10,$NN$10/$NT$10)),0)</f>
        <v/>
      </c>
      <c r="JU10" s="228">
        <f>IF(AND(277&gt;=$NR$10,277&lt;=$NS$10),IF($NP$10="Single_Point",IF(277=$NR$10,$NN$10,0),IF($NP$10="Bell_Curve",$NN$10*(277-$NR$10+1)*($NS$10-277+1)/$NU$10,$NN$10/$NT$10)),0)</f>
        <v/>
      </c>
      <c r="JV10" s="228">
        <f>IF(AND(278&gt;=$NR$10,278&lt;=$NS$10),IF($NP$10="Single_Point",IF(278=$NR$10,$NN$10,0),IF($NP$10="Bell_Curve",$NN$10*(278-$NR$10+1)*($NS$10-278+1)/$NU$10,$NN$10/$NT$10)),0)</f>
        <v/>
      </c>
      <c r="JW10" s="228">
        <f>IF(AND(279&gt;=$NR$10,279&lt;=$NS$10),IF($NP$10="Single_Point",IF(279=$NR$10,$NN$10,0),IF($NP$10="Bell_Curve",$NN$10*(279-$NR$10+1)*($NS$10-279+1)/$NU$10,$NN$10/$NT$10)),0)</f>
        <v/>
      </c>
      <c r="JX10" s="228">
        <f>IF(AND(280&gt;=$NR$10,280&lt;=$NS$10),IF($NP$10="Single_Point",IF(280=$NR$10,$NN$10,0),IF($NP$10="Bell_Curve",$NN$10*(280-$NR$10+1)*($NS$10-280+1)/$NU$10,$NN$10/$NT$10)),0)</f>
        <v/>
      </c>
      <c r="JY10" s="228">
        <f>IF(AND(281&gt;=$NR$10,281&lt;=$NS$10),IF($NP$10="Single_Point",IF(281=$NR$10,$NN$10,0),IF($NP$10="Bell_Curve",$NN$10*(281-$NR$10+1)*($NS$10-281+1)/$NU$10,$NN$10/$NT$10)),0)</f>
        <v/>
      </c>
      <c r="JZ10" s="228">
        <f>IF(AND(282&gt;=$NR$10,282&lt;=$NS$10),IF($NP$10="Single_Point",IF(282=$NR$10,$NN$10,0),IF($NP$10="Bell_Curve",$NN$10*(282-$NR$10+1)*($NS$10-282+1)/$NU$10,$NN$10/$NT$10)),0)</f>
        <v/>
      </c>
      <c r="KA10" s="228">
        <f>IF(AND(283&gt;=$NR$10,283&lt;=$NS$10),IF($NP$10="Single_Point",IF(283=$NR$10,$NN$10,0),IF($NP$10="Bell_Curve",$NN$10*(283-$NR$10+1)*($NS$10-283+1)/$NU$10,$NN$10/$NT$10)),0)</f>
        <v/>
      </c>
      <c r="KB10" s="228">
        <f>IF(AND(284&gt;=$NR$10,284&lt;=$NS$10),IF($NP$10="Single_Point",IF(284=$NR$10,$NN$10,0),IF($NP$10="Bell_Curve",$NN$10*(284-$NR$10+1)*($NS$10-284+1)/$NU$10,$NN$10/$NT$10)),0)</f>
        <v/>
      </c>
      <c r="KC10" s="228">
        <f>IF(AND(285&gt;=$NR$10,285&lt;=$NS$10),IF($NP$10="Single_Point",IF(285=$NR$10,$NN$10,0),IF($NP$10="Bell_Curve",$NN$10*(285-$NR$10+1)*($NS$10-285+1)/$NU$10,$NN$10/$NT$10)),0)</f>
        <v/>
      </c>
      <c r="KD10" s="228">
        <f>IF(AND(286&gt;=$NR$10,286&lt;=$NS$10),IF($NP$10="Single_Point",IF(286=$NR$10,$NN$10,0),IF($NP$10="Bell_Curve",$NN$10*(286-$NR$10+1)*($NS$10-286+1)/$NU$10,$NN$10/$NT$10)),0)</f>
        <v/>
      </c>
      <c r="KE10" s="228">
        <f>IF(AND(287&gt;=$NR$10,287&lt;=$NS$10),IF($NP$10="Single_Point",IF(287=$NR$10,$NN$10,0),IF($NP$10="Bell_Curve",$NN$10*(287-$NR$10+1)*($NS$10-287+1)/$NU$10,$NN$10/$NT$10)),0)</f>
        <v/>
      </c>
      <c r="KF10" s="228">
        <f>IF(AND(288&gt;=$NR$10,288&lt;=$NS$10),IF($NP$10="Single_Point",IF(288=$NR$10,$NN$10,0),IF($NP$10="Bell_Curve",$NN$10*(288-$NR$10+1)*($NS$10-288+1)/$NU$10,$NN$10/$NT$10)),0)</f>
        <v/>
      </c>
      <c r="KG10" s="228">
        <f>IF(AND(289&gt;=$NR$10,289&lt;=$NS$10),IF($NP$10="Single_Point",IF(289=$NR$10,$NN$10,0),IF($NP$10="Bell_Curve",$NN$10*(289-$NR$10+1)*($NS$10-289+1)/$NU$10,$NN$10/$NT$10)),0)</f>
        <v/>
      </c>
      <c r="KH10" s="228">
        <f>IF(AND(290&gt;=$NR$10,290&lt;=$NS$10),IF($NP$10="Single_Point",IF(290=$NR$10,$NN$10,0),IF($NP$10="Bell_Curve",$NN$10*(290-$NR$10+1)*($NS$10-290+1)/$NU$10,$NN$10/$NT$10)),0)</f>
        <v/>
      </c>
      <c r="KI10" s="228">
        <f>IF(AND(291&gt;=$NR$10,291&lt;=$NS$10),IF($NP$10="Single_Point",IF(291=$NR$10,$NN$10,0),IF($NP$10="Bell_Curve",$NN$10*(291-$NR$10+1)*($NS$10-291+1)/$NU$10,$NN$10/$NT$10)),0)</f>
        <v/>
      </c>
      <c r="KJ10" s="228">
        <f>IF(AND(292&gt;=$NR$10,292&lt;=$NS$10),IF($NP$10="Single_Point",IF(292=$NR$10,$NN$10,0),IF($NP$10="Bell_Curve",$NN$10*(292-$NR$10+1)*($NS$10-292+1)/$NU$10,$NN$10/$NT$10)),0)</f>
        <v/>
      </c>
      <c r="KK10" s="228">
        <f>IF(AND(293&gt;=$NR$10,293&lt;=$NS$10),IF($NP$10="Single_Point",IF(293=$NR$10,$NN$10,0),IF($NP$10="Bell_Curve",$NN$10*(293-$NR$10+1)*($NS$10-293+1)/$NU$10,$NN$10/$NT$10)),0)</f>
        <v/>
      </c>
      <c r="KL10" s="228">
        <f>IF(AND(294&gt;=$NR$10,294&lt;=$NS$10),IF($NP$10="Single_Point",IF(294=$NR$10,$NN$10,0),IF($NP$10="Bell_Curve",$NN$10*(294-$NR$10+1)*($NS$10-294+1)/$NU$10,$NN$10/$NT$10)),0)</f>
        <v/>
      </c>
      <c r="KM10" s="228">
        <f>IF(AND(295&gt;=$NR$10,295&lt;=$NS$10),IF($NP$10="Single_Point",IF(295=$NR$10,$NN$10,0),IF($NP$10="Bell_Curve",$NN$10*(295-$NR$10+1)*($NS$10-295+1)/$NU$10,$NN$10/$NT$10)),0)</f>
        <v/>
      </c>
      <c r="KN10" s="228">
        <f>IF(AND(296&gt;=$NR$10,296&lt;=$NS$10),IF($NP$10="Single_Point",IF(296=$NR$10,$NN$10,0),IF($NP$10="Bell_Curve",$NN$10*(296-$NR$10+1)*($NS$10-296+1)/$NU$10,$NN$10/$NT$10)),0)</f>
        <v/>
      </c>
      <c r="KO10" s="228">
        <f>IF(AND(297&gt;=$NR$10,297&lt;=$NS$10),IF($NP$10="Single_Point",IF(297=$NR$10,$NN$10,0),IF($NP$10="Bell_Curve",$NN$10*(297-$NR$10+1)*($NS$10-297+1)/$NU$10,$NN$10/$NT$10)),0)</f>
        <v/>
      </c>
      <c r="KP10" s="228">
        <f>IF(AND(298&gt;=$NR$10,298&lt;=$NS$10),IF($NP$10="Single_Point",IF(298=$NR$10,$NN$10,0),IF($NP$10="Bell_Curve",$NN$10*(298-$NR$10+1)*($NS$10-298+1)/$NU$10,$NN$10/$NT$10)),0)</f>
        <v/>
      </c>
      <c r="KQ10" s="228">
        <f>IF(AND(299&gt;=$NR$10,299&lt;=$NS$10),IF($NP$10="Single_Point",IF(299=$NR$10,$NN$10,0),IF($NP$10="Bell_Curve",$NN$10*(299-$NR$10+1)*($NS$10-299+1)/$NU$10,$NN$10/$NT$10)),0)</f>
        <v/>
      </c>
      <c r="KR10" s="228">
        <f>IF(AND(300&gt;=$NR$10,300&lt;=$NS$10),IF($NP$10="Single_Point",IF(300=$NR$10,$NN$10,0),IF($NP$10="Bell_Curve",$NN$10*(300-$NR$10+1)*($NS$10-300+1)/$NU$10,$NN$10/$NT$10)),0)</f>
        <v/>
      </c>
      <c r="KS10" s="228">
        <f>IF(AND(301&gt;=$NR$10,301&lt;=$NS$10),IF($NP$10="Single_Point",IF(301=$NR$10,$NN$10,0),IF($NP$10="Bell_Curve",$NN$10*(301-$NR$10+1)*($NS$10-301+1)/$NU$10,$NN$10/$NT$10)),0)</f>
        <v/>
      </c>
      <c r="KT10" s="228">
        <f>IF(AND(302&gt;=$NR$10,302&lt;=$NS$10),IF($NP$10="Single_Point",IF(302=$NR$10,$NN$10,0),IF($NP$10="Bell_Curve",$NN$10*(302-$NR$10+1)*($NS$10-302+1)/$NU$10,$NN$10/$NT$10)),0)</f>
        <v/>
      </c>
      <c r="KU10" s="228">
        <f>IF(AND(303&gt;=$NR$10,303&lt;=$NS$10),IF($NP$10="Single_Point",IF(303=$NR$10,$NN$10,0),IF($NP$10="Bell_Curve",$NN$10*(303-$NR$10+1)*($NS$10-303+1)/$NU$10,$NN$10/$NT$10)),0)</f>
        <v/>
      </c>
      <c r="KV10" s="228">
        <f>IF(AND(304&gt;=$NR$10,304&lt;=$NS$10),IF($NP$10="Single_Point",IF(304=$NR$10,$NN$10,0),IF($NP$10="Bell_Curve",$NN$10*(304-$NR$10+1)*($NS$10-304+1)/$NU$10,$NN$10/$NT$10)),0)</f>
        <v/>
      </c>
      <c r="KW10" s="228">
        <f>IF(AND(305&gt;=$NR$10,305&lt;=$NS$10),IF($NP$10="Single_Point",IF(305=$NR$10,$NN$10,0),IF($NP$10="Bell_Curve",$NN$10*(305-$NR$10+1)*($NS$10-305+1)/$NU$10,$NN$10/$NT$10)),0)</f>
        <v/>
      </c>
      <c r="KX10" s="228">
        <f>IF(AND(306&gt;=$NR$10,306&lt;=$NS$10),IF($NP$10="Single_Point",IF(306=$NR$10,$NN$10,0),IF($NP$10="Bell_Curve",$NN$10*(306-$NR$10+1)*($NS$10-306+1)/$NU$10,$NN$10/$NT$10)),0)</f>
        <v/>
      </c>
      <c r="KY10" s="228">
        <f>IF(AND(307&gt;=$NR$10,307&lt;=$NS$10),IF($NP$10="Single_Point",IF(307=$NR$10,$NN$10,0),IF($NP$10="Bell_Curve",$NN$10*(307-$NR$10+1)*($NS$10-307+1)/$NU$10,$NN$10/$NT$10)),0)</f>
        <v/>
      </c>
      <c r="KZ10" s="228">
        <f>IF(AND(308&gt;=$NR$10,308&lt;=$NS$10),IF($NP$10="Single_Point",IF(308=$NR$10,$NN$10,0),IF($NP$10="Bell_Curve",$NN$10*(308-$NR$10+1)*($NS$10-308+1)/$NU$10,$NN$10/$NT$10)),0)</f>
        <v/>
      </c>
      <c r="LA10" s="228">
        <f>IF(AND(309&gt;=$NR$10,309&lt;=$NS$10),IF($NP$10="Single_Point",IF(309=$NR$10,$NN$10,0),IF($NP$10="Bell_Curve",$NN$10*(309-$NR$10+1)*($NS$10-309+1)/$NU$10,$NN$10/$NT$10)),0)</f>
        <v/>
      </c>
      <c r="LB10" s="228">
        <f>IF(AND(310&gt;=$NR$10,310&lt;=$NS$10),IF($NP$10="Single_Point",IF(310=$NR$10,$NN$10,0),IF($NP$10="Bell_Curve",$NN$10*(310-$NR$10+1)*($NS$10-310+1)/$NU$10,$NN$10/$NT$10)),0)</f>
        <v/>
      </c>
      <c r="LC10" s="228">
        <f>IF(AND(311&gt;=$NR$10,311&lt;=$NS$10),IF($NP$10="Single_Point",IF(311=$NR$10,$NN$10,0),IF($NP$10="Bell_Curve",$NN$10*(311-$NR$10+1)*($NS$10-311+1)/$NU$10,$NN$10/$NT$10)),0)</f>
        <v/>
      </c>
      <c r="LD10" s="228">
        <f>IF(AND(312&gt;=$NR$10,312&lt;=$NS$10),IF($NP$10="Single_Point",IF(312=$NR$10,$NN$10,0),IF($NP$10="Bell_Curve",$NN$10*(312-$NR$10+1)*($NS$10-312+1)/$NU$10,$NN$10/$NT$10)),0)</f>
        <v/>
      </c>
      <c r="LE10" s="228">
        <f>IF(AND(313&gt;=$NR$10,313&lt;=$NS$10),IF($NP$10="Single_Point",IF(313=$NR$10,$NN$10,0),IF($NP$10="Bell_Curve",$NN$10*(313-$NR$10+1)*($NS$10-313+1)/$NU$10,$NN$10/$NT$10)),0)</f>
        <v/>
      </c>
      <c r="LF10" s="228">
        <f>IF(AND(314&gt;=$NR$10,314&lt;=$NS$10),IF($NP$10="Single_Point",IF(314=$NR$10,$NN$10,0),IF($NP$10="Bell_Curve",$NN$10*(314-$NR$10+1)*($NS$10-314+1)/$NU$10,$NN$10/$NT$10)),0)</f>
        <v/>
      </c>
      <c r="LG10" s="228">
        <f>IF(AND(315&gt;=$NR$10,315&lt;=$NS$10),IF($NP$10="Single_Point",IF(315=$NR$10,$NN$10,0),IF($NP$10="Bell_Curve",$NN$10*(315-$NR$10+1)*($NS$10-315+1)/$NU$10,$NN$10/$NT$10)),0)</f>
        <v/>
      </c>
      <c r="LH10" s="228">
        <f>IF(AND(316&gt;=$NR$10,316&lt;=$NS$10),IF($NP$10="Single_Point",IF(316=$NR$10,$NN$10,0),IF($NP$10="Bell_Curve",$NN$10*(316-$NR$10+1)*($NS$10-316+1)/$NU$10,$NN$10/$NT$10)),0)</f>
        <v/>
      </c>
      <c r="LI10" s="228">
        <f>IF(AND(317&gt;=$NR$10,317&lt;=$NS$10),IF($NP$10="Single_Point",IF(317=$NR$10,$NN$10,0),IF($NP$10="Bell_Curve",$NN$10*(317-$NR$10+1)*($NS$10-317+1)/$NU$10,$NN$10/$NT$10)),0)</f>
        <v/>
      </c>
      <c r="LJ10" s="228">
        <f>IF(AND(318&gt;=$NR$10,318&lt;=$NS$10),IF($NP$10="Single_Point",IF(318=$NR$10,$NN$10,0),IF($NP$10="Bell_Curve",$NN$10*(318-$NR$10+1)*($NS$10-318+1)/$NU$10,$NN$10/$NT$10)),0)</f>
        <v/>
      </c>
      <c r="LK10" s="228">
        <f>IF(AND(319&gt;=$NR$10,319&lt;=$NS$10),IF($NP$10="Single_Point",IF(319=$NR$10,$NN$10,0),IF($NP$10="Bell_Curve",$NN$10*(319-$NR$10+1)*($NS$10-319+1)/$NU$10,$NN$10/$NT$10)),0)</f>
        <v/>
      </c>
      <c r="LL10" s="228">
        <f>IF(AND(320&gt;=$NR$10,320&lt;=$NS$10),IF($NP$10="Single_Point",IF(320=$NR$10,$NN$10,0),IF($NP$10="Bell_Curve",$NN$10*(320-$NR$10+1)*($NS$10-320+1)/$NU$10,$NN$10/$NT$10)),0)</f>
        <v/>
      </c>
      <c r="LM10" s="228">
        <f>IF(AND(321&gt;=$NR$10,321&lt;=$NS$10),IF($NP$10="Single_Point",IF(321=$NR$10,$NN$10,0),IF($NP$10="Bell_Curve",$NN$10*(321-$NR$10+1)*($NS$10-321+1)/$NU$10,$NN$10/$NT$10)),0)</f>
        <v/>
      </c>
      <c r="LN10" s="228">
        <f>IF(AND(322&gt;=$NR$10,322&lt;=$NS$10),IF($NP$10="Single_Point",IF(322=$NR$10,$NN$10,0),IF($NP$10="Bell_Curve",$NN$10*(322-$NR$10+1)*($NS$10-322+1)/$NU$10,$NN$10/$NT$10)),0)</f>
        <v/>
      </c>
      <c r="LO10" s="228">
        <f>IF(AND(323&gt;=$NR$10,323&lt;=$NS$10),IF($NP$10="Single_Point",IF(323=$NR$10,$NN$10,0),IF($NP$10="Bell_Curve",$NN$10*(323-$NR$10+1)*($NS$10-323+1)/$NU$10,$NN$10/$NT$10)),0)</f>
        <v/>
      </c>
      <c r="LP10" s="228">
        <f>IF(AND(324&gt;=$NR$10,324&lt;=$NS$10),IF($NP$10="Single_Point",IF(324=$NR$10,$NN$10,0),IF($NP$10="Bell_Curve",$NN$10*(324-$NR$10+1)*($NS$10-324+1)/$NU$10,$NN$10/$NT$10)),0)</f>
        <v/>
      </c>
      <c r="LQ10" s="228">
        <f>IF(AND(325&gt;=$NR$10,325&lt;=$NS$10),IF($NP$10="Single_Point",IF(325=$NR$10,$NN$10,0),IF($NP$10="Bell_Curve",$NN$10*(325-$NR$10+1)*($NS$10-325+1)/$NU$10,$NN$10/$NT$10)),0)</f>
        <v/>
      </c>
      <c r="LR10" s="228">
        <f>IF(AND(326&gt;=$NR$10,326&lt;=$NS$10),IF($NP$10="Single_Point",IF(326=$NR$10,$NN$10,0),IF($NP$10="Bell_Curve",$NN$10*(326-$NR$10+1)*($NS$10-326+1)/$NU$10,$NN$10/$NT$10)),0)</f>
        <v/>
      </c>
      <c r="LS10" s="228">
        <f>IF(AND(327&gt;=$NR$10,327&lt;=$NS$10),IF($NP$10="Single_Point",IF(327=$NR$10,$NN$10,0),IF($NP$10="Bell_Curve",$NN$10*(327-$NR$10+1)*($NS$10-327+1)/$NU$10,$NN$10/$NT$10)),0)</f>
        <v/>
      </c>
      <c r="LT10" s="228">
        <f>IF(AND(328&gt;=$NR$10,328&lt;=$NS$10),IF($NP$10="Single_Point",IF(328=$NR$10,$NN$10,0),IF($NP$10="Bell_Curve",$NN$10*(328-$NR$10+1)*($NS$10-328+1)/$NU$10,$NN$10/$NT$10)),0)</f>
        <v/>
      </c>
      <c r="LU10" s="228">
        <f>IF(AND(329&gt;=$NR$10,329&lt;=$NS$10),IF($NP$10="Single_Point",IF(329=$NR$10,$NN$10,0),IF($NP$10="Bell_Curve",$NN$10*(329-$NR$10+1)*($NS$10-329+1)/$NU$10,$NN$10/$NT$10)),0)</f>
        <v/>
      </c>
      <c r="LV10" s="228">
        <f>IF(AND(330&gt;=$NR$10,330&lt;=$NS$10),IF($NP$10="Single_Point",IF(330=$NR$10,$NN$10,0),IF($NP$10="Bell_Curve",$NN$10*(330-$NR$10+1)*($NS$10-330+1)/$NU$10,$NN$10/$NT$10)),0)</f>
        <v/>
      </c>
      <c r="LW10" s="228">
        <f>IF(AND(331&gt;=$NR$10,331&lt;=$NS$10),IF($NP$10="Single_Point",IF(331=$NR$10,$NN$10,0),IF($NP$10="Bell_Curve",$NN$10*(331-$NR$10+1)*($NS$10-331+1)/$NU$10,$NN$10/$NT$10)),0)</f>
        <v/>
      </c>
      <c r="LX10" s="228">
        <f>IF(AND(332&gt;=$NR$10,332&lt;=$NS$10),IF($NP$10="Single_Point",IF(332=$NR$10,$NN$10,0),IF($NP$10="Bell_Curve",$NN$10*(332-$NR$10+1)*($NS$10-332+1)/$NU$10,$NN$10/$NT$10)),0)</f>
        <v/>
      </c>
      <c r="LY10" s="228">
        <f>IF(AND(333&gt;=$NR$10,333&lt;=$NS$10),IF($NP$10="Single_Point",IF(333=$NR$10,$NN$10,0),IF($NP$10="Bell_Curve",$NN$10*(333-$NR$10+1)*($NS$10-333+1)/$NU$10,$NN$10/$NT$10)),0)</f>
        <v/>
      </c>
      <c r="LZ10" s="228">
        <f>IF(AND(334&gt;=$NR$10,334&lt;=$NS$10),IF($NP$10="Single_Point",IF(334=$NR$10,$NN$10,0),IF($NP$10="Bell_Curve",$NN$10*(334-$NR$10+1)*($NS$10-334+1)/$NU$10,$NN$10/$NT$10)),0)</f>
        <v/>
      </c>
      <c r="MA10" s="228">
        <f>IF(AND(335&gt;=$NR$10,335&lt;=$NS$10),IF($NP$10="Single_Point",IF(335=$NR$10,$NN$10,0),IF($NP$10="Bell_Curve",$NN$10*(335-$NR$10+1)*($NS$10-335+1)/$NU$10,$NN$10/$NT$10)),0)</f>
        <v/>
      </c>
      <c r="MB10" s="228">
        <f>IF(AND(336&gt;=$NR$10,336&lt;=$NS$10),IF($NP$10="Single_Point",IF(336=$NR$10,$NN$10,0),IF($NP$10="Bell_Curve",$NN$10*(336-$NR$10+1)*($NS$10-336+1)/$NU$10,$NN$10/$NT$10)),0)</f>
        <v/>
      </c>
      <c r="MC10" s="228">
        <f>IF(AND(337&gt;=$NR$10,337&lt;=$NS$10),IF($NP$10="Single_Point",IF(337=$NR$10,$NN$10,0),IF($NP$10="Bell_Curve",$NN$10*(337-$NR$10+1)*($NS$10-337+1)/$NU$10,$NN$10/$NT$10)),0)</f>
        <v/>
      </c>
      <c r="MD10" s="228">
        <f>IF(AND(338&gt;=$NR$10,338&lt;=$NS$10),IF($NP$10="Single_Point",IF(338=$NR$10,$NN$10,0),IF($NP$10="Bell_Curve",$NN$10*(338-$NR$10+1)*($NS$10-338+1)/$NU$10,$NN$10/$NT$10)),0)</f>
        <v/>
      </c>
      <c r="ME10" s="228">
        <f>IF(AND(339&gt;=$NR$10,339&lt;=$NS$10),IF($NP$10="Single_Point",IF(339=$NR$10,$NN$10,0),IF($NP$10="Bell_Curve",$NN$10*(339-$NR$10+1)*($NS$10-339+1)/$NU$10,$NN$10/$NT$10)),0)</f>
        <v/>
      </c>
      <c r="MF10" s="228">
        <f>IF(AND(340&gt;=$NR$10,340&lt;=$NS$10),IF($NP$10="Single_Point",IF(340=$NR$10,$NN$10,0),IF($NP$10="Bell_Curve",$NN$10*(340-$NR$10+1)*($NS$10-340+1)/$NU$10,$NN$10/$NT$10)),0)</f>
        <v/>
      </c>
      <c r="MG10" s="228">
        <f>IF(AND(341&gt;=$NR$10,341&lt;=$NS$10),IF($NP$10="Single_Point",IF(341=$NR$10,$NN$10,0),IF($NP$10="Bell_Curve",$NN$10*(341-$NR$10+1)*($NS$10-341+1)/$NU$10,$NN$10/$NT$10)),0)</f>
        <v/>
      </c>
      <c r="MH10" s="228">
        <f>IF(AND(342&gt;=$NR$10,342&lt;=$NS$10),IF($NP$10="Single_Point",IF(342=$NR$10,$NN$10,0),IF($NP$10="Bell_Curve",$NN$10*(342-$NR$10+1)*($NS$10-342+1)/$NU$10,$NN$10/$NT$10)),0)</f>
        <v/>
      </c>
      <c r="MI10" s="228">
        <f>IF(AND(343&gt;=$NR$10,343&lt;=$NS$10),IF($NP$10="Single_Point",IF(343=$NR$10,$NN$10,0),IF($NP$10="Bell_Curve",$NN$10*(343-$NR$10+1)*($NS$10-343+1)/$NU$10,$NN$10/$NT$10)),0)</f>
        <v/>
      </c>
      <c r="MJ10" s="228">
        <f>IF(AND(344&gt;=$NR$10,344&lt;=$NS$10),IF($NP$10="Single_Point",IF(344=$NR$10,$NN$10,0),IF($NP$10="Bell_Curve",$NN$10*(344-$NR$10+1)*($NS$10-344+1)/$NU$10,$NN$10/$NT$10)),0)</f>
        <v/>
      </c>
      <c r="MK10" s="228">
        <f>IF(AND(345&gt;=$NR$10,345&lt;=$NS$10),IF($NP$10="Single_Point",IF(345=$NR$10,$NN$10,0),IF($NP$10="Bell_Curve",$NN$10*(345-$NR$10+1)*($NS$10-345+1)/$NU$10,$NN$10/$NT$10)),0)</f>
        <v/>
      </c>
      <c r="ML10" s="228">
        <f>IF(AND(346&gt;=$NR$10,346&lt;=$NS$10),IF($NP$10="Single_Point",IF(346=$NR$10,$NN$10,0),IF($NP$10="Bell_Curve",$NN$10*(346-$NR$10+1)*($NS$10-346+1)/$NU$10,$NN$10/$NT$10)),0)</f>
        <v/>
      </c>
      <c r="MM10" s="228">
        <f>IF(AND(347&gt;=$NR$10,347&lt;=$NS$10),IF($NP$10="Single_Point",IF(347=$NR$10,$NN$10,0),IF($NP$10="Bell_Curve",$NN$10*(347-$NR$10+1)*($NS$10-347+1)/$NU$10,$NN$10/$NT$10)),0)</f>
        <v/>
      </c>
      <c r="MN10" s="228">
        <f>IF(AND(348&gt;=$NR$10,348&lt;=$NS$10),IF($NP$10="Single_Point",IF(348=$NR$10,$NN$10,0),IF($NP$10="Bell_Curve",$NN$10*(348-$NR$10+1)*($NS$10-348+1)/$NU$10,$NN$10/$NT$10)),0)</f>
        <v/>
      </c>
      <c r="MO10" s="228">
        <f>IF(AND(349&gt;=$NR$10,349&lt;=$NS$10),IF($NP$10="Single_Point",IF(349=$NR$10,$NN$10,0),IF($NP$10="Bell_Curve",$NN$10*(349-$NR$10+1)*($NS$10-349+1)/$NU$10,$NN$10/$NT$10)),0)</f>
        <v/>
      </c>
      <c r="MP10" s="228">
        <f>IF(AND(350&gt;=$NR$10,350&lt;=$NS$10),IF($NP$10="Single_Point",IF(350=$NR$10,$NN$10,0),IF($NP$10="Bell_Curve",$NN$10*(350-$NR$10+1)*($NS$10-350+1)/$NU$10,$NN$10/$NT$10)),0)</f>
        <v/>
      </c>
      <c r="MQ10" s="228">
        <f>IF(AND(351&gt;=$NR$10,351&lt;=$NS$10),IF($NP$10="Single_Point",IF(351=$NR$10,$NN$10,0),IF($NP$10="Bell_Curve",$NN$10*(351-$NR$10+1)*($NS$10-351+1)/$NU$10,$NN$10/$NT$10)),0)</f>
        <v/>
      </c>
      <c r="MR10" s="228">
        <f>IF(AND(352&gt;=$NR$10,352&lt;=$NS$10),IF($NP$10="Single_Point",IF(352=$NR$10,$NN$10,0),IF($NP$10="Bell_Curve",$NN$10*(352-$NR$10+1)*($NS$10-352+1)/$NU$10,$NN$10/$NT$10)),0)</f>
        <v/>
      </c>
      <c r="MS10" s="228">
        <f>IF(AND(353&gt;=$NR$10,353&lt;=$NS$10),IF($NP$10="Single_Point",IF(353=$NR$10,$NN$10,0),IF($NP$10="Bell_Curve",$NN$10*(353-$NR$10+1)*($NS$10-353+1)/$NU$10,$NN$10/$NT$10)),0)</f>
        <v/>
      </c>
      <c r="MT10" s="228">
        <f>IF(AND(354&gt;=$NR$10,354&lt;=$NS$10),IF($NP$10="Single_Point",IF(354=$NR$10,$NN$10,0),IF($NP$10="Bell_Curve",$NN$10*(354-$NR$10+1)*($NS$10-354+1)/$NU$10,$NN$10/$NT$10)),0)</f>
        <v/>
      </c>
      <c r="MU10" s="228">
        <f>IF(AND(355&gt;=$NR$10,355&lt;=$NS$10),IF($NP$10="Single_Point",IF(355=$NR$10,$NN$10,0),IF($NP$10="Bell_Curve",$NN$10*(355-$NR$10+1)*($NS$10-355+1)/$NU$10,$NN$10/$NT$10)),0)</f>
        <v/>
      </c>
      <c r="MV10" s="228">
        <f>IF(AND(356&gt;=$NR$10,356&lt;=$NS$10),IF($NP$10="Single_Point",IF(356=$NR$10,$NN$10,0),IF($NP$10="Bell_Curve",$NN$10*(356-$NR$10+1)*($NS$10-356+1)/$NU$10,$NN$10/$NT$10)),0)</f>
        <v/>
      </c>
      <c r="MW10" s="228">
        <f>IF(AND(357&gt;=$NR$10,357&lt;=$NS$10),IF($NP$10="Single_Point",IF(357=$NR$10,$NN$10,0),IF($NP$10="Bell_Curve",$NN$10*(357-$NR$10+1)*($NS$10-357+1)/$NU$10,$NN$10/$NT$10)),0)</f>
        <v/>
      </c>
      <c r="MX10" s="228">
        <f>IF(AND(358&gt;=$NR$10,358&lt;=$NS$10),IF($NP$10="Single_Point",IF(358=$NR$10,$NN$10,0),IF($NP$10="Bell_Curve",$NN$10*(358-$NR$10+1)*($NS$10-358+1)/$NU$10,$NN$10/$NT$10)),0)</f>
        <v/>
      </c>
      <c r="MY10" s="228">
        <f>IF(AND(359&gt;=$NR$10,359&lt;=$NS$10),IF($NP$10="Single_Point",IF(359=$NR$10,$NN$10,0),IF($NP$10="Bell_Curve",$NN$10*(359-$NR$10+1)*($NS$10-359+1)/$NU$10,$NN$10/$NT$10)),0)</f>
        <v/>
      </c>
      <c r="MZ10" s="228">
        <f>IF(AND(360&gt;=$NR$10,360&lt;=$NS$10),IF($NP$10="Single_Point",IF(360=$NR$10,$NN$10,0),IF($NP$10="Bell_Curve",$NN$10*(360-$NR$10+1)*($NS$10-360+1)/$NU$10,$NN$10/$NT$10)),0)</f>
        <v/>
      </c>
      <c r="NA10" s="228">
        <f>IF(AND(361&gt;=$NR$10,361&lt;=$NS$10),IF($NP$10="Single_Point",IF(361=$NR$10,$NN$10,0),IF($NP$10="Bell_Curve",$NN$10*(361-$NR$10+1)*($NS$10-361+1)/$NU$10,$NN$10/$NT$10)),0)</f>
        <v/>
      </c>
      <c r="NB10" s="228">
        <f>IF(AND(362&gt;=$NR$10,362&lt;=$NS$10),IF($NP$10="Single_Point",IF(362=$NR$10,$NN$10,0),IF($NP$10="Bell_Curve",$NN$10*(362-$NR$10+1)*($NS$10-362+1)/$NU$10,$NN$10/$NT$10)),0)</f>
        <v/>
      </c>
      <c r="NC10" s="228">
        <f>IF(AND(363&gt;=$NR$10,363&lt;=$NS$10),IF($NP$10="Single_Point",IF(363=$NR$10,$NN$10,0),IF($NP$10="Bell_Curve",$NN$10*(363-$NR$10+1)*($NS$10-363+1)/$NU$10,$NN$10/$NT$10)),0)</f>
        <v/>
      </c>
      <c r="ND10" s="228">
        <f>IF(AND(364&gt;=$NR$10,364&lt;=$NS$10),IF($NP$10="Single_Point",IF(364=$NR$10,$NN$10,0),IF($NP$10="Bell_Curve",$NN$10*(364-$NR$10+1)*($NS$10-364+1)/$NU$10,$NN$10/$NT$10)),0)</f>
        <v/>
      </c>
      <c r="NE10" s="228">
        <f>IF(AND(365&gt;=$NR$10,365&lt;=$NS$10),IF($NP$10="Single_Point",IF(365=$NR$10,$NN$10,0),IF($NP$10="Bell_Curve",$NN$10*(365-$NR$10+1)*($NS$10-365+1)/$NU$10,$NN$10/$NT$10)),0)</f>
        <v/>
      </c>
      <c r="NF10" s="228">
        <f>IF(AND(366&gt;=$NR$10,366&lt;=$NS$10),IF($NP$10="Single_Point",IF(366=$NR$10,$NN$10,0),IF($NP$10="Bell_Curve",$NN$10*(366-$NR$10+1)*($NS$10-366+1)/$NU$10,$NN$10/$NT$10)),0)</f>
        <v/>
      </c>
      <c r="NG10" s="228">
        <f>IF(AND(367&gt;=$NR$10,367&lt;=$NS$10),IF($NP$10="Single_Point",IF(367=$NR$10,$NN$10,0),IF($NP$10="Bell_Curve",$NN$10*(367-$NR$10+1)*($NS$10-367+1)/$NU$10,$NN$10/$NT$10)),0)</f>
        <v/>
      </c>
      <c r="NH10" s="228">
        <f>IF(AND(368&gt;=$NR$10,368&lt;=$NS$10),IF($NP$10="Single_Point",IF(368=$NR$10,$NN$10,0),IF($NP$10="Bell_Curve",$NN$10*(368-$NR$10+1)*($NS$10-368+1)/$NU$10,$NN$10/$NT$10)),0)</f>
        <v/>
      </c>
      <c r="NI10" s="228">
        <f>IF(AND(369&gt;=$NR$10,369&lt;=$NS$10),IF($NP$10="Single_Point",IF(369=$NR$10,$NN$10,0),IF($NP$10="Bell_Curve",$NN$10*(369-$NR$10+1)*($NS$10-369+1)/$NU$10,$NN$10/$NT$10)),0)</f>
        <v/>
      </c>
      <c r="NJ10" s="228">
        <f>IF(AND(370&gt;=$NR$10,370&lt;=$NS$10),IF($NP$10="Single_Point",IF(370=$NR$10,$NN$10,0),IF($NP$10="Bell_Curve",$NN$10*(370-$NR$10+1)*($NS$10-370+1)/$NU$10,$NN$10/$NT$10)),0)</f>
        <v/>
      </c>
      <c r="NK10" s="228">
        <f>IF(AND(371&gt;=$NR$10,371&lt;=$NS$10),IF($NP$10="Single_Point",IF(371=$NR$10,$NN$10,0),IF($NP$10="Bell_Curve",$NN$10*(371-$NR$10+1)*($NS$10-371+1)/$NU$10,$NN$10/$NT$10)),0)</f>
        <v/>
      </c>
      <c r="NL10" s="247">
        <f>IF(AND(372&gt;=$NR$10,372&lt;=$NS$10),IF($NP$10="Single_Point",IF(372=$NR$10,$NN$10,0),IF($NP$10="Bell_Curve",$NN$10*(372-$NR$10+1)*($NS$10-372+1)/$NU$10,$NN$10/$NT$10)),0)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36" t="inlineStr">
        <is>
          <t>Consultants</t>
        </is>
      </c>
      <c r="D11" s="246">
        <f>SUM(E11:NL11)</f>
        <v/>
      </c>
      <c r="E11" s="228">
        <f>IF(AND(1&gt;=$NR$11,1&lt;=$NS$11),IF($NP$11="Single_Point",IF(1=$NR$11,$NN$11,0),IF($NP$11="Bell_Curve",$NN$11*(1-$NR$11+1)*($NS$11-1+1)/$NU$11,$NN$11/$NT$11)),0)</f>
        <v/>
      </c>
      <c r="F11" s="228">
        <f>IF(AND(2&gt;=$NR$11,2&lt;=$NS$11),IF($NP$11="Single_Point",IF(2=$NR$11,$NN$11,0),IF($NP$11="Bell_Curve",$NN$11*(2-$NR$11+1)*($NS$11-2+1)/$NU$11,$NN$11/$NT$11)),0)</f>
        <v/>
      </c>
      <c r="G11" s="228">
        <f>IF(AND(3&gt;=$NR$11,3&lt;=$NS$11),IF($NP$11="Single_Point",IF(3=$NR$11,$NN$11,0),IF($NP$11="Bell_Curve",$NN$11*(3-$NR$11+1)*($NS$11-3+1)/$NU$11,$NN$11/$NT$11)),0)</f>
        <v/>
      </c>
      <c r="H11" s="228">
        <f>IF(AND(4&gt;=$NR$11,4&lt;=$NS$11),IF($NP$11="Single_Point",IF(4=$NR$11,$NN$11,0),IF($NP$11="Bell_Curve",$NN$11*(4-$NR$11+1)*($NS$11-4+1)/$NU$11,$NN$11/$NT$11)),0)</f>
        <v/>
      </c>
      <c r="I11" s="228">
        <f>IF(AND(5&gt;=$NR$11,5&lt;=$NS$11),IF($NP$11="Single_Point",IF(5=$NR$11,$NN$11,0),IF($NP$11="Bell_Curve",$NN$11*(5-$NR$11+1)*($NS$11-5+1)/$NU$11,$NN$11/$NT$11)),0)</f>
        <v/>
      </c>
      <c r="J11" s="228">
        <f>IF(AND(6&gt;=$NR$11,6&lt;=$NS$11),IF($NP$11="Single_Point",IF(6=$NR$11,$NN$11,0),IF($NP$11="Bell_Curve",$NN$11*(6-$NR$11+1)*($NS$11-6+1)/$NU$11,$NN$11/$NT$11)),0)</f>
        <v/>
      </c>
      <c r="K11" s="228">
        <f>IF(AND(7&gt;=$NR$11,7&lt;=$NS$11),IF($NP$11="Single_Point",IF(7=$NR$11,$NN$11,0),IF($NP$11="Bell_Curve",$NN$11*(7-$NR$11+1)*($NS$11-7+1)/$NU$11,$NN$11/$NT$11)),0)</f>
        <v/>
      </c>
      <c r="L11" s="228">
        <f>IF(AND(8&gt;=$NR$11,8&lt;=$NS$11),IF($NP$11="Single_Point",IF(8=$NR$11,$NN$11,0),IF($NP$11="Bell_Curve",$NN$11*(8-$NR$11+1)*($NS$11-8+1)/$NU$11,$NN$11/$NT$11)),0)</f>
        <v/>
      </c>
      <c r="M11" s="228">
        <f>IF(AND(9&gt;=$NR$11,9&lt;=$NS$11),IF($NP$11="Single_Point",IF(9=$NR$11,$NN$11,0),IF($NP$11="Bell_Curve",$NN$11*(9-$NR$11+1)*($NS$11-9+1)/$NU$11,$NN$11/$NT$11)),0)</f>
        <v/>
      </c>
      <c r="N11" s="228">
        <f>IF(AND(10&gt;=$NR$11,10&lt;=$NS$11),IF($NP$11="Single_Point",IF(10=$NR$11,$NN$11,0),IF($NP$11="Bell_Curve",$NN$11*(10-$NR$11+1)*($NS$11-10+1)/$NU$11,$NN$11/$NT$11)),0)</f>
        <v/>
      </c>
      <c r="O11" s="228">
        <f>IF(AND(11&gt;=$NR$11,11&lt;=$NS$11),IF($NP$11="Single_Point",IF(11=$NR$11,$NN$11,0),IF($NP$11="Bell_Curve",$NN$11*(11-$NR$11+1)*($NS$11-11+1)/$NU$11,$NN$11/$NT$11)),0)</f>
        <v/>
      </c>
      <c r="P11" s="228">
        <f>IF(AND(12&gt;=$NR$11,12&lt;=$NS$11),IF($NP$11="Single_Point",IF(12=$NR$11,$NN$11,0),IF($NP$11="Bell_Curve",$NN$11*(12-$NR$11+1)*($NS$11-12+1)/$NU$11,$NN$11/$NT$11)),0)</f>
        <v/>
      </c>
      <c r="Q11" s="228">
        <f>IF(AND(13&gt;=$NR$11,13&lt;=$NS$11),IF($NP$11="Single_Point",IF(13=$NR$11,$NN$11,0),IF($NP$11="Bell_Curve",$NN$11*(13-$NR$11+1)*($NS$11-13+1)/$NU$11,$NN$11/$NT$11)),0)</f>
        <v/>
      </c>
      <c r="R11" s="228">
        <f>IF(AND(14&gt;=$NR$11,14&lt;=$NS$11),IF($NP$11="Single_Point",IF(14=$NR$11,$NN$11,0),IF($NP$11="Bell_Curve",$NN$11*(14-$NR$11+1)*($NS$11-14+1)/$NU$11,$NN$11/$NT$11)),0)</f>
        <v/>
      </c>
      <c r="S11" s="228">
        <f>IF(AND(15&gt;=$NR$11,15&lt;=$NS$11),IF($NP$11="Single_Point",IF(15=$NR$11,$NN$11,0),IF($NP$11="Bell_Curve",$NN$11*(15-$NR$11+1)*($NS$11-15+1)/$NU$11,$NN$11/$NT$11)),0)</f>
        <v/>
      </c>
      <c r="T11" s="228">
        <f>IF(AND(16&gt;=$NR$11,16&lt;=$NS$11),IF($NP$11="Single_Point",IF(16=$NR$11,$NN$11,0),IF($NP$11="Bell_Curve",$NN$11*(16-$NR$11+1)*($NS$11-16+1)/$NU$11,$NN$11/$NT$11)),0)</f>
        <v/>
      </c>
      <c r="U11" s="228">
        <f>IF(AND(17&gt;=$NR$11,17&lt;=$NS$11),IF($NP$11="Single_Point",IF(17=$NR$11,$NN$11,0),IF($NP$11="Bell_Curve",$NN$11*(17-$NR$11+1)*($NS$11-17+1)/$NU$11,$NN$11/$NT$11)),0)</f>
        <v/>
      </c>
      <c r="V11" s="228">
        <f>IF(AND(18&gt;=$NR$11,18&lt;=$NS$11),IF($NP$11="Single_Point",IF(18=$NR$11,$NN$11,0),IF($NP$11="Bell_Curve",$NN$11*(18-$NR$11+1)*($NS$11-18+1)/$NU$11,$NN$11/$NT$11)),0)</f>
        <v/>
      </c>
      <c r="W11" s="228">
        <f>IF(AND(19&gt;=$NR$11,19&lt;=$NS$11),IF($NP$11="Single_Point",IF(19=$NR$11,$NN$11,0),IF($NP$11="Bell_Curve",$NN$11*(19-$NR$11+1)*($NS$11-19+1)/$NU$11,$NN$11/$NT$11)),0)</f>
        <v/>
      </c>
      <c r="X11" s="228">
        <f>IF(AND(20&gt;=$NR$11,20&lt;=$NS$11),IF($NP$11="Single_Point",IF(20=$NR$11,$NN$11,0),IF($NP$11="Bell_Curve",$NN$11*(20-$NR$11+1)*($NS$11-20+1)/$NU$11,$NN$11/$NT$11)),0)</f>
        <v/>
      </c>
      <c r="Y11" s="228">
        <f>IF(AND(21&gt;=$NR$11,21&lt;=$NS$11),IF($NP$11="Single_Point",IF(21=$NR$11,$NN$11,0),IF($NP$11="Bell_Curve",$NN$11*(21-$NR$11+1)*($NS$11-21+1)/$NU$11,$NN$11/$NT$11)),0)</f>
        <v/>
      </c>
      <c r="Z11" s="228">
        <f>IF(AND(22&gt;=$NR$11,22&lt;=$NS$11),IF($NP$11="Single_Point",IF(22=$NR$11,$NN$11,0),IF($NP$11="Bell_Curve",$NN$11*(22-$NR$11+1)*($NS$11-22+1)/$NU$11,$NN$11/$NT$11)),0)</f>
        <v/>
      </c>
      <c r="AA11" s="228">
        <f>IF(AND(23&gt;=$NR$11,23&lt;=$NS$11),IF($NP$11="Single_Point",IF(23=$NR$11,$NN$11,0),IF($NP$11="Bell_Curve",$NN$11*(23-$NR$11+1)*($NS$11-23+1)/$NU$11,$NN$11/$NT$11)),0)</f>
        <v/>
      </c>
      <c r="AB11" s="228">
        <f>IF(AND(24&gt;=$NR$11,24&lt;=$NS$11),IF($NP$11="Single_Point",IF(24=$NR$11,$NN$11,0),IF($NP$11="Bell_Curve",$NN$11*(24-$NR$11+1)*($NS$11-24+1)/$NU$11,$NN$11/$NT$11)),0)</f>
        <v/>
      </c>
      <c r="AC11" s="228">
        <f>IF(AND(25&gt;=$NR$11,25&lt;=$NS$11),IF($NP$11="Single_Point",IF(25=$NR$11,$NN$11,0),IF($NP$11="Bell_Curve",$NN$11*(25-$NR$11+1)*($NS$11-25+1)/$NU$11,$NN$11/$NT$11)),0)</f>
        <v/>
      </c>
      <c r="AD11" s="228">
        <f>IF(AND(26&gt;=$NR$11,26&lt;=$NS$11),IF($NP$11="Single_Point",IF(26=$NR$11,$NN$11,0),IF($NP$11="Bell_Curve",$NN$11*(26-$NR$11+1)*($NS$11-26+1)/$NU$11,$NN$11/$NT$11)),0)</f>
        <v/>
      </c>
      <c r="AE11" s="228">
        <f>IF(AND(27&gt;=$NR$11,27&lt;=$NS$11),IF($NP$11="Single_Point",IF(27=$NR$11,$NN$11,0),IF($NP$11="Bell_Curve",$NN$11*(27-$NR$11+1)*($NS$11-27+1)/$NU$11,$NN$11/$NT$11)),0)</f>
        <v/>
      </c>
      <c r="AF11" s="228">
        <f>IF(AND(28&gt;=$NR$11,28&lt;=$NS$11),IF($NP$11="Single_Point",IF(28=$NR$11,$NN$11,0),IF($NP$11="Bell_Curve",$NN$11*(28-$NR$11+1)*($NS$11-28+1)/$NU$11,$NN$11/$NT$11)),0)</f>
        <v/>
      </c>
      <c r="AG11" s="228">
        <f>IF(AND(29&gt;=$NR$11,29&lt;=$NS$11),IF($NP$11="Single_Point",IF(29=$NR$11,$NN$11,0),IF($NP$11="Bell_Curve",$NN$11*(29-$NR$11+1)*($NS$11-29+1)/$NU$11,$NN$11/$NT$11)),0)</f>
        <v/>
      </c>
      <c r="AH11" s="228">
        <f>IF(AND(30&gt;=$NR$11,30&lt;=$NS$11),IF($NP$11="Single_Point",IF(30=$NR$11,$NN$11,0),IF($NP$11="Bell_Curve",$NN$11*(30-$NR$11+1)*($NS$11-30+1)/$NU$11,$NN$11/$NT$11)),0)</f>
        <v/>
      </c>
      <c r="AI11" s="228">
        <f>IF(AND(31&gt;=$NR$11,31&lt;=$NS$11),IF($NP$11="Single_Point",IF(31=$NR$11,$NN$11,0),IF($NP$11="Bell_Curve",$NN$11*(31-$NR$11+1)*($NS$11-31+1)/$NU$11,$NN$11/$NT$11)),0)</f>
        <v/>
      </c>
      <c r="AJ11" s="228">
        <f>IF(AND(32&gt;=$NR$11,32&lt;=$NS$11),IF($NP$11="Single_Point",IF(32=$NR$11,$NN$11,0),IF($NP$11="Bell_Curve",$NN$11*(32-$NR$11+1)*($NS$11-32+1)/$NU$11,$NN$11/$NT$11)),0)</f>
        <v/>
      </c>
      <c r="AK11" s="228">
        <f>IF(AND(33&gt;=$NR$11,33&lt;=$NS$11),IF($NP$11="Single_Point",IF(33=$NR$11,$NN$11,0),IF($NP$11="Bell_Curve",$NN$11*(33-$NR$11+1)*($NS$11-33+1)/$NU$11,$NN$11/$NT$11)),0)</f>
        <v/>
      </c>
      <c r="AL11" s="228">
        <f>IF(AND(34&gt;=$NR$11,34&lt;=$NS$11),IF($NP$11="Single_Point",IF(34=$NR$11,$NN$11,0),IF($NP$11="Bell_Curve",$NN$11*(34-$NR$11+1)*($NS$11-34+1)/$NU$11,$NN$11/$NT$11)),0)</f>
        <v/>
      </c>
      <c r="AM11" s="228">
        <f>IF(AND(35&gt;=$NR$11,35&lt;=$NS$11),IF($NP$11="Single_Point",IF(35=$NR$11,$NN$11,0),IF($NP$11="Bell_Curve",$NN$11*(35-$NR$11+1)*($NS$11-35+1)/$NU$11,$NN$11/$NT$11)),0)</f>
        <v/>
      </c>
      <c r="AN11" s="228">
        <f>IF(AND(36&gt;=$NR$11,36&lt;=$NS$11),IF($NP$11="Single_Point",IF(36=$NR$11,$NN$11,0),IF($NP$11="Bell_Curve",$NN$11*(36-$NR$11+1)*($NS$11-36+1)/$NU$11,$NN$11/$NT$11)),0)</f>
        <v/>
      </c>
      <c r="AO11" s="228">
        <f>IF(AND(37&gt;=$NR$11,37&lt;=$NS$11),IF($NP$11="Single_Point",IF(37=$NR$11,$NN$11,0),IF($NP$11="Bell_Curve",$NN$11*(37-$NR$11+1)*($NS$11-37+1)/$NU$11,$NN$11/$NT$11)),0)</f>
        <v/>
      </c>
      <c r="AP11" s="228">
        <f>IF(AND(38&gt;=$NR$11,38&lt;=$NS$11),IF($NP$11="Single_Point",IF(38=$NR$11,$NN$11,0),IF($NP$11="Bell_Curve",$NN$11*(38-$NR$11+1)*($NS$11-38+1)/$NU$11,$NN$11/$NT$11)),0)</f>
        <v/>
      </c>
      <c r="AQ11" s="228">
        <f>IF(AND(39&gt;=$NR$11,39&lt;=$NS$11),IF($NP$11="Single_Point",IF(39=$NR$11,$NN$11,0),IF($NP$11="Bell_Curve",$NN$11*(39-$NR$11+1)*($NS$11-39+1)/$NU$11,$NN$11/$NT$11)),0)</f>
        <v/>
      </c>
      <c r="AR11" s="228">
        <f>IF(AND(40&gt;=$NR$11,40&lt;=$NS$11),IF($NP$11="Single_Point",IF(40=$NR$11,$NN$11,0),IF($NP$11="Bell_Curve",$NN$11*(40-$NR$11+1)*($NS$11-40+1)/$NU$11,$NN$11/$NT$11)),0)</f>
        <v/>
      </c>
      <c r="AS11" s="228">
        <f>IF(AND(41&gt;=$NR$11,41&lt;=$NS$11),IF($NP$11="Single_Point",IF(41=$NR$11,$NN$11,0),IF($NP$11="Bell_Curve",$NN$11*(41-$NR$11+1)*($NS$11-41+1)/$NU$11,$NN$11/$NT$11)),0)</f>
        <v/>
      </c>
      <c r="AT11" s="228">
        <f>IF(AND(42&gt;=$NR$11,42&lt;=$NS$11),IF($NP$11="Single_Point",IF(42=$NR$11,$NN$11,0),IF($NP$11="Bell_Curve",$NN$11*(42-$NR$11+1)*($NS$11-42+1)/$NU$11,$NN$11/$NT$11)),0)</f>
        <v/>
      </c>
      <c r="AU11" s="228">
        <f>IF(AND(43&gt;=$NR$11,43&lt;=$NS$11),IF($NP$11="Single_Point",IF(43=$NR$11,$NN$11,0),IF($NP$11="Bell_Curve",$NN$11*(43-$NR$11+1)*($NS$11-43+1)/$NU$11,$NN$11/$NT$11)),0)</f>
        <v/>
      </c>
      <c r="AV11" s="228">
        <f>IF(AND(44&gt;=$NR$11,44&lt;=$NS$11),IF($NP$11="Single_Point",IF(44=$NR$11,$NN$11,0),IF($NP$11="Bell_Curve",$NN$11*(44-$NR$11+1)*($NS$11-44+1)/$NU$11,$NN$11/$NT$11)),0)</f>
        <v/>
      </c>
      <c r="AW11" s="228">
        <f>IF(AND(45&gt;=$NR$11,45&lt;=$NS$11),IF($NP$11="Single_Point",IF(45=$NR$11,$NN$11,0),IF($NP$11="Bell_Curve",$NN$11*(45-$NR$11+1)*($NS$11-45+1)/$NU$11,$NN$11/$NT$11)),0)</f>
        <v/>
      </c>
      <c r="AX11" s="228">
        <f>IF(AND(46&gt;=$NR$11,46&lt;=$NS$11),IF($NP$11="Single_Point",IF(46=$NR$11,$NN$11,0),IF($NP$11="Bell_Curve",$NN$11*(46-$NR$11+1)*($NS$11-46+1)/$NU$11,$NN$11/$NT$11)),0)</f>
        <v/>
      </c>
      <c r="AY11" s="228">
        <f>IF(AND(47&gt;=$NR$11,47&lt;=$NS$11),IF($NP$11="Single_Point",IF(47=$NR$11,$NN$11,0),IF($NP$11="Bell_Curve",$NN$11*(47-$NR$11+1)*($NS$11-47+1)/$NU$11,$NN$11/$NT$11)),0)</f>
        <v/>
      </c>
      <c r="AZ11" s="228">
        <f>IF(AND(48&gt;=$NR$11,48&lt;=$NS$11),IF($NP$11="Single_Point",IF(48=$NR$11,$NN$11,0),IF($NP$11="Bell_Curve",$NN$11*(48-$NR$11+1)*($NS$11-48+1)/$NU$11,$NN$11/$NT$11)),0)</f>
        <v/>
      </c>
      <c r="BA11" s="228">
        <f>IF(AND(49&gt;=$NR$11,49&lt;=$NS$11),IF($NP$11="Single_Point",IF(49=$NR$11,$NN$11,0),IF($NP$11="Bell_Curve",$NN$11*(49-$NR$11+1)*($NS$11-49+1)/$NU$11,$NN$11/$NT$11)),0)</f>
        <v/>
      </c>
      <c r="BB11" s="228">
        <f>IF(AND(50&gt;=$NR$11,50&lt;=$NS$11),IF($NP$11="Single_Point",IF(50=$NR$11,$NN$11,0),IF($NP$11="Bell_Curve",$NN$11*(50-$NR$11+1)*($NS$11-50+1)/$NU$11,$NN$11/$NT$11)),0)</f>
        <v/>
      </c>
      <c r="BC11" s="228">
        <f>IF(AND(51&gt;=$NR$11,51&lt;=$NS$11),IF($NP$11="Single_Point",IF(51=$NR$11,$NN$11,0),IF($NP$11="Bell_Curve",$NN$11*(51-$NR$11+1)*($NS$11-51+1)/$NU$11,$NN$11/$NT$11)),0)</f>
        <v/>
      </c>
      <c r="BD11" s="228">
        <f>IF(AND(52&gt;=$NR$11,52&lt;=$NS$11),IF($NP$11="Single_Point",IF(52=$NR$11,$NN$11,0),IF($NP$11="Bell_Curve",$NN$11*(52-$NR$11+1)*($NS$11-52+1)/$NU$11,$NN$11/$NT$11)),0)</f>
        <v/>
      </c>
      <c r="BE11" s="228">
        <f>IF(AND(53&gt;=$NR$11,53&lt;=$NS$11),IF($NP$11="Single_Point",IF(53=$NR$11,$NN$11,0),IF($NP$11="Bell_Curve",$NN$11*(53-$NR$11+1)*($NS$11-53+1)/$NU$11,$NN$11/$NT$11)),0)</f>
        <v/>
      </c>
      <c r="BF11" s="228">
        <f>IF(AND(54&gt;=$NR$11,54&lt;=$NS$11),IF($NP$11="Single_Point",IF(54=$NR$11,$NN$11,0),IF($NP$11="Bell_Curve",$NN$11*(54-$NR$11+1)*($NS$11-54+1)/$NU$11,$NN$11/$NT$11)),0)</f>
        <v/>
      </c>
      <c r="BG11" s="228">
        <f>IF(AND(55&gt;=$NR$11,55&lt;=$NS$11),IF($NP$11="Single_Point",IF(55=$NR$11,$NN$11,0),IF($NP$11="Bell_Curve",$NN$11*(55-$NR$11+1)*($NS$11-55+1)/$NU$11,$NN$11/$NT$11)),0)</f>
        <v/>
      </c>
      <c r="BH11" s="228">
        <f>IF(AND(56&gt;=$NR$11,56&lt;=$NS$11),IF($NP$11="Single_Point",IF(56=$NR$11,$NN$11,0),IF($NP$11="Bell_Curve",$NN$11*(56-$NR$11+1)*($NS$11-56+1)/$NU$11,$NN$11/$NT$11)),0)</f>
        <v/>
      </c>
      <c r="BI11" s="228">
        <f>IF(AND(57&gt;=$NR$11,57&lt;=$NS$11),IF($NP$11="Single_Point",IF(57=$NR$11,$NN$11,0),IF($NP$11="Bell_Curve",$NN$11*(57-$NR$11+1)*($NS$11-57+1)/$NU$11,$NN$11/$NT$11)),0)</f>
        <v/>
      </c>
      <c r="BJ11" s="228">
        <f>IF(AND(58&gt;=$NR$11,58&lt;=$NS$11),IF($NP$11="Single_Point",IF(58=$NR$11,$NN$11,0),IF($NP$11="Bell_Curve",$NN$11*(58-$NR$11+1)*($NS$11-58+1)/$NU$11,$NN$11/$NT$11)),0)</f>
        <v/>
      </c>
      <c r="BK11" s="228">
        <f>IF(AND(59&gt;=$NR$11,59&lt;=$NS$11),IF($NP$11="Single_Point",IF(59=$NR$11,$NN$11,0),IF($NP$11="Bell_Curve",$NN$11*(59-$NR$11+1)*($NS$11-59+1)/$NU$11,$NN$11/$NT$11)),0)</f>
        <v/>
      </c>
      <c r="BL11" s="228">
        <f>IF(AND(60&gt;=$NR$11,60&lt;=$NS$11),IF($NP$11="Single_Point",IF(60=$NR$11,$NN$11,0),IF($NP$11="Bell_Curve",$NN$11*(60-$NR$11+1)*($NS$11-60+1)/$NU$11,$NN$11/$NT$11)),0)</f>
        <v/>
      </c>
      <c r="BM11" s="228">
        <f>IF(AND(61&gt;=$NR$11,61&lt;=$NS$11),IF($NP$11="Single_Point",IF(61=$NR$11,$NN$11,0),IF($NP$11="Bell_Curve",$NN$11*(61-$NR$11+1)*($NS$11-61+1)/$NU$11,$NN$11/$NT$11)),0)</f>
        <v/>
      </c>
      <c r="BN11" s="228">
        <f>IF(AND(62&gt;=$NR$11,62&lt;=$NS$11),IF($NP$11="Single_Point",IF(62=$NR$11,$NN$11,0),IF($NP$11="Bell_Curve",$NN$11*(62-$NR$11+1)*($NS$11-62+1)/$NU$11,$NN$11/$NT$11)),0)</f>
        <v/>
      </c>
      <c r="BO11" s="228">
        <f>IF(AND(63&gt;=$NR$11,63&lt;=$NS$11),IF($NP$11="Single_Point",IF(63=$NR$11,$NN$11,0),IF($NP$11="Bell_Curve",$NN$11*(63-$NR$11+1)*($NS$11-63+1)/$NU$11,$NN$11/$NT$11)),0)</f>
        <v/>
      </c>
      <c r="BP11" s="228">
        <f>IF(AND(64&gt;=$NR$11,64&lt;=$NS$11),IF($NP$11="Single_Point",IF(64=$NR$11,$NN$11,0),IF($NP$11="Bell_Curve",$NN$11*(64-$NR$11+1)*($NS$11-64+1)/$NU$11,$NN$11/$NT$11)),0)</f>
        <v/>
      </c>
      <c r="BQ11" s="228">
        <f>IF(AND(65&gt;=$NR$11,65&lt;=$NS$11),IF($NP$11="Single_Point",IF(65=$NR$11,$NN$11,0),IF($NP$11="Bell_Curve",$NN$11*(65-$NR$11+1)*($NS$11-65+1)/$NU$11,$NN$11/$NT$11)),0)</f>
        <v/>
      </c>
      <c r="BR11" s="228">
        <f>IF(AND(66&gt;=$NR$11,66&lt;=$NS$11),IF($NP$11="Single_Point",IF(66=$NR$11,$NN$11,0),IF($NP$11="Bell_Curve",$NN$11*(66-$NR$11+1)*($NS$11-66+1)/$NU$11,$NN$11/$NT$11)),0)</f>
        <v/>
      </c>
      <c r="BS11" s="228">
        <f>IF(AND(67&gt;=$NR$11,67&lt;=$NS$11),IF($NP$11="Single_Point",IF(67=$NR$11,$NN$11,0),IF($NP$11="Bell_Curve",$NN$11*(67-$NR$11+1)*($NS$11-67+1)/$NU$11,$NN$11/$NT$11)),0)</f>
        <v/>
      </c>
      <c r="BT11" s="228">
        <f>IF(AND(68&gt;=$NR$11,68&lt;=$NS$11),IF($NP$11="Single_Point",IF(68=$NR$11,$NN$11,0),IF($NP$11="Bell_Curve",$NN$11*(68-$NR$11+1)*($NS$11-68+1)/$NU$11,$NN$11/$NT$11)),0)</f>
        <v/>
      </c>
      <c r="BU11" s="228">
        <f>IF(AND(69&gt;=$NR$11,69&lt;=$NS$11),IF($NP$11="Single_Point",IF(69=$NR$11,$NN$11,0),IF($NP$11="Bell_Curve",$NN$11*(69-$NR$11+1)*($NS$11-69+1)/$NU$11,$NN$11/$NT$11)),0)</f>
        <v/>
      </c>
      <c r="BV11" s="228">
        <f>IF(AND(70&gt;=$NR$11,70&lt;=$NS$11),IF($NP$11="Single_Point",IF(70=$NR$11,$NN$11,0),IF($NP$11="Bell_Curve",$NN$11*(70-$NR$11+1)*($NS$11-70+1)/$NU$11,$NN$11/$NT$11)),0)</f>
        <v/>
      </c>
      <c r="BW11" s="228">
        <f>IF(AND(71&gt;=$NR$11,71&lt;=$NS$11),IF($NP$11="Single_Point",IF(71=$NR$11,$NN$11,0),IF($NP$11="Bell_Curve",$NN$11*(71-$NR$11+1)*($NS$11-71+1)/$NU$11,$NN$11/$NT$11)),0)</f>
        <v/>
      </c>
      <c r="BX11" s="228">
        <f>IF(AND(72&gt;=$NR$11,72&lt;=$NS$11),IF($NP$11="Single_Point",IF(72=$NR$11,$NN$11,0),IF($NP$11="Bell_Curve",$NN$11*(72-$NR$11+1)*($NS$11-72+1)/$NU$11,$NN$11/$NT$11)),0)</f>
        <v/>
      </c>
      <c r="BY11" s="228">
        <f>IF(AND(73&gt;=$NR$11,73&lt;=$NS$11),IF($NP$11="Single_Point",IF(73=$NR$11,$NN$11,0),IF($NP$11="Bell_Curve",$NN$11*(73-$NR$11+1)*($NS$11-73+1)/$NU$11,$NN$11/$NT$11)),0)</f>
        <v/>
      </c>
      <c r="BZ11" s="228">
        <f>IF(AND(74&gt;=$NR$11,74&lt;=$NS$11),IF($NP$11="Single_Point",IF(74=$NR$11,$NN$11,0),IF($NP$11="Bell_Curve",$NN$11*(74-$NR$11+1)*($NS$11-74+1)/$NU$11,$NN$11/$NT$11)),0)</f>
        <v/>
      </c>
      <c r="CA11" s="228">
        <f>IF(AND(75&gt;=$NR$11,75&lt;=$NS$11),IF($NP$11="Single_Point",IF(75=$NR$11,$NN$11,0),IF($NP$11="Bell_Curve",$NN$11*(75-$NR$11+1)*($NS$11-75+1)/$NU$11,$NN$11/$NT$11)),0)</f>
        <v/>
      </c>
      <c r="CB11" s="228">
        <f>IF(AND(76&gt;=$NR$11,76&lt;=$NS$11),IF($NP$11="Single_Point",IF(76=$NR$11,$NN$11,0),IF($NP$11="Bell_Curve",$NN$11*(76-$NR$11+1)*($NS$11-76+1)/$NU$11,$NN$11/$NT$11)),0)</f>
        <v/>
      </c>
      <c r="CC11" s="228">
        <f>IF(AND(77&gt;=$NR$11,77&lt;=$NS$11),IF($NP$11="Single_Point",IF(77=$NR$11,$NN$11,0),IF($NP$11="Bell_Curve",$NN$11*(77-$NR$11+1)*($NS$11-77+1)/$NU$11,$NN$11/$NT$11)),0)</f>
        <v/>
      </c>
      <c r="CD11" s="228">
        <f>IF(AND(78&gt;=$NR$11,78&lt;=$NS$11),IF($NP$11="Single_Point",IF(78=$NR$11,$NN$11,0),IF($NP$11="Bell_Curve",$NN$11*(78-$NR$11+1)*($NS$11-78+1)/$NU$11,$NN$11/$NT$11)),0)</f>
        <v/>
      </c>
      <c r="CE11" s="228">
        <f>IF(AND(79&gt;=$NR$11,79&lt;=$NS$11),IF($NP$11="Single_Point",IF(79=$NR$11,$NN$11,0),IF($NP$11="Bell_Curve",$NN$11*(79-$NR$11+1)*($NS$11-79+1)/$NU$11,$NN$11/$NT$11)),0)</f>
        <v/>
      </c>
      <c r="CF11" s="228">
        <f>IF(AND(80&gt;=$NR$11,80&lt;=$NS$11),IF($NP$11="Single_Point",IF(80=$NR$11,$NN$11,0),IF($NP$11="Bell_Curve",$NN$11*(80-$NR$11+1)*($NS$11-80+1)/$NU$11,$NN$11/$NT$11)),0)</f>
        <v/>
      </c>
      <c r="CG11" s="228">
        <f>IF(AND(81&gt;=$NR$11,81&lt;=$NS$11),IF($NP$11="Single_Point",IF(81=$NR$11,$NN$11,0),IF($NP$11="Bell_Curve",$NN$11*(81-$NR$11+1)*($NS$11-81+1)/$NU$11,$NN$11/$NT$11)),0)</f>
        <v/>
      </c>
      <c r="CH11" s="228">
        <f>IF(AND(82&gt;=$NR$11,82&lt;=$NS$11),IF($NP$11="Single_Point",IF(82=$NR$11,$NN$11,0),IF($NP$11="Bell_Curve",$NN$11*(82-$NR$11+1)*($NS$11-82+1)/$NU$11,$NN$11/$NT$11)),0)</f>
        <v/>
      </c>
      <c r="CI11" s="228">
        <f>IF(AND(83&gt;=$NR$11,83&lt;=$NS$11),IF($NP$11="Single_Point",IF(83=$NR$11,$NN$11,0),IF($NP$11="Bell_Curve",$NN$11*(83-$NR$11+1)*($NS$11-83+1)/$NU$11,$NN$11/$NT$11)),0)</f>
        <v/>
      </c>
      <c r="CJ11" s="228">
        <f>IF(AND(84&gt;=$NR$11,84&lt;=$NS$11),IF($NP$11="Single_Point",IF(84=$NR$11,$NN$11,0),IF($NP$11="Bell_Curve",$NN$11*(84-$NR$11+1)*($NS$11-84+1)/$NU$11,$NN$11/$NT$11)),0)</f>
        <v/>
      </c>
      <c r="CK11" s="228">
        <f>IF(AND(85&gt;=$NR$11,85&lt;=$NS$11),IF($NP$11="Single_Point",IF(85=$NR$11,$NN$11,0),IF($NP$11="Bell_Curve",$NN$11*(85-$NR$11+1)*($NS$11-85+1)/$NU$11,$NN$11/$NT$11)),0)</f>
        <v/>
      </c>
      <c r="CL11" s="228">
        <f>IF(AND(86&gt;=$NR$11,86&lt;=$NS$11),IF($NP$11="Single_Point",IF(86=$NR$11,$NN$11,0),IF($NP$11="Bell_Curve",$NN$11*(86-$NR$11+1)*($NS$11-86+1)/$NU$11,$NN$11/$NT$11)),0)</f>
        <v/>
      </c>
      <c r="CM11" s="228">
        <f>IF(AND(87&gt;=$NR$11,87&lt;=$NS$11),IF($NP$11="Single_Point",IF(87=$NR$11,$NN$11,0),IF($NP$11="Bell_Curve",$NN$11*(87-$NR$11+1)*($NS$11-87+1)/$NU$11,$NN$11/$NT$11)),0)</f>
        <v/>
      </c>
      <c r="CN11" s="228">
        <f>IF(AND(88&gt;=$NR$11,88&lt;=$NS$11),IF($NP$11="Single_Point",IF(88=$NR$11,$NN$11,0),IF($NP$11="Bell_Curve",$NN$11*(88-$NR$11+1)*($NS$11-88+1)/$NU$11,$NN$11/$NT$11)),0)</f>
        <v/>
      </c>
      <c r="CO11" s="228">
        <f>IF(AND(89&gt;=$NR$11,89&lt;=$NS$11),IF($NP$11="Single_Point",IF(89=$NR$11,$NN$11,0),IF($NP$11="Bell_Curve",$NN$11*(89-$NR$11+1)*($NS$11-89+1)/$NU$11,$NN$11/$NT$11)),0)</f>
        <v/>
      </c>
      <c r="CP11" s="228">
        <f>IF(AND(90&gt;=$NR$11,90&lt;=$NS$11),IF($NP$11="Single_Point",IF(90=$NR$11,$NN$11,0),IF($NP$11="Bell_Curve",$NN$11*(90-$NR$11+1)*($NS$11-90+1)/$NU$11,$NN$11/$NT$11)),0)</f>
        <v/>
      </c>
      <c r="CQ11" s="228">
        <f>IF(AND(91&gt;=$NR$11,91&lt;=$NS$11),IF($NP$11="Single_Point",IF(91=$NR$11,$NN$11,0),IF($NP$11="Bell_Curve",$NN$11*(91-$NR$11+1)*($NS$11-91+1)/$NU$11,$NN$11/$NT$11)),0)</f>
        <v/>
      </c>
      <c r="CR11" s="228">
        <f>IF(AND(92&gt;=$NR$11,92&lt;=$NS$11),IF($NP$11="Single_Point",IF(92=$NR$11,$NN$11,0),IF($NP$11="Bell_Curve",$NN$11*(92-$NR$11+1)*($NS$11-92+1)/$NU$11,$NN$11/$NT$11)),0)</f>
        <v/>
      </c>
      <c r="CS11" s="228">
        <f>IF(AND(93&gt;=$NR$11,93&lt;=$NS$11),IF($NP$11="Single_Point",IF(93=$NR$11,$NN$11,0),IF($NP$11="Bell_Curve",$NN$11*(93-$NR$11+1)*($NS$11-93+1)/$NU$11,$NN$11/$NT$11)),0)</f>
        <v/>
      </c>
      <c r="CT11" s="228">
        <f>IF(AND(94&gt;=$NR$11,94&lt;=$NS$11),IF($NP$11="Single_Point",IF(94=$NR$11,$NN$11,0),IF($NP$11="Bell_Curve",$NN$11*(94-$NR$11+1)*($NS$11-94+1)/$NU$11,$NN$11/$NT$11)),0)</f>
        <v/>
      </c>
      <c r="CU11" s="228">
        <f>IF(AND(95&gt;=$NR$11,95&lt;=$NS$11),IF($NP$11="Single_Point",IF(95=$NR$11,$NN$11,0),IF($NP$11="Bell_Curve",$NN$11*(95-$NR$11+1)*($NS$11-95+1)/$NU$11,$NN$11/$NT$11)),0)</f>
        <v/>
      </c>
      <c r="CV11" s="228">
        <f>IF(AND(96&gt;=$NR$11,96&lt;=$NS$11),IF($NP$11="Single_Point",IF(96=$NR$11,$NN$11,0),IF($NP$11="Bell_Curve",$NN$11*(96-$NR$11+1)*($NS$11-96+1)/$NU$11,$NN$11/$NT$11)),0)</f>
        <v/>
      </c>
      <c r="CW11" s="228">
        <f>IF(AND(97&gt;=$NR$11,97&lt;=$NS$11),IF($NP$11="Single_Point",IF(97=$NR$11,$NN$11,0),IF($NP$11="Bell_Curve",$NN$11*(97-$NR$11+1)*($NS$11-97+1)/$NU$11,$NN$11/$NT$11)),0)</f>
        <v/>
      </c>
      <c r="CX11" s="228">
        <f>IF(AND(98&gt;=$NR$11,98&lt;=$NS$11),IF($NP$11="Single_Point",IF(98=$NR$11,$NN$11,0),IF($NP$11="Bell_Curve",$NN$11*(98-$NR$11+1)*($NS$11-98+1)/$NU$11,$NN$11/$NT$11)),0)</f>
        <v/>
      </c>
      <c r="CY11" s="228">
        <f>IF(AND(99&gt;=$NR$11,99&lt;=$NS$11),IF($NP$11="Single_Point",IF(99=$NR$11,$NN$11,0),IF($NP$11="Bell_Curve",$NN$11*(99-$NR$11+1)*($NS$11-99+1)/$NU$11,$NN$11/$NT$11)),0)</f>
        <v/>
      </c>
      <c r="CZ11" s="228">
        <f>IF(AND(100&gt;=$NR$11,100&lt;=$NS$11),IF($NP$11="Single_Point",IF(100=$NR$11,$NN$11,0),IF($NP$11="Bell_Curve",$NN$11*(100-$NR$11+1)*($NS$11-100+1)/$NU$11,$NN$11/$NT$11)),0)</f>
        <v/>
      </c>
      <c r="DA11" s="228">
        <f>IF(AND(101&gt;=$NR$11,101&lt;=$NS$11),IF($NP$11="Single_Point",IF(101=$NR$11,$NN$11,0),IF($NP$11="Bell_Curve",$NN$11*(101-$NR$11+1)*($NS$11-101+1)/$NU$11,$NN$11/$NT$11)),0)</f>
        <v/>
      </c>
      <c r="DB11" s="228">
        <f>IF(AND(102&gt;=$NR$11,102&lt;=$NS$11),IF($NP$11="Single_Point",IF(102=$NR$11,$NN$11,0),IF($NP$11="Bell_Curve",$NN$11*(102-$NR$11+1)*($NS$11-102+1)/$NU$11,$NN$11/$NT$11)),0)</f>
        <v/>
      </c>
      <c r="DC11" s="228">
        <f>IF(AND(103&gt;=$NR$11,103&lt;=$NS$11),IF($NP$11="Single_Point",IF(103=$NR$11,$NN$11,0),IF($NP$11="Bell_Curve",$NN$11*(103-$NR$11+1)*($NS$11-103+1)/$NU$11,$NN$11/$NT$11)),0)</f>
        <v/>
      </c>
      <c r="DD11" s="228">
        <f>IF(AND(104&gt;=$NR$11,104&lt;=$NS$11),IF($NP$11="Single_Point",IF(104=$NR$11,$NN$11,0),IF($NP$11="Bell_Curve",$NN$11*(104-$NR$11+1)*($NS$11-104+1)/$NU$11,$NN$11/$NT$11)),0)</f>
        <v/>
      </c>
      <c r="DE11" s="228">
        <f>IF(AND(105&gt;=$NR$11,105&lt;=$NS$11),IF($NP$11="Single_Point",IF(105=$NR$11,$NN$11,0),IF($NP$11="Bell_Curve",$NN$11*(105-$NR$11+1)*($NS$11-105+1)/$NU$11,$NN$11/$NT$11)),0)</f>
        <v/>
      </c>
      <c r="DF11" s="228">
        <f>IF(AND(106&gt;=$NR$11,106&lt;=$NS$11),IF($NP$11="Single_Point",IF(106=$NR$11,$NN$11,0),IF($NP$11="Bell_Curve",$NN$11*(106-$NR$11+1)*($NS$11-106+1)/$NU$11,$NN$11/$NT$11)),0)</f>
        <v/>
      </c>
      <c r="DG11" s="228">
        <f>IF(AND(107&gt;=$NR$11,107&lt;=$NS$11),IF($NP$11="Single_Point",IF(107=$NR$11,$NN$11,0),IF($NP$11="Bell_Curve",$NN$11*(107-$NR$11+1)*($NS$11-107+1)/$NU$11,$NN$11/$NT$11)),0)</f>
        <v/>
      </c>
      <c r="DH11" s="228">
        <f>IF(AND(108&gt;=$NR$11,108&lt;=$NS$11),IF($NP$11="Single_Point",IF(108=$NR$11,$NN$11,0),IF($NP$11="Bell_Curve",$NN$11*(108-$NR$11+1)*($NS$11-108+1)/$NU$11,$NN$11/$NT$11)),0)</f>
        <v/>
      </c>
      <c r="DI11" s="228">
        <f>IF(AND(109&gt;=$NR$11,109&lt;=$NS$11),IF($NP$11="Single_Point",IF(109=$NR$11,$NN$11,0),IF($NP$11="Bell_Curve",$NN$11*(109-$NR$11+1)*($NS$11-109+1)/$NU$11,$NN$11/$NT$11)),0)</f>
        <v/>
      </c>
      <c r="DJ11" s="228">
        <f>IF(AND(110&gt;=$NR$11,110&lt;=$NS$11),IF($NP$11="Single_Point",IF(110=$NR$11,$NN$11,0),IF($NP$11="Bell_Curve",$NN$11*(110-$NR$11+1)*($NS$11-110+1)/$NU$11,$NN$11/$NT$11)),0)</f>
        <v/>
      </c>
      <c r="DK11" s="228">
        <f>IF(AND(111&gt;=$NR$11,111&lt;=$NS$11),IF($NP$11="Single_Point",IF(111=$NR$11,$NN$11,0),IF($NP$11="Bell_Curve",$NN$11*(111-$NR$11+1)*($NS$11-111+1)/$NU$11,$NN$11/$NT$11)),0)</f>
        <v/>
      </c>
      <c r="DL11" s="228">
        <f>IF(AND(112&gt;=$NR$11,112&lt;=$NS$11),IF($NP$11="Single_Point",IF(112=$NR$11,$NN$11,0),IF($NP$11="Bell_Curve",$NN$11*(112-$NR$11+1)*($NS$11-112+1)/$NU$11,$NN$11/$NT$11)),0)</f>
        <v/>
      </c>
      <c r="DM11" s="228">
        <f>IF(AND(113&gt;=$NR$11,113&lt;=$NS$11),IF($NP$11="Single_Point",IF(113=$NR$11,$NN$11,0),IF($NP$11="Bell_Curve",$NN$11*(113-$NR$11+1)*($NS$11-113+1)/$NU$11,$NN$11/$NT$11)),0)</f>
        <v/>
      </c>
      <c r="DN11" s="228">
        <f>IF(AND(114&gt;=$NR$11,114&lt;=$NS$11),IF($NP$11="Single_Point",IF(114=$NR$11,$NN$11,0),IF($NP$11="Bell_Curve",$NN$11*(114-$NR$11+1)*($NS$11-114+1)/$NU$11,$NN$11/$NT$11)),0)</f>
        <v/>
      </c>
      <c r="DO11" s="228">
        <f>IF(AND(115&gt;=$NR$11,115&lt;=$NS$11),IF($NP$11="Single_Point",IF(115=$NR$11,$NN$11,0),IF($NP$11="Bell_Curve",$NN$11*(115-$NR$11+1)*($NS$11-115+1)/$NU$11,$NN$11/$NT$11)),0)</f>
        <v/>
      </c>
      <c r="DP11" s="228">
        <f>IF(AND(116&gt;=$NR$11,116&lt;=$NS$11),IF($NP$11="Single_Point",IF(116=$NR$11,$NN$11,0),IF($NP$11="Bell_Curve",$NN$11*(116-$NR$11+1)*($NS$11-116+1)/$NU$11,$NN$11/$NT$11)),0)</f>
        <v/>
      </c>
      <c r="DQ11" s="228">
        <f>IF(AND(117&gt;=$NR$11,117&lt;=$NS$11),IF($NP$11="Single_Point",IF(117=$NR$11,$NN$11,0),IF($NP$11="Bell_Curve",$NN$11*(117-$NR$11+1)*($NS$11-117+1)/$NU$11,$NN$11/$NT$11)),0)</f>
        <v/>
      </c>
      <c r="DR11" s="228">
        <f>IF(AND(118&gt;=$NR$11,118&lt;=$NS$11),IF($NP$11="Single_Point",IF(118=$NR$11,$NN$11,0),IF($NP$11="Bell_Curve",$NN$11*(118-$NR$11+1)*($NS$11-118+1)/$NU$11,$NN$11/$NT$11)),0)</f>
        <v/>
      </c>
      <c r="DS11" s="228">
        <f>IF(AND(119&gt;=$NR$11,119&lt;=$NS$11),IF($NP$11="Single_Point",IF(119=$NR$11,$NN$11,0),IF($NP$11="Bell_Curve",$NN$11*(119-$NR$11+1)*($NS$11-119+1)/$NU$11,$NN$11/$NT$11)),0)</f>
        <v/>
      </c>
      <c r="DT11" s="228">
        <f>IF(AND(120&gt;=$NR$11,120&lt;=$NS$11),IF($NP$11="Single_Point",IF(120=$NR$11,$NN$11,0),IF($NP$11="Bell_Curve",$NN$11*(120-$NR$11+1)*($NS$11-120+1)/$NU$11,$NN$11/$NT$11)),0)</f>
        <v/>
      </c>
      <c r="DU11" s="228">
        <f>IF(AND(121&gt;=$NR$11,121&lt;=$NS$11),IF($NP$11="Single_Point",IF(121=$NR$11,$NN$11,0),IF($NP$11="Bell_Curve",$NN$11*(121-$NR$11+1)*($NS$11-121+1)/$NU$11,$NN$11/$NT$11)),0)</f>
        <v/>
      </c>
      <c r="DV11" s="228">
        <f>IF(AND(122&gt;=$NR$11,122&lt;=$NS$11),IF($NP$11="Single_Point",IF(122=$NR$11,$NN$11,0),IF($NP$11="Bell_Curve",$NN$11*(122-$NR$11+1)*($NS$11-122+1)/$NU$11,$NN$11/$NT$11)),0)</f>
        <v/>
      </c>
      <c r="DW11" s="228">
        <f>IF(AND(123&gt;=$NR$11,123&lt;=$NS$11),IF($NP$11="Single_Point",IF(123=$NR$11,$NN$11,0),IF($NP$11="Bell_Curve",$NN$11*(123-$NR$11+1)*($NS$11-123+1)/$NU$11,$NN$11/$NT$11)),0)</f>
        <v/>
      </c>
      <c r="DX11" s="228">
        <f>IF(AND(124&gt;=$NR$11,124&lt;=$NS$11),IF($NP$11="Single_Point",IF(124=$NR$11,$NN$11,0),IF($NP$11="Bell_Curve",$NN$11*(124-$NR$11+1)*($NS$11-124+1)/$NU$11,$NN$11/$NT$11)),0)</f>
        <v/>
      </c>
      <c r="DY11" s="228">
        <f>IF(AND(125&gt;=$NR$11,125&lt;=$NS$11),IF($NP$11="Single_Point",IF(125=$NR$11,$NN$11,0),IF($NP$11="Bell_Curve",$NN$11*(125-$NR$11+1)*($NS$11-125+1)/$NU$11,$NN$11/$NT$11)),0)</f>
        <v/>
      </c>
      <c r="DZ11" s="228">
        <f>IF(AND(126&gt;=$NR$11,126&lt;=$NS$11),IF($NP$11="Single_Point",IF(126=$NR$11,$NN$11,0),IF($NP$11="Bell_Curve",$NN$11*(126-$NR$11+1)*($NS$11-126+1)/$NU$11,$NN$11/$NT$11)),0)</f>
        <v/>
      </c>
      <c r="EA11" s="228">
        <f>IF(AND(127&gt;=$NR$11,127&lt;=$NS$11),IF($NP$11="Single_Point",IF(127=$NR$11,$NN$11,0),IF($NP$11="Bell_Curve",$NN$11*(127-$NR$11+1)*($NS$11-127+1)/$NU$11,$NN$11/$NT$11)),0)</f>
        <v/>
      </c>
      <c r="EB11" s="228">
        <f>IF(AND(128&gt;=$NR$11,128&lt;=$NS$11),IF($NP$11="Single_Point",IF(128=$NR$11,$NN$11,0),IF($NP$11="Bell_Curve",$NN$11*(128-$NR$11+1)*($NS$11-128+1)/$NU$11,$NN$11/$NT$11)),0)</f>
        <v/>
      </c>
      <c r="EC11" s="228">
        <f>IF(AND(129&gt;=$NR$11,129&lt;=$NS$11),IF($NP$11="Single_Point",IF(129=$NR$11,$NN$11,0),IF($NP$11="Bell_Curve",$NN$11*(129-$NR$11+1)*($NS$11-129+1)/$NU$11,$NN$11/$NT$11)),0)</f>
        <v/>
      </c>
      <c r="ED11" s="228">
        <f>IF(AND(130&gt;=$NR$11,130&lt;=$NS$11),IF($NP$11="Single_Point",IF(130=$NR$11,$NN$11,0),IF($NP$11="Bell_Curve",$NN$11*(130-$NR$11+1)*($NS$11-130+1)/$NU$11,$NN$11/$NT$11)),0)</f>
        <v/>
      </c>
      <c r="EE11" s="228">
        <f>IF(AND(131&gt;=$NR$11,131&lt;=$NS$11),IF($NP$11="Single_Point",IF(131=$NR$11,$NN$11,0),IF($NP$11="Bell_Curve",$NN$11*(131-$NR$11+1)*($NS$11-131+1)/$NU$11,$NN$11/$NT$11)),0)</f>
        <v/>
      </c>
      <c r="EF11" s="228">
        <f>IF(AND(132&gt;=$NR$11,132&lt;=$NS$11),IF($NP$11="Single_Point",IF(132=$NR$11,$NN$11,0),IF($NP$11="Bell_Curve",$NN$11*(132-$NR$11+1)*($NS$11-132+1)/$NU$11,$NN$11/$NT$11)),0)</f>
        <v/>
      </c>
      <c r="EG11" s="228">
        <f>IF(AND(133&gt;=$NR$11,133&lt;=$NS$11),IF($NP$11="Single_Point",IF(133=$NR$11,$NN$11,0),IF($NP$11="Bell_Curve",$NN$11*(133-$NR$11+1)*($NS$11-133+1)/$NU$11,$NN$11/$NT$11)),0)</f>
        <v/>
      </c>
      <c r="EH11" s="228">
        <f>IF(AND(134&gt;=$NR$11,134&lt;=$NS$11),IF($NP$11="Single_Point",IF(134=$NR$11,$NN$11,0),IF($NP$11="Bell_Curve",$NN$11*(134-$NR$11+1)*($NS$11-134+1)/$NU$11,$NN$11/$NT$11)),0)</f>
        <v/>
      </c>
      <c r="EI11" s="228">
        <f>IF(AND(135&gt;=$NR$11,135&lt;=$NS$11),IF($NP$11="Single_Point",IF(135=$NR$11,$NN$11,0),IF($NP$11="Bell_Curve",$NN$11*(135-$NR$11+1)*($NS$11-135+1)/$NU$11,$NN$11/$NT$11)),0)</f>
        <v/>
      </c>
      <c r="EJ11" s="228">
        <f>IF(AND(136&gt;=$NR$11,136&lt;=$NS$11),IF($NP$11="Single_Point",IF(136=$NR$11,$NN$11,0),IF($NP$11="Bell_Curve",$NN$11*(136-$NR$11+1)*($NS$11-136+1)/$NU$11,$NN$11/$NT$11)),0)</f>
        <v/>
      </c>
      <c r="EK11" s="228">
        <f>IF(AND(137&gt;=$NR$11,137&lt;=$NS$11),IF($NP$11="Single_Point",IF(137=$NR$11,$NN$11,0),IF($NP$11="Bell_Curve",$NN$11*(137-$NR$11+1)*($NS$11-137+1)/$NU$11,$NN$11/$NT$11)),0)</f>
        <v/>
      </c>
      <c r="EL11" s="228">
        <f>IF(AND(138&gt;=$NR$11,138&lt;=$NS$11),IF($NP$11="Single_Point",IF(138=$NR$11,$NN$11,0),IF($NP$11="Bell_Curve",$NN$11*(138-$NR$11+1)*($NS$11-138+1)/$NU$11,$NN$11/$NT$11)),0)</f>
        <v/>
      </c>
      <c r="EM11" s="228">
        <f>IF(AND(139&gt;=$NR$11,139&lt;=$NS$11),IF($NP$11="Single_Point",IF(139=$NR$11,$NN$11,0),IF($NP$11="Bell_Curve",$NN$11*(139-$NR$11+1)*($NS$11-139+1)/$NU$11,$NN$11/$NT$11)),0)</f>
        <v/>
      </c>
      <c r="EN11" s="228">
        <f>IF(AND(140&gt;=$NR$11,140&lt;=$NS$11),IF($NP$11="Single_Point",IF(140=$NR$11,$NN$11,0),IF($NP$11="Bell_Curve",$NN$11*(140-$NR$11+1)*($NS$11-140+1)/$NU$11,$NN$11/$NT$11)),0)</f>
        <v/>
      </c>
      <c r="EO11" s="228">
        <f>IF(AND(141&gt;=$NR$11,141&lt;=$NS$11),IF($NP$11="Single_Point",IF(141=$NR$11,$NN$11,0),IF($NP$11="Bell_Curve",$NN$11*(141-$NR$11+1)*($NS$11-141+1)/$NU$11,$NN$11/$NT$11)),0)</f>
        <v/>
      </c>
      <c r="EP11" s="228">
        <f>IF(AND(142&gt;=$NR$11,142&lt;=$NS$11),IF($NP$11="Single_Point",IF(142=$NR$11,$NN$11,0),IF($NP$11="Bell_Curve",$NN$11*(142-$NR$11+1)*($NS$11-142+1)/$NU$11,$NN$11/$NT$11)),0)</f>
        <v/>
      </c>
      <c r="EQ11" s="228">
        <f>IF(AND(143&gt;=$NR$11,143&lt;=$NS$11),IF($NP$11="Single_Point",IF(143=$NR$11,$NN$11,0),IF($NP$11="Bell_Curve",$NN$11*(143-$NR$11+1)*($NS$11-143+1)/$NU$11,$NN$11/$NT$11)),0)</f>
        <v/>
      </c>
      <c r="ER11" s="228">
        <f>IF(AND(144&gt;=$NR$11,144&lt;=$NS$11),IF($NP$11="Single_Point",IF(144=$NR$11,$NN$11,0),IF($NP$11="Bell_Curve",$NN$11*(144-$NR$11+1)*($NS$11-144+1)/$NU$11,$NN$11/$NT$11)),0)</f>
        <v/>
      </c>
      <c r="ES11" s="228">
        <f>IF(AND(145&gt;=$NR$11,145&lt;=$NS$11),IF($NP$11="Single_Point",IF(145=$NR$11,$NN$11,0),IF($NP$11="Bell_Curve",$NN$11*(145-$NR$11+1)*($NS$11-145+1)/$NU$11,$NN$11/$NT$11)),0)</f>
        <v/>
      </c>
      <c r="ET11" s="228">
        <f>IF(AND(146&gt;=$NR$11,146&lt;=$NS$11),IF($NP$11="Single_Point",IF(146=$NR$11,$NN$11,0),IF($NP$11="Bell_Curve",$NN$11*(146-$NR$11+1)*($NS$11-146+1)/$NU$11,$NN$11/$NT$11)),0)</f>
        <v/>
      </c>
      <c r="EU11" s="228">
        <f>IF(AND(147&gt;=$NR$11,147&lt;=$NS$11),IF($NP$11="Single_Point",IF(147=$NR$11,$NN$11,0),IF($NP$11="Bell_Curve",$NN$11*(147-$NR$11+1)*($NS$11-147+1)/$NU$11,$NN$11/$NT$11)),0)</f>
        <v/>
      </c>
      <c r="EV11" s="228">
        <f>IF(AND(148&gt;=$NR$11,148&lt;=$NS$11),IF($NP$11="Single_Point",IF(148=$NR$11,$NN$11,0),IF($NP$11="Bell_Curve",$NN$11*(148-$NR$11+1)*($NS$11-148+1)/$NU$11,$NN$11/$NT$11)),0)</f>
        <v/>
      </c>
      <c r="EW11" s="228">
        <f>IF(AND(149&gt;=$NR$11,149&lt;=$NS$11),IF($NP$11="Single_Point",IF(149=$NR$11,$NN$11,0),IF($NP$11="Bell_Curve",$NN$11*(149-$NR$11+1)*($NS$11-149+1)/$NU$11,$NN$11/$NT$11)),0)</f>
        <v/>
      </c>
      <c r="EX11" s="228">
        <f>IF(AND(150&gt;=$NR$11,150&lt;=$NS$11),IF($NP$11="Single_Point",IF(150=$NR$11,$NN$11,0),IF($NP$11="Bell_Curve",$NN$11*(150-$NR$11+1)*($NS$11-150+1)/$NU$11,$NN$11/$NT$11)),0)</f>
        <v/>
      </c>
      <c r="EY11" s="228">
        <f>IF(AND(151&gt;=$NR$11,151&lt;=$NS$11),IF($NP$11="Single_Point",IF(151=$NR$11,$NN$11,0),IF($NP$11="Bell_Curve",$NN$11*(151-$NR$11+1)*($NS$11-151+1)/$NU$11,$NN$11/$NT$11)),0)</f>
        <v/>
      </c>
      <c r="EZ11" s="228">
        <f>IF(AND(152&gt;=$NR$11,152&lt;=$NS$11),IF($NP$11="Single_Point",IF(152=$NR$11,$NN$11,0),IF($NP$11="Bell_Curve",$NN$11*(152-$NR$11+1)*($NS$11-152+1)/$NU$11,$NN$11/$NT$11)),0)</f>
        <v/>
      </c>
      <c r="FA11" s="228">
        <f>IF(AND(153&gt;=$NR$11,153&lt;=$NS$11),IF($NP$11="Single_Point",IF(153=$NR$11,$NN$11,0),IF($NP$11="Bell_Curve",$NN$11*(153-$NR$11+1)*($NS$11-153+1)/$NU$11,$NN$11/$NT$11)),0)</f>
        <v/>
      </c>
      <c r="FB11" s="228">
        <f>IF(AND(154&gt;=$NR$11,154&lt;=$NS$11),IF($NP$11="Single_Point",IF(154=$NR$11,$NN$11,0),IF($NP$11="Bell_Curve",$NN$11*(154-$NR$11+1)*($NS$11-154+1)/$NU$11,$NN$11/$NT$11)),0)</f>
        <v/>
      </c>
      <c r="FC11" s="228">
        <f>IF(AND(155&gt;=$NR$11,155&lt;=$NS$11),IF($NP$11="Single_Point",IF(155=$NR$11,$NN$11,0),IF($NP$11="Bell_Curve",$NN$11*(155-$NR$11+1)*($NS$11-155+1)/$NU$11,$NN$11/$NT$11)),0)</f>
        <v/>
      </c>
      <c r="FD11" s="228">
        <f>IF(AND(156&gt;=$NR$11,156&lt;=$NS$11),IF($NP$11="Single_Point",IF(156=$NR$11,$NN$11,0),IF($NP$11="Bell_Curve",$NN$11*(156-$NR$11+1)*($NS$11-156+1)/$NU$11,$NN$11/$NT$11)),0)</f>
        <v/>
      </c>
      <c r="FE11" s="228">
        <f>IF(AND(157&gt;=$NR$11,157&lt;=$NS$11),IF($NP$11="Single_Point",IF(157=$NR$11,$NN$11,0),IF($NP$11="Bell_Curve",$NN$11*(157-$NR$11+1)*($NS$11-157+1)/$NU$11,$NN$11/$NT$11)),0)</f>
        <v/>
      </c>
      <c r="FF11" s="228">
        <f>IF(AND(158&gt;=$NR$11,158&lt;=$NS$11),IF($NP$11="Single_Point",IF(158=$NR$11,$NN$11,0),IF($NP$11="Bell_Curve",$NN$11*(158-$NR$11+1)*($NS$11-158+1)/$NU$11,$NN$11/$NT$11)),0)</f>
        <v/>
      </c>
      <c r="FG11" s="228">
        <f>IF(AND(159&gt;=$NR$11,159&lt;=$NS$11),IF($NP$11="Single_Point",IF(159=$NR$11,$NN$11,0),IF($NP$11="Bell_Curve",$NN$11*(159-$NR$11+1)*($NS$11-159+1)/$NU$11,$NN$11/$NT$11)),0)</f>
        <v/>
      </c>
      <c r="FH11" s="228">
        <f>IF(AND(160&gt;=$NR$11,160&lt;=$NS$11),IF($NP$11="Single_Point",IF(160=$NR$11,$NN$11,0),IF($NP$11="Bell_Curve",$NN$11*(160-$NR$11+1)*($NS$11-160+1)/$NU$11,$NN$11/$NT$11)),0)</f>
        <v/>
      </c>
      <c r="FI11" s="228">
        <f>IF(AND(161&gt;=$NR$11,161&lt;=$NS$11),IF($NP$11="Single_Point",IF(161=$NR$11,$NN$11,0),IF($NP$11="Bell_Curve",$NN$11*(161-$NR$11+1)*($NS$11-161+1)/$NU$11,$NN$11/$NT$11)),0)</f>
        <v/>
      </c>
      <c r="FJ11" s="228">
        <f>IF(AND(162&gt;=$NR$11,162&lt;=$NS$11),IF($NP$11="Single_Point",IF(162=$NR$11,$NN$11,0),IF($NP$11="Bell_Curve",$NN$11*(162-$NR$11+1)*($NS$11-162+1)/$NU$11,$NN$11/$NT$11)),0)</f>
        <v/>
      </c>
      <c r="FK11" s="228">
        <f>IF(AND(163&gt;=$NR$11,163&lt;=$NS$11),IF($NP$11="Single_Point",IF(163=$NR$11,$NN$11,0),IF($NP$11="Bell_Curve",$NN$11*(163-$NR$11+1)*($NS$11-163+1)/$NU$11,$NN$11/$NT$11)),0)</f>
        <v/>
      </c>
      <c r="FL11" s="228">
        <f>IF(AND(164&gt;=$NR$11,164&lt;=$NS$11),IF($NP$11="Single_Point",IF(164=$NR$11,$NN$11,0),IF($NP$11="Bell_Curve",$NN$11*(164-$NR$11+1)*($NS$11-164+1)/$NU$11,$NN$11/$NT$11)),0)</f>
        <v/>
      </c>
      <c r="FM11" s="228">
        <f>IF(AND(165&gt;=$NR$11,165&lt;=$NS$11),IF($NP$11="Single_Point",IF(165=$NR$11,$NN$11,0),IF($NP$11="Bell_Curve",$NN$11*(165-$NR$11+1)*($NS$11-165+1)/$NU$11,$NN$11/$NT$11)),0)</f>
        <v/>
      </c>
      <c r="FN11" s="228">
        <f>IF(AND(166&gt;=$NR$11,166&lt;=$NS$11),IF($NP$11="Single_Point",IF(166=$NR$11,$NN$11,0),IF($NP$11="Bell_Curve",$NN$11*(166-$NR$11+1)*($NS$11-166+1)/$NU$11,$NN$11/$NT$11)),0)</f>
        <v/>
      </c>
      <c r="FO11" s="228">
        <f>IF(AND(167&gt;=$NR$11,167&lt;=$NS$11),IF($NP$11="Single_Point",IF(167=$NR$11,$NN$11,0),IF($NP$11="Bell_Curve",$NN$11*(167-$NR$11+1)*($NS$11-167+1)/$NU$11,$NN$11/$NT$11)),0)</f>
        <v/>
      </c>
      <c r="FP11" s="228">
        <f>IF(AND(168&gt;=$NR$11,168&lt;=$NS$11),IF($NP$11="Single_Point",IF(168=$NR$11,$NN$11,0),IF($NP$11="Bell_Curve",$NN$11*(168-$NR$11+1)*($NS$11-168+1)/$NU$11,$NN$11/$NT$11)),0)</f>
        <v/>
      </c>
      <c r="FQ11" s="228">
        <f>IF(AND(169&gt;=$NR$11,169&lt;=$NS$11),IF($NP$11="Single_Point",IF(169=$NR$11,$NN$11,0),IF($NP$11="Bell_Curve",$NN$11*(169-$NR$11+1)*($NS$11-169+1)/$NU$11,$NN$11/$NT$11)),0)</f>
        <v/>
      </c>
      <c r="FR11" s="228">
        <f>IF(AND(170&gt;=$NR$11,170&lt;=$NS$11),IF($NP$11="Single_Point",IF(170=$NR$11,$NN$11,0),IF($NP$11="Bell_Curve",$NN$11*(170-$NR$11+1)*($NS$11-170+1)/$NU$11,$NN$11/$NT$11)),0)</f>
        <v/>
      </c>
      <c r="FS11" s="228">
        <f>IF(AND(171&gt;=$NR$11,171&lt;=$NS$11),IF($NP$11="Single_Point",IF(171=$NR$11,$NN$11,0),IF($NP$11="Bell_Curve",$NN$11*(171-$NR$11+1)*($NS$11-171+1)/$NU$11,$NN$11/$NT$11)),0)</f>
        <v/>
      </c>
      <c r="FT11" s="228">
        <f>IF(AND(172&gt;=$NR$11,172&lt;=$NS$11),IF($NP$11="Single_Point",IF(172=$NR$11,$NN$11,0),IF($NP$11="Bell_Curve",$NN$11*(172-$NR$11+1)*($NS$11-172+1)/$NU$11,$NN$11/$NT$11)),0)</f>
        <v/>
      </c>
      <c r="FU11" s="228">
        <f>IF(AND(173&gt;=$NR$11,173&lt;=$NS$11),IF($NP$11="Single_Point",IF(173=$NR$11,$NN$11,0),IF($NP$11="Bell_Curve",$NN$11*(173-$NR$11+1)*($NS$11-173+1)/$NU$11,$NN$11/$NT$11)),0)</f>
        <v/>
      </c>
      <c r="FV11" s="228">
        <f>IF(AND(174&gt;=$NR$11,174&lt;=$NS$11),IF($NP$11="Single_Point",IF(174=$NR$11,$NN$11,0),IF($NP$11="Bell_Curve",$NN$11*(174-$NR$11+1)*($NS$11-174+1)/$NU$11,$NN$11/$NT$11)),0)</f>
        <v/>
      </c>
      <c r="FW11" s="228">
        <f>IF(AND(175&gt;=$NR$11,175&lt;=$NS$11),IF($NP$11="Single_Point",IF(175=$NR$11,$NN$11,0),IF($NP$11="Bell_Curve",$NN$11*(175-$NR$11+1)*($NS$11-175+1)/$NU$11,$NN$11/$NT$11)),0)</f>
        <v/>
      </c>
      <c r="FX11" s="228">
        <f>IF(AND(176&gt;=$NR$11,176&lt;=$NS$11),IF($NP$11="Single_Point",IF(176=$NR$11,$NN$11,0),IF($NP$11="Bell_Curve",$NN$11*(176-$NR$11+1)*($NS$11-176+1)/$NU$11,$NN$11/$NT$11)),0)</f>
        <v/>
      </c>
      <c r="FY11" s="228">
        <f>IF(AND(177&gt;=$NR$11,177&lt;=$NS$11),IF($NP$11="Single_Point",IF(177=$NR$11,$NN$11,0),IF($NP$11="Bell_Curve",$NN$11*(177-$NR$11+1)*($NS$11-177+1)/$NU$11,$NN$11/$NT$11)),0)</f>
        <v/>
      </c>
      <c r="FZ11" s="228">
        <f>IF(AND(178&gt;=$NR$11,178&lt;=$NS$11),IF($NP$11="Single_Point",IF(178=$NR$11,$NN$11,0),IF($NP$11="Bell_Curve",$NN$11*(178-$NR$11+1)*($NS$11-178+1)/$NU$11,$NN$11/$NT$11)),0)</f>
        <v/>
      </c>
      <c r="GA11" s="228">
        <f>IF(AND(179&gt;=$NR$11,179&lt;=$NS$11),IF($NP$11="Single_Point",IF(179=$NR$11,$NN$11,0),IF($NP$11="Bell_Curve",$NN$11*(179-$NR$11+1)*($NS$11-179+1)/$NU$11,$NN$11/$NT$11)),0)</f>
        <v/>
      </c>
      <c r="GB11" s="228">
        <f>IF(AND(180&gt;=$NR$11,180&lt;=$NS$11),IF($NP$11="Single_Point",IF(180=$NR$11,$NN$11,0),IF($NP$11="Bell_Curve",$NN$11*(180-$NR$11+1)*($NS$11-180+1)/$NU$11,$NN$11/$NT$11)),0)</f>
        <v/>
      </c>
      <c r="GC11" s="228">
        <f>IF(AND(181&gt;=$NR$11,181&lt;=$NS$11),IF($NP$11="Single_Point",IF(181=$NR$11,$NN$11,0),IF($NP$11="Bell_Curve",$NN$11*(181-$NR$11+1)*($NS$11-181+1)/$NU$11,$NN$11/$NT$11)),0)</f>
        <v/>
      </c>
      <c r="GD11" s="228">
        <f>IF(AND(182&gt;=$NR$11,182&lt;=$NS$11),IF($NP$11="Single_Point",IF(182=$NR$11,$NN$11,0),IF($NP$11="Bell_Curve",$NN$11*(182-$NR$11+1)*($NS$11-182+1)/$NU$11,$NN$11/$NT$11)),0)</f>
        <v/>
      </c>
      <c r="GE11" s="228">
        <f>IF(AND(183&gt;=$NR$11,183&lt;=$NS$11),IF($NP$11="Single_Point",IF(183=$NR$11,$NN$11,0),IF($NP$11="Bell_Curve",$NN$11*(183-$NR$11+1)*($NS$11-183+1)/$NU$11,$NN$11/$NT$11)),0)</f>
        <v/>
      </c>
      <c r="GF11" s="228">
        <f>IF(AND(184&gt;=$NR$11,184&lt;=$NS$11),IF($NP$11="Single_Point",IF(184=$NR$11,$NN$11,0),IF($NP$11="Bell_Curve",$NN$11*(184-$NR$11+1)*($NS$11-184+1)/$NU$11,$NN$11/$NT$11)),0)</f>
        <v/>
      </c>
      <c r="GG11" s="228">
        <f>IF(AND(185&gt;=$NR$11,185&lt;=$NS$11),IF($NP$11="Single_Point",IF(185=$NR$11,$NN$11,0),IF($NP$11="Bell_Curve",$NN$11*(185-$NR$11+1)*($NS$11-185+1)/$NU$11,$NN$11/$NT$11)),0)</f>
        <v/>
      </c>
      <c r="GH11" s="228">
        <f>IF(AND(186&gt;=$NR$11,186&lt;=$NS$11),IF($NP$11="Single_Point",IF(186=$NR$11,$NN$11,0),IF($NP$11="Bell_Curve",$NN$11*(186-$NR$11+1)*($NS$11-186+1)/$NU$11,$NN$11/$NT$11)),0)</f>
        <v/>
      </c>
      <c r="GI11" s="228">
        <f>IF(AND(187&gt;=$NR$11,187&lt;=$NS$11),IF($NP$11="Single_Point",IF(187=$NR$11,$NN$11,0),IF($NP$11="Bell_Curve",$NN$11*(187-$NR$11+1)*($NS$11-187+1)/$NU$11,$NN$11/$NT$11)),0)</f>
        <v/>
      </c>
      <c r="GJ11" s="228">
        <f>IF(AND(188&gt;=$NR$11,188&lt;=$NS$11),IF($NP$11="Single_Point",IF(188=$NR$11,$NN$11,0),IF($NP$11="Bell_Curve",$NN$11*(188-$NR$11+1)*($NS$11-188+1)/$NU$11,$NN$11/$NT$11)),0)</f>
        <v/>
      </c>
      <c r="GK11" s="228">
        <f>IF(AND(189&gt;=$NR$11,189&lt;=$NS$11),IF($NP$11="Single_Point",IF(189=$NR$11,$NN$11,0),IF($NP$11="Bell_Curve",$NN$11*(189-$NR$11+1)*($NS$11-189+1)/$NU$11,$NN$11/$NT$11)),0)</f>
        <v/>
      </c>
      <c r="GL11" s="228">
        <f>IF(AND(190&gt;=$NR$11,190&lt;=$NS$11),IF($NP$11="Single_Point",IF(190=$NR$11,$NN$11,0),IF($NP$11="Bell_Curve",$NN$11*(190-$NR$11+1)*($NS$11-190+1)/$NU$11,$NN$11/$NT$11)),0)</f>
        <v/>
      </c>
      <c r="GM11" s="228">
        <f>IF(AND(191&gt;=$NR$11,191&lt;=$NS$11),IF($NP$11="Single_Point",IF(191=$NR$11,$NN$11,0),IF($NP$11="Bell_Curve",$NN$11*(191-$NR$11+1)*($NS$11-191+1)/$NU$11,$NN$11/$NT$11)),0)</f>
        <v/>
      </c>
      <c r="GN11" s="228">
        <f>IF(AND(192&gt;=$NR$11,192&lt;=$NS$11),IF($NP$11="Single_Point",IF(192=$NR$11,$NN$11,0),IF($NP$11="Bell_Curve",$NN$11*(192-$NR$11+1)*($NS$11-192+1)/$NU$11,$NN$11/$NT$11)),0)</f>
        <v/>
      </c>
      <c r="GO11" s="228">
        <f>IF(AND(193&gt;=$NR$11,193&lt;=$NS$11),IF($NP$11="Single_Point",IF(193=$NR$11,$NN$11,0),IF($NP$11="Bell_Curve",$NN$11*(193-$NR$11+1)*($NS$11-193+1)/$NU$11,$NN$11/$NT$11)),0)</f>
        <v/>
      </c>
      <c r="GP11" s="228">
        <f>IF(AND(194&gt;=$NR$11,194&lt;=$NS$11),IF($NP$11="Single_Point",IF(194=$NR$11,$NN$11,0),IF($NP$11="Bell_Curve",$NN$11*(194-$NR$11+1)*($NS$11-194+1)/$NU$11,$NN$11/$NT$11)),0)</f>
        <v/>
      </c>
      <c r="GQ11" s="228">
        <f>IF(AND(195&gt;=$NR$11,195&lt;=$NS$11),IF($NP$11="Single_Point",IF(195=$NR$11,$NN$11,0),IF($NP$11="Bell_Curve",$NN$11*(195-$NR$11+1)*($NS$11-195+1)/$NU$11,$NN$11/$NT$11)),0)</f>
        <v/>
      </c>
      <c r="GR11" s="228">
        <f>IF(AND(196&gt;=$NR$11,196&lt;=$NS$11),IF($NP$11="Single_Point",IF(196=$NR$11,$NN$11,0),IF($NP$11="Bell_Curve",$NN$11*(196-$NR$11+1)*($NS$11-196+1)/$NU$11,$NN$11/$NT$11)),0)</f>
        <v/>
      </c>
      <c r="GS11" s="228">
        <f>IF(AND(197&gt;=$NR$11,197&lt;=$NS$11),IF($NP$11="Single_Point",IF(197=$NR$11,$NN$11,0),IF($NP$11="Bell_Curve",$NN$11*(197-$NR$11+1)*($NS$11-197+1)/$NU$11,$NN$11/$NT$11)),0)</f>
        <v/>
      </c>
      <c r="GT11" s="228">
        <f>IF(AND(198&gt;=$NR$11,198&lt;=$NS$11),IF($NP$11="Single_Point",IF(198=$NR$11,$NN$11,0),IF($NP$11="Bell_Curve",$NN$11*(198-$NR$11+1)*($NS$11-198+1)/$NU$11,$NN$11/$NT$11)),0)</f>
        <v/>
      </c>
      <c r="GU11" s="228">
        <f>IF(AND(199&gt;=$NR$11,199&lt;=$NS$11),IF($NP$11="Single_Point",IF(199=$NR$11,$NN$11,0),IF($NP$11="Bell_Curve",$NN$11*(199-$NR$11+1)*($NS$11-199+1)/$NU$11,$NN$11/$NT$11)),0)</f>
        <v/>
      </c>
      <c r="GV11" s="228">
        <f>IF(AND(200&gt;=$NR$11,200&lt;=$NS$11),IF($NP$11="Single_Point",IF(200=$NR$11,$NN$11,0),IF($NP$11="Bell_Curve",$NN$11*(200-$NR$11+1)*($NS$11-200+1)/$NU$11,$NN$11/$NT$11)),0)</f>
        <v/>
      </c>
      <c r="GW11" s="228">
        <f>IF(AND(201&gt;=$NR$11,201&lt;=$NS$11),IF($NP$11="Single_Point",IF(201=$NR$11,$NN$11,0),IF($NP$11="Bell_Curve",$NN$11*(201-$NR$11+1)*($NS$11-201+1)/$NU$11,$NN$11/$NT$11)),0)</f>
        <v/>
      </c>
      <c r="GX11" s="228">
        <f>IF(AND(202&gt;=$NR$11,202&lt;=$NS$11),IF($NP$11="Single_Point",IF(202=$NR$11,$NN$11,0),IF($NP$11="Bell_Curve",$NN$11*(202-$NR$11+1)*($NS$11-202+1)/$NU$11,$NN$11/$NT$11)),0)</f>
        <v/>
      </c>
      <c r="GY11" s="228">
        <f>IF(AND(203&gt;=$NR$11,203&lt;=$NS$11),IF($NP$11="Single_Point",IF(203=$NR$11,$NN$11,0),IF($NP$11="Bell_Curve",$NN$11*(203-$NR$11+1)*($NS$11-203+1)/$NU$11,$NN$11/$NT$11)),0)</f>
        <v/>
      </c>
      <c r="GZ11" s="228">
        <f>IF(AND(204&gt;=$NR$11,204&lt;=$NS$11),IF($NP$11="Single_Point",IF(204=$NR$11,$NN$11,0),IF($NP$11="Bell_Curve",$NN$11*(204-$NR$11+1)*($NS$11-204+1)/$NU$11,$NN$11/$NT$11)),0)</f>
        <v/>
      </c>
      <c r="HA11" s="228">
        <f>IF(AND(205&gt;=$NR$11,205&lt;=$NS$11),IF($NP$11="Single_Point",IF(205=$NR$11,$NN$11,0),IF($NP$11="Bell_Curve",$NN$11*(205-$NR$11+1)*($NS$11-205+1)/$NU$11,$NN$11/$NT$11)),0)</f>
        <v/>
      </c>
      <c r="HB11" s="228">
        <f>IF(AND(206&gt;=$NR$11,206&lt;=$NS$11),IF($NP$11="Single_Point",IF(206=$NR$11,$NN$11,0),IF($NP$11="Bell_Curve",$NN$11*(206-$NR$11+1)*($NS$11-206+1)/$NU$11,$NN$11/$NT$11)),0)</f>
        <v/>
      </c>
      <c r="HC11" s="228">
        <f>IF(AND(207&gt;=$NR$11,207&lt;=$NS$11),IF($NP$11="Single_Point",IF(207=$NR$11,$NN$11,0),IF($NP$11="Bell_Curve",$NN$11*(207-$NR$11+1)*($NS$11-207+1)/$NU$11,$NN$11/$NT$11)),0)</f>
        <v/>
      </c>
      <c r="HD11" s="228">
        <f>IF(AND(208&gt;=$NR$11,208&lt;=$NS$11),IF($NP$11="Single_Point",IF(208=$NR$11,$NN$11,0),IF($NP$11="Bell_Curve",$NN$11*(208-$NR$11+1)*($NS$11-208+1)/$NU$11,$NN$11/$NT$11)),0)</f>
        <v/>
      </c>
      <c r="HE11" s="228">
        <f>IF(AND(209&gt;=$NR$11,209&lt;=$NS$11),IF($NP$11="Single_Point",IF(209=$NR$11,$NN$11,0),IF($NP$11="Bell_Curve",$NN$11*(209-$NR$11+1)*($NS$11-209+1)/$NU$11,$NN$11/$NT$11)),0)</f>
        <v/>
      </c>
      <c r="HF11" s="228">
        <f>IF(AND(210&gt;=$NR$11,210&lt;=$NS$11),IF($NP$11="Single_Point",IF(210=$NR$11,$NN$11,0),IF($NP$11="Bell_Curve",$NN$11*(210-$NR$11+1)*($NS$11-210+1)/$NU$11,$NN$11/$NT$11)),0)</f>
        <v/>
      </c>
      <c r="HG11" s="228">
        <f>IF(AND(211&gt;=$NR$11,211&lt;=$NS$11),IF($NP$11="Single_Point",IF(211=$NR$11,$NN$11,0),IF($NP$11="Bell_Curve",$NN$11*(211-$NR$11+1)*($NS$11-211+1)/$NU$11,$NN$11/$NT$11)),0)</f>
        <v/>
      </c>
      <c r="HH11" s="228">
        <f>IF(AND(212&gt;=$NR$11,212&lt;=$NS$11),IF($NP$11="Single_Point",IF(212=$NR$11,$NN$11,0),IF($NP$11="Bell_Curve",$NN$11*(212-$NR$11+1)*($NS$11-212+1)/$NU$11,$NN$11/$NT$11)),0)</f>
        <v/>
      </c>
      <c r="HI11" s="228">
        <f>IF(AND(213&gt;=$NR$11,213&lt;=$NS$11),IF($NP$11="Single_Point",IF(213=$NR$11,$NN$11,0),IF($NP$11="Bell_Curve",$NN$11*(213-$NR$11+1)*($NS$11-213+1)/$NU$11,$NN$11/$NT$11)),0)</f>
        <v/>
      </c>
      <c r="HJ11" s="228">
        <f>IF(AND(214&gt;=$NR$11,214&lt;=$NS$11),IF($NP$11="Single_Point",IF(214=$NR$11,$NN$11,0),IF($NP$11="Bell_Curve",$NN$11*(214-$NR$11+1)*($NS$11-214+1)/$NU$11,$NN$11/$NT$11)),0)</f>
        <v/>
      </c>
      <c r="HK11" s="228">
        <f>IF(AND(215&gt;=$NR$11,215&lt;=$NS$11),IF($NP$11="Single_Point",IF(215=$NR$11,$NN$11,0),IF($NP$11="Bell_Curve",$NN$11*(215-$NR$11+1)*($NS$11-215+1)/$NU$11,$NN$11/$NT$11)),0)</f>
        <v/>
      </c>
      <c r="HL11" s="228">
        <f>IF(AND(216&gt;=$NR$11,216&lt;=$NS$11),IF($NP$11="Single_Point",IF(216=$NR$11,$NN$11,0),IF($NP$11="Bell_Curve",$NN$11*(216-$NR$11+1)*($NS$11-216+1)/$NU$11,$NN$11/$NT$11)),0)</f>
        <v/>
      </c>
      <c r="HM11" s="228">
        <f>IF(AND(217&gt;=$NR$11,217&lt;=$NS$11),IF($NP$11="Single_Point",IF(217=$NR$11,$NN$11,0),IF($NP$11="Bell_Curve",$NN$11*(217-$NR$11+1)*($NS$11-217+1)/$NU$11,$NN$11/$NT$11)),0)</f>
        <v/>
      </c>
      <c r="HN11" s="228">
        <f>IF(AND(218&gt;=$NR$11,218&lt;=$NS$11),IF($NP$11="Single_Point",IF(218=$NR$11,$NN$11,0),IF($NP$11="Bell_Curve",$NN$11*(218-$NR$11+1)*($NS$11-218+1)/$NU$11,$NN$11/$NT$11)),0)</f>
        <v/>
      </c>
      <c r="HO11" s="228">
        <f>IF(AND(219&gt;=$NR$11,219&lt;=$NS$11),IF($NP$11="Single_Point",IF(219=$NR$11,$NN$11,0),IF($NP$11="Bell_Curve",$NN$11*(219-$NR$11+1)*($NS$11-219+1)/$NU$11,$NN$11/$NT$11)),0)</f>
        <v/>
      </c>
      <c r="HP11" s="228">
        <f>IF(AND(220&gt;=$NR$11,220&lt;=$NS$11),IF($NP$11="Single_Point",IF(220=$NR$11,$NN$11,0),IF($NP$11="Bell_Curve",$NN$11*(220-$NR$11+1)*($NS$11-220+1)/$NU$11,$NN$11/$NT$11)),0)</f>
        <v/>
      </c>
      <c r="HQ11" s="228">
        <f>IF(AND(221&gt;=$NR$11,221&lt;=$NS$11),IF($NP$11="Single_Point",IF(221=$NR$11,$NN$11,0),IF($NP$11="Bell_Curve",$NN$11*(221-$NR$11+1)*($NS$11-221+1)/$NU$11,$NN$11/$NT$11)),0)</f>
        <v/>
      </c>
      <c r="HR11" s="228">
        <f>IF(AND(222&gt;=$NR$11,222&lt;=$NS$11),IF($NP$11="Single_Point",IF(222=$NR$11,$NN$11,0),IF($NP$11="Bell_Curve",$NN$11*(222-$NR$11+1)*($NS$11-222+1)/$NU$11,$NN$11/$NT$11)),0)</f>
        <v/>
      </c>
      <c r="HS11" s="228">
        <f>IF(AND(223&gt;=$NR$11,223&lt;=$NS$11),IF($NP$11="Single_Point",IF(223=$NR$11,$NN$11,0),IF($NP$11="Bell_Curve",$NN$11*(223-$NR$11+1)*($NS$11-223+1)/$NU$11,$NN$11/$NT$11)),0)</f>
        <v/>
      </c>
      <c r="HT11" s="228">
        <f>IF(AND(224&gt;=$NR$11,224&lt;=$NS$11),IF($NP$11="Single_Point",IF(224=$NR$11,$NN$11,0),IF($NP$11="Bell_Curve",$NN$11*(224-$NR$11+1)*($NS$11-224+1)/$NU$11,$NN$11/$NT$11)),0)</f>
        <v/>
      </c>
      <c r="HU11" s="228">
        <f>IF(AND(225&gt;=$NR$11,225&lt;=$NS$11),IF($NP$11="Single_Point",IF(225=$NR$11,$NN$11,0),IF($NP$11="Bell_Curve",$NN$11*(225-$NR$11+1)*($NS$11-225+1)/$NU$11,$NN$11/$NT$11)),0)</f>
        <v/>
      </c>
      <c r="HV11" s="228">
        <f>IF(AND(226&gt;=$NR$11,226&lt;=$NS$11),IF($NP$11="Single_Point",IF(226=$NR$11,$NN$11,0),IF($NP$11="Bell_Curve",$NN$11*(226-$NR$11+1)*($NS$11-226+1)/$NU$11,$NN$11/$NT$11)),0)</f>
        <v/>
      </c>
      <c r="HW11" s="228">
        <f>IF(AND(227&gt;=$NR$11,227&lt;=$NS$11),IF($NP$11="Single_Point",IF(227=$NR$11,$NN$11,0),IF($NP$11="Bell_Curve",$NN$11*(227-$NR$11+1)*($NS$11-227+1)/$NU$11,$NN$11/$NT$11)),0)</f>
        <v/>
      </c>
      <c r="HX11" s="228">
        <f>IF(AND(228&gt;=$NR$11,228&lt;=$NS$11),IF($NP$11="Single_Point",IF(228=$NR$11,$NN$11,0),IF($NP$11="Bell_Curve",$NN$11*(228-$NR$11+1)*($NS$11-228+1)/$NU$11,$NN$11/$NT$11)),0)</f>
        <v/>
      </c>
      <c r="HY11" s="228">
        <f>IF(AND(229&gt;=$NR$11,229&lt;=$NS$11),IF($NP$11="Single_Point",IF(229=$NR$11,$NN$11,0),IF($NP$11="Bell_Curve",$NN$11*(229-$NR$11+1)*($NS$11-229+1)/$NU$11,$NN$11/$NT$11)),0)</f>
        <v/>
      </c>
      <c r="HZ11" s="228">
        <f>IF(AND(230&gt;=$NR$11,230&lt;=$NS$11),IF($NP$11="Single_Point",IF(230=$NR$11,$NN$11,0),IF($NP$11="Bell_Curve",$NN$11*(230-$NR$11+1)*($NS$11-230+1)/$NU$11,$NN$11/$NT$11)),0)</f>
        <v/>
      </c>
      <c r="IA11" s="228">
        <f>IF(AND(231&gt;=$NR$11,231&lt;=$NS$11),IF($NP$11="Single_Point",IF(231=$NR$11,$NN$11,0),IF($NP$11="Bell_Curve",$NN$11*(231-$NR$11+1)*($NS$11-231+1)/$NU$11,$NN$11/$NT$11)),0)</f>
        <v/>
      </c>
      <c r="IB11" s="228">
        <f>IF(AND(232&gt;=$NR$11,232&lt;=$NS$11),IF($NP$11="Single_Point",IF(232=$NR$11,$NN$11,0),IF($NP$11="Bell_Curve",$NN$11*(232-$NR$11+1)*($NS$11-232+1)/$NU$11,$NN$11/$NT$11)),0)</f>
        <v/>
      </c>
      <c r="IC11" s="228">
        <f>IF(AND(233&gt;=$NR$11,233&lt;=$NS$11),IF($NP$11="Single_Point",IF(233=$NR$11,$NN$11,0),IF($NP$11="Bell_Curve",$NN$11*(233-$NR$11+1)*($NS$11-233+1)/$NU$11,$NN$11/$NT$11)),0)</f>
        <v/>
      </c>
      <c r="ID11" s="228">
        <f>IF(AND(234&gt;=$NR$11,234&lt;=$NS$11),IF($NP$11="Single_Point",IF(234=$NR$11,$NN$11,0),IF($NP$11="Bell_Curve",$NN$11*(234-$NR$11+1)*($NS$11-234+1)/$NU$11,$NN$11/$NT$11)),0)</f>
        <v/>
      </c>
      <c r="IE11" s="228">
        <f>IF(AND(235&gt;=$NR$11,235&lt;=$NS$11),IF($NP$11="Single_Point",IF(235=$NR$11,$NN$11,0),IF($NP$11="Bell_Curve",$NN$11*(235-$NR$11+1)*($NS$11-235+1)/$NU$11,$NN$11/$NT$11)),0)</f>
        <v/>
      </c>
      <c r="IF11" s="228">
        <f>IF(AND(236&gt;=$NR$11,236&lt;=$NS$11),IF($NP$11="Single_Point",IF(236=$NR$11,$NN$11,0),IF($NP$11="Bell_Curve",$NN$11*(236-$NR$11+1)*($NS$11-236+1)/$NU$11,$NN$11/$NT$11)),0)</f>
        <v/>
      </c>
      <c r="IG11" s="228">
        <f>IF(AND(237&gt;=$NR$11,237&lt;=$NS$11),IF($NP$11="Single_Point",IF(237=$NR$11,$NN$11,0),IF($NP$11="Bell_Curve",$NN$11*(237-$NR$11+1)*($NS$11-237+1)/$NU$11,$NN$11/$NT$11)),0)</f>
        <v/>
      </c>
      <c r="IH11" s="228">
        <f>IF(AND(238&gt;=$NR$11,238&lt;=$NS$11),IF($NP$11="Single_Point",IF(238=$NR$11,$NN$11,0),IF($NP$11="Bell_Curve",$NN$11*(238-$NR$11+1)*($NS$11-238+1)/$NU$11,$NN$11/$NT$11)),0)</f>
        <v/>
      </c>
      <c r="II11" s="228">
        <f>IF(AND(239&gt;=$NR$11,239&lt;=$NS$11),IF($NP$11="Single_Point",IF(239=$NR$11,$NN$11,0),IF($NP$11="Bell_Curve",$NN$11*(239-$NR$11+1)*($NS$11-239+1)/$NU$11,$NN$11/$NT$11)),0)</f>
        <v/>
      </c>
      <c r="IJ11" s="228">
        <f>IF(AND(240&gt;=$NR$11,240&lt;=$NS$11),IF($NP$11="Single_Point",IF(240=$NR$11,$NN$11,0),IF($NP$11="Bell_Curve",$NN$11*(240-$NR$11+1)*($NS$11-240+1)/$NU$11,$NN$11/$NT$11)),0)</f>
        <v/>
      </c>
      <c r="IK11" s="228">
        <f>IF(AND(241&gt;=$NR$11,241&lt;=$NS$11),IF($NP$11="Single_Point",IF(241=$NR$11,$NN$11,0),IF($NP$11="Bell_Curve",$NN$11*(241-$NR$11+1)*($NS$11-241+1)/$NU$11,$NN$11/$NT$11)),0)</f>
        <v/>
      </c>
      <c r="IL11" s="228">
        <f>IF(AND(242&gt;=$NR$11,242&lt;=$NS$11),IF($NP$11="Single_Point",IF(242=$NR$11,$NN$11,0),IF($NP$11="Bell_Curve",$NN$11*(242-$NR$11+1)*($NS$11-242+1)/$NU$11,$NN$11/$NT$11)),0)</f>
        <v/>
      </c>
      <c r="IM11" s="228">
        <f>IF(AND(243&gt;=$NR$11,243&lt;=$NS$11),IF($NP$11="Single_Point",IF(243=$NR$11,$NN$11,0),IF($NP$11="Bell_Curve",$NN$11*(243-$NR$11+1)*($NS$11-243+1)/$NU$11,$NN$11/$NT$11)),0)</f>
        <v/>
      </c>
      <c r="IN11" s="228">
        <f>IF(AND(244&gt;=$NR$11,244&lt;=$NS$11),IF($NP$11="Single_Point",IF(244=$NR$11,$NN$11,0),IF($NP$11="Bell_Curve",$NN$11*(244-$NR$11+1)*($NS$11-244+1)/$NU$11,$NN$11/$NT$11)),0)</f>
        <v/>
      </c>
      <c r="IO11" s="228">
        <f>IF(AND(245&gt;=$NR$11,245&lt;=$NS$11),IF($NP$11="Single_Point",IF(245=$NR$11,$NN$11,0),IF($NP$11="Bell_Curve",$NN$11*(245-$NR$11+1)*($NS$11-245+1)/$NU$11,$NN$11/$NT$11)),0)</f>
        <v/>
      </c>
      <c r="IP11" s="228">
        <f>IF(AND(246&gt;=$NR$11,246&lt;=$NS$11),IF($NP$11="Single_Point",IF(246=$NR$11,$NN$11,0),IF($NP$11="Bell_Curve",$NN$11*(246-$NR$11+1)*($NS$11-246+1)/$NU$11,$NN$11/$NT$11)),0)</f>
        <v/>
      </c>
      <c r="IQ11" s="228">
        <f>IF(AND(247&gt;=$NR$11,247&lt;=$NS$11),IF($NP$11="Single_Point",IF(247=$NR$11,$NN$11,0),IF($NP$11="Bell_Curve",$NN$11*(247-$NR$11+1)*($NS$11-247+1)/$NU$11,$NN$11/$NT$11)),0)</f>
        <v/>
      </c>
      <c r="IR11" s="228">
        <f>IF(AND(248&gt;=$NR$11,248&lt;=$NS$11),IF($NP$11="Single_Point",IF(248=$NR$11,$NN$11,0),IF($NP$11="Bell_Curve",$NN$11*(248-$NR$11+1)*($NS$11-248+1)/$NU$11,$NN$11/$NT$11)),0)</f>
        <v/>
      </c>
      <c r="IS11" s="228">
        <f>IF(AND(249&gt;=$NR$11,249&lt;=$NS$11),IF($NP$11="Single_Point",IF(249=$NR$11,$NN$11,0),IF($NP$11="Bell_Curve",$NN$11*(249-$NR$11+1)*($NS$11-249+1)/$NU$11,$NN$11/$NT$11)),0)</f>
        <v/>
      </c>
      <c r="IT11" s="228">
        <f>IF(AND(250&gt;=$NR$11,250&lt;=$NS$11),IF($NP$11="Single_Point",IF(250=$NR$11,$NN$11,0),IF($NP$11="Bell_Curve",$NN$11*(250-$NR$11+1)*($NS$11-250+1)/$NU$11,$NN$11/$NT$11)),0)</f>
        <v/>
      </c>
      <c r="IU11" s="228">
        <f>IF(AND(251&gt;=$NR$11,251&lt;=$NS$11),IF($NP$11="Single_Point",IF(251=$NR$11,$NN$11,0),IF($NP$11="Bell_Curve",$NN$11*(251-$NR$11+1)*($NS$11-251+1)/$NU$11,$NN$11/$NT$11)),0)</f>
        <v/>
      </c>
      <c r="IV11" s="228">
        <f>IF(AND(252&gt;=$NR$11,252&lt;=$NS$11),IF($NP$11="Single_Point",IF(252=$NR$11,$NN$11,0),IF($NP$11="Bell_Curve",$NN$11*(252-$NR$11+1)*($NS$11-252+1)/$NU$11,$NN$11/$NT$11)),0)</f>
        <v/>
      </c>
      <c r="IW11" s="228">
        <f>IF(AND(253&gt;=$NR$11,253&lt;=$NS$11),IF($NP$11="Single_Point",IF(253=$NR$11,$NN$11,0),IF($NP$11="Bell_Curve",$NN$11*(253-$NR$11+1)*($NS$11-253+1)/$NU$11,$NN$11/$NT$11)),0)</f>
        <v/>
      </c>
      <c r="IX11" s="228">
        <f>IF(AND(254&gt;=$NR$11,254&lt;=$NS$11),IF($NP$11="Single_Point",IF(254=$NR$11,$NN$11,0),IF($NP$11="Bell_Curve",$NN$11*(254-$NR$11+1)*($NS$11-254+1)/$NU$11,$NN$11/$NT$11)),0)</f>
        <v/>
      </c>
      <c r="IY11" s="228">
        <f>IF(AND(255&gt;=$NR$11,255&lt;=$NS$11),IF($NP$11="Single_Point",IF(255=$NR$11,$NN$11,0),IF($NP$11="Bell_Curve",$NN$11*(255-$NR$11+1)*($NS$11-255+1)/$NU$11,$NN$11/$NT$11)),0)</f>
        <v/>
      </c>
      <c r="IZ11" s="228">
        <f>IF(AND(256&gt;=$NR$11,256&lt;=$NS$11),IF($NP$11="Single_Point",IF(256=$NR$11,$NN$11,0),IF($NP$11="Bell_Curve",$NN$11*(256-$NR$11+1)*($NS$11-256+1)/$NU$11,$NN$11/$NT$11)),0)</f>
        <v/>
      </c>
      <c r="JA11" s="228">
        <f>IF(AND(257&gt;=$NR$11,257&lt;=$NS$11),IF($NP$11="Single_Point",IF(257=$NR$11,$NN$11,0),IF($NP$11="Bell_Curve",$NN$11*(257-$NR$11+1)*($NS$11-257+1)/$NU$11,$NN$11/$NT$11)),0)</f>
        <v/>
      </c>
      <c r="JB11" s="228">
        <f>IF(AND(258&gt;=$NR$11,258&lt;=$NS$11),IF($NP$11="Single_Point",IF(258=$NR$11,$NN$11,0),IF($NP$11="Bell_Curve",$NN$11*(258-$NR$11+1)*($NS$11-258+1)/$NU$11,$NN$11/$NT$11)),0)</f>
        <v/>
      </c>
      <c r="JC11" s="228">
        <f>IF(AND(259&gt;=$NR$11,259&lt;=$NS$11),IF($NP$11="Single_Point",IF(259=$NR$11,$NN$11,0),IF($NP$11="Bell_Curve",$NN$11*(259-$NR$11+1)*($NS$11-259+1)/$NU$11,$NN$11/$NT$11)),0)</f>
        <v/>
      </c>
      <c r="JD11" s="228">
        <f>IF(AND(260&gt;=$NR$11,260&lt;=$NS$11),IF($NP$11="Single_Point",IF(260=$NR$11,$NN$11,0),IF($NP$11="Bell_Curve",$NN$11*(260-$NR$11+1)*($NS$11-260+1)/$NU$11,$NN$11/$NT$11)),0)</f>
        <v/>
      </c>
      <c r="JE11" s="228">
        <f>IF(AND(261&gt;=$NR$11,261&lt;=$NS$11),IF($NP$11="Single_Point",IF(261=$NR$11,$NN$11,0),IF($NP$11="Bell_Curve",$NN$11*(261-$NR$11+1)*($NS$11-261+1)/$NU$11,$NN$11/$NT$11)),0)</f>
        <v/>
      </c>
      <c r="JF11" s="228">
        <f>IF(AND(262&gt;=$NR$11,262&lt;=$NS$11),IF($NP$11="Single_Point",IF(262=$NR$11,$NN$11,0),IF($NP$11="Bell_Curve",$NN$11*(262-$NR$11+1)*($NS$11-262+1)/$NU$11,$NN$11/$NT$11)),0)</f>
        <v/>
      </c>
      <c r="JG11" s="228">
        <f>IF(AND(263&gt;=$NR$11,263&lt;=$NS$11),IF($NP$11="Single_Point",IF(263=$NR$11,$NN$11,0),IF($NP$11="Bell_Curve",$NN$11*(263-$NR$11+1)*($NS$11-263+1)/$NU$11,$NN$11/$NT$11)),0)</f>
        <v/>
      </c>
      <c r="JH11" s="228">
        <f>IF(AND(264&gt;=$NR$11,264&lt;=$NS$11),IF($NP$11="Single_Point",IF(264=$NR$11,$NN$11,0),IF($NP$11="Bell_Curve",$NN$11*(264-$NR$11+1)*($NS$11-264+1)/$NU$11,$NN$11/$NT$11)),0)</f>
        <v/>
      </c>
      <c r="JI11" s="228">
        <f>IF(AND(265&gt;=$NR$11,265&lt;=$NS$11),IF($NP$11="Single_Point",IF(265=$NR$11,$NN$11,0),IF($NP$11="Bell_Curve",$NN$11*(265-$NR$11+1)*($NS$11-265+1)/$NU$11,$NN$11/$NT$11)),0)</f>
        <v/>
      </c>
      <c r="JJ11" s="228">
        <f>IF(AND(266&gt;=$NR$11,266&lt;=$NS$11),IF($NP$11="Single_Point",IF(266=$NR$11,$NN$11,0),IF($NP$11="Bell_Curve",$NN$11*(266-$NR$11+1)*($NS$11-266+1)/$NU$11,$NN$11/$NT$11)),0)</f>
        <v/>
      </c>
      <c r="JK11" s="228">
        <f>IF(AND(267&gt;=$NR$11,267&lt;=$NS$11),IF($NP$11="Single_Point",IF(267=$NR$11,$NN$11,0),IF($NP$11="Bell_Curve",$NN$11*(267-$NR$11+1)*($NS$11-267+1)/$NU$11,$NN$11/$NT$11)),0)</f>
        <v/>
      </c>
      <c r="JL11" s="228">
        <f>IF(AND(268&gt;=$NR$11,268&lt;=$NS$11),IF($NP$11="Single_Point",IF(268=$NR$11,$NN$11,0),IF($NP$11="Bell_Curve",$NN$11*(268-$NR$11+1)*($NS$11-268+1)/$NU$11,$NN$11/$NT$11)),0)</f>
        <v/>
      </c>
      <c r="JM11" s="228">
        <f>IF(AND(269&gt;=$NR$11,269&lt;=$NS$11),IF($NP$11="Single_Point",IF(269=$NR$11,$NN$11,0),IF($NP$11="Bell_Curve",$NN$11*(269-$NR$11+1)*($NS$11-269+1)/$NU$11,$NN$11/$NT$11)),0)</f>
        <v/>
      </c>
      <c r="JN11" s="228">
        <f>IF(AND(270&gt;=$NR$11,270&lt;=$NS$11),IF($NP$11="Single_Point",IF(270=$NR$11,$NN$11,0),IF($NP$11="Bell_Curve",$NN$11*(270-$NR$11+1)*($NS$11-270+1)/$NU$11,$NN$11/$NT$11)),0)</f>
        <v/>
      </c>
      <c r="JO11" s="228">
        <f>IF(AND(271&gt;=$NR$11,271&lt;=$NS$11),IF($NP$11="Single_Point",IF(271=$NR$11,$NN$11,0),IF($NP$11="Bell_Curve",$NN$11*(271-$NR$11+1)*($NS$11-271+1)/$NU$11,$NN$11/$NT$11)),0)</f>
        <v/>
      </c>
      <c r="JP11" s="228">
        <f>IF(AND(272&gt;=$NR$11,272&lt;=$NS$11),IF($NP$11="Single_Point",IF(272=$NR$11,$NN$11,0),IF($NP$11="Bell_Curve",$NN$11*(272-$NR$11+1)*($NS$11-272+1)/$NU$11,$NN$11/$NT$11)),0)</f>
        <v/>
      </c>
      <c r="JQ11" s="228">
        <f>IF(AND(273&gt;=$NR$11,273&lt;=$NS$11),IF($NP$11="Single_Point",IF(273=$NR$11,$NN$11,0),IF($NP$11="Bell_Curve",$NN$11*(273-$NR$11+1)*($NS$11-273+1)/$NU$11,$NN$11/$NT$11)),0)</f>
        <v/>
      </c>
      <c r="JR11" s="228">
        <f>IF(AND(274&gt;=$NR$11,274&lt;=$NS$11),IF($NP$11="Single_Point",IF(274=$NR$11,$NN$11,0),IF($NP$11="Bell_Curve",$NN$11*(274-$NR$11+1)*($NS$11-274+1)/$NU$11,$NN$11/$NT$11)),0)</f>
        <v/>
      </c>
      <c r="JS11" s="228">
        <f>IF(AND(275&gt;=$NR$11,275&lt;=$NS$11),IF($NP$11="Single_Point",IF(275=$NR$11,$NN$11,0),IF($NP$11="Bell_Curve",$NN$11*(275-$NR$11+1)*($NS$11-275+1)/$NU$11,$NN$11/$NT$11)),0)</f>
        <v/>
      </c>
      <c r="JT11" s="228">
        <f>IF(AND(276&gt;=$NR$11,276&lt;=$NS$11),IF($NP$11="Single_Point",IF(276=$NR$11,$NN$11,0),IF($NP$11="Bell_Curve",$NN$11*(276-$NR$11+1)*($NS$11-276+1)/$NU$11,$NN$11/$NT$11)),0)</f>
        <v/>
      </c>
      <c r="JU11" s="228">
        <f>IF(AND(277&gt;=$NR$11,277&lt;=$NS$11),IF($NP$11="Single_Point",IF(277=$NR$11,$NN$11,0),IF($NP$11="Bell_Curve",$NN$11*(277-$NR$11+1)*($NS$11-277+1)/$NU$11,$NN$11/$NT$11)),0)</f>
        <v/>
      </c>
      <c r="JV11" s="228">
        <f>IF(AND(278&gt;=$NR$11,278&lt;=$NS$11),IF($NP$11="Single_Point",IF(278=$NR$11,$NN$11,0),IF($NP$11="Bell_Curve",$NN$11*(278-$NR$11+1)*($NS$11-278+1)/$NU$11,$NN$11/$NT$11)),0)</f>
        <v/>
      </c>
      <c r="JW11" s="228">
        <f>IF(AND(279&gt;=$NR$11,279&lt;=$NS$11),IF($NP$11="Single_Point",IF(279=$NR$11,$NN$11,0),IF($NP$11="Bell_Curve",$NN$11*(279-$NR$11+1)*($NS$11-279+1)/$NU$11,$NN$11/$NT$11)),0)</f>
        <v/>
      </c>
      <c r="JX11" s="228">
        <f>IF(AND(280&gt;=$NR$11,280&lt;=$NS$11),IF($NP$11="Single_Point",IF(280=$NR$11,$NN$11,0),IF($NP$11="Bell_Curve",$NN$11*(280-$NR$11+1)*($NS$11-280+1)/$NU$11,$NN$11/$NT$11)),0)</f>
        <v/>
      </c>
      <c r="JY11" s="228">
        <f>IF(AND(281&gt;=$NR$11,281&lt;=$NS$11),IF($NP$11="Single_Point",IF(281=$NR$11,$NN$11,0),IF($NP$11="Bell_Curve",$NN$11*(281-$NR$11+1)*($NS$11-281+1)/$NU$11,$NN$11/$NT$11)),0)</f>
        <v/>
      </c>
      <c r="JZ11" s="228">
        <f>IF(AND(282&gt;=$NR$11,282&lt;=$NS$11),IF($NP$11="Single_Point",IF(282=$NR$11,$NN$11,0),IF($NP$11="Bell_Curve",$NN$11*(282-$NR$11+1)*($NS$11-282+1)/$NU$11,$NN$11/$NT$11)),0)</f>
        <v/>
      </c>
      <c r="KA11" s="228">
        <f>IF(AND(283&gt;=$NR$11,283&lt;=$NS$11),IF($NP$11="Single_Point",IF(283=$NR$11,$NN$11,0),IF($NP$11="Bell_Curve",$NN$11*(283-$NR$11+1)*($NS$11-283+1)/$NU$11,$NN$11/$NT$11)),0)</f>
        <v/>
      </c>
      <c r="KB11" s="228">
        <f>IF(AND(284&gt;=$NR$11,284&lt;=$NS$11),IF($NP$11="Single_Point",IF(284=$NR$11,$NN$11,0),IF($NP$11="Bell_Curve",$NN$11*(284-$NR$11+1)*($NS$11-284+1)/$NU$11,$NN$11/$NT$11)),0)</f>
        <v/>
      </c>
      <c r="KC11" s="228">
        <f>IF(AND(285&gt;=$NR$11,285&lt;=$NS$11),IF($NP$11="Single_Point",IF(285=$NR$11,$NN$11,0),IF($NP$11="Bell_Curve",$NN$11*(285-$NR$11+1)*($NS$11-285+1)/$NU$11,$NN$11/$NT$11)),0)</f>
        <v/>
      </c>
      <c r="KD11" s="228">
        <f>IF(AND(286&gt;=$NR$11,286&lt;=$NS$11),IF($NP$11="Single_Point",IF(286=$NR$11,$NN$11,0),IF($NP$11="Bell_Curve",$NN$11*(286-$NR$11+1)*($NS$11-286+1)/$NU$11,$NN$11/$NT$11)),0)</f>
        <v/>
      </c>
      <c r="KE11" s="228">
        <f>IF(AND(287&gt;=$NR$11,287&lt;=$NS$11),IF($NP$11="Single_Point",IF(287=$NR$11,$NN$11,0),IF($NP$11="Bell_Curve",$NN$11*(287-$NR$11+1)*($NS$11-287+1)/$NU$11,$NN$11/$NT$11)),0)</f>
        <v/>
      </c>
      <c r="KF11" s="228">
        <f>IF(AND(288&gt;=$NR$11,288&lt;=$NS$11),IF($NP$11="Single_Point",IF(288=$NR$11,$NN$11,0),IF($NP$11="Bell_Curve",$NN$11*(288-$NR$11+1)*($NS$11-288+1)/$NU$11,$NN$11/$NT$11)),0)</f>
        <v/>
      </c>
      <c r="KG11" s="228">
        <f>IF(AND(289&gt;=$NR$11,289&lt;=$NS$11),IF($NP$11="Single_Point",IF(289=$NR$11,$NN$11,0),IF($NP$11="Bell_Curve",$NN$11*(289-$NR$11+1)*($NS$11-289+1)/$NU$11,$NN$11/$NT$11)),0)</f>
        <v/>
      </c>
      <c r="KH11" s="228">
        <f>IF(AND(290&gt;=$NR$11,290&lt;=$NS$11),IF($NP$11="Single_Point",IF(290=$NR$11,$NN$11,0),IF($NP$11="Bell_Curve",$NN$11*(290-$NR$11+1)*($NS$11-290+1)/$NU$11,$NN$11/$NT$11)),0)</f>
        <v/>
      </c>
      <c r="KI11" s="228">
        <f>IF(AND(291&gt;=$NR$11,291&lt;=$NS$11),IF($NP$11="Single_Point",IF(291=$NR$11,$NN$11,0),IF($NP$11="Bell_Curve",$NN$11*(291-$NR$11+1)*($NS$11-291+1)/$NU$11,$NN$11/$NT$11)),0)</f>
        <v/>
      </c>
      <c r="KJ11" s="228">
        <f>IF(AND(292&gt;=$NR$11,292&lt;=$NS$11),IF($NP$11="Single_Point",IF(292=$NR$11,$NN$11,0),IF($NP$11="Bell_Curve",$NN$11*(292-$NR$11+1)*($NS$11-292+1)/$NU$11,$NN$11/$NT$11)),0)</f>
        <v/>
      </c>
      <c r="KK11" s="228">
        <f>IF(AND(293&gt;=$NR$11,293&lt;=$NS$11),IF($NP$11="Single_Point",IF(293=$NR$11,$NN$11,0),IF($NP$11="Bell_Curve",$NN$11*(293-$NR$11+1)*($NS$11-293+1)/$NU$11,$NN$11/$NT$11)),0)</f>
        <v/>
      </c>
      <c r="KL11" s="228">
        <f>IF(AND(294&gt;=$NR$11,294&lt;=$NS$11),IF($NP$11="Single_Point",IF(294=$NR$11,$NN$11,0),IF($NP$11="Bell_Curve",$NN$11*(294-$NR$11+1)*($NS$11-294+1)/$NU$11,$NN$11/$NT$11)),0)</f>
        <v/>
      </c>
      <c r="KM11" s="228">
        <f>IF(AND(295&gt;=$NR$11,295&lt;=$NS$11),IF($NP$11="Single_Point",IF(295=$NR$11,$NN$11,0),IF($NP$11="Bell_Curve",$NN$11*(295-$NR$11+1)*($NS$11-295+1)/$NU$11,$NN$11/$NT$11)),0)</f>
        <v/>
      </c>
      <c r="KN11" s="228">
        <f>IF(AND(296&gt;=$NR$11,296&lt;=$NS$11),IF($NP$11="Single_Point",IF(296=$NR$11,$NN$11,0),IF($NP$11="Bell_Curve",$NN$11*(296-$NR$11+1)*($NS$11-296+1)/$NU$11,$NN$11/$NT$11)),0)</f>
        <v/>
      </c>
      <c r="KO11" s="228">
        <f>IF(AND(297&gt;=$NR$11,297&lt;=$NS$11),IF($NP$11="Single_Point",IF(297=$NR$11,$NN$11,0),IF($NP$11="Bell_Curve",$NN$11*(297-$NR$11+1)*($NS$11-297+1)/$NU$11,$NN$11/$NT$11)),0)</f>
        <v/>
      </c>
      <c r="KP11" s="228">
        <f>IF(AND(298&gt;=$NR$11,298&lt;=$NS$11),IF($NP$11="Single_Point",IF(298=$NR$11,$NN$11,0),IF($NP$11="Bell_Curve",$NN$11*(298-$NR$11+1)*($NS$11-298+1)/$NU$11,$NN$11/$NT$11)),0)</f>
        <v/>
      </c>
      <c r="KQ11" s="228">
        <f>IF(AND(299&gt;=$NR$11,299&lt;=$NS$11),IF($NP$11="Single_Point",IF(299=$NR$11,$NN$11,0),IF($NP$11="Bell_Curve",$NN$11*(299-$NR$11+1)*($NS$11-299+1)/$NU$11,$NN$11/$NT$11)),0)</f>
        <v/>
      </c>
      <c r="KR11" s="228">
        <f>IF(AND(300&gt;=$NR$11,300&lt;=$NS$11),IF($NP$11="Single_Point",IF(300=$NR$11,$NN$11,0),IF($NP$11="Bell_Curve",$NN$11*(300-$NR$11+1)*($NS$11-300+1)/$NU$11,$NN$11/$NT$11)),0)</f>
        <v/>
      </c>
      <c r="KS11" s="228">
        <f>IF(AND(301&gt;=$NR$11,301&lt;=$NS$11),IF($NP$11="Single_Point",IF(301=$NR$11,$NN$11,0),IF($NP$11="Bell_Curve",$NN$11*(301-$NR$11+1)*($NS$11-301+1)/$NU$11,$NN$11/$NT$11)),0)</f>
        <v/>
      </c>
      <c r="KT11" s="228">
        <f>IF(AND(302&gt;=$NR$11,302&lt;=$NS$11),IF($NP$11="Single_Point",IF(302=$NR$11,$NN$11,0),IF($NP$11="Bell_Curve",$NN$11*(302-$NR$11+1)*($NS$11-302+1)/$NU$11,$NN$11/$NT$11)),0)</f>
        <v/>
      </c>
      <c r="KU11" s="228">
        <f>IF(AND(303&gt;=$NR$11,303&lt;=$NS$11),IF($NP$11="Single_Point",IF(303=$NR$11,$NN$11,0),IF($NP$11="Bell_Curve",$NN$11*(303-$NR$11+1)*($NS$11-303+1)/$NU$11,$NN$11/$NT$11)),0)</f>
        <v/>
      </c>
      <c r="KV11" s="228">
        <f>IF(AND(304&gt;=$NR$11,304&lt;=$NS$11),IF($NP$11="Single_Point",IF(304=$NR$11,$NN$11,0),IF($NP$11="Bell_Curve",$NN$11*(304-$NR$11+1)*($NS$11-304+1)/$NU$11,$NN$11/$NT$11)),0)</f>
        <v/>
      </c>
      <c r="KW11" s="228">
        <f>IF(AND(305&gt;=$NR$11,305&lt;=$NS$11),IF($NP$11="Single_Point",IF(305=$NR$11,$NN$11,0),IF($NP$11="Bell_Curve",$NN$11*(305-$NR$11+1)*($NS$11-305+1)/$NU$11,$NN$11/$NT$11)),0)</f>
        <v/>
      </c>
      <c r="KX11" s="228">
        <f>IF(AND(306&gt;=$NR$11,306&lt;=$NS$11),IF($NP$11="Single_Point",IF(306=$NR$11,$NN$11,0),IF($NP$11="Bell_Curve",$NN$11*(306-$NR$11+1)*($NS$11-306+1)/$NU$11,$NN$11/$NT$11)),0)</f>
        <v/>
      </c>
      <c r="KY11" s="228">
        <f>IF(AND(307&gt;=$NR$11,307&lt;=$NS$11),IF($NP$11="Single_Point",IF(307=$NR$11,$NN$11,0),IF($NP$11="Bell_Curve",$NN$11*(307-$NR$11+1)*($NS$11-307+1)/$NU$11,$NN$11/$NT$11)),0)</f>
        <v/>
      </c>
      <c r="KZ11" s="228">
        <f>IF(AND(308&gt;=$NR$11,308&lt;=$NS$11),IF($NP$11="Single_Point",IF(308=$NR$11,$NN$11,0),IF($NP$11="Bell_Curve",$NN$11*(308-$NR$11+1)*($NS$11-308+1)/$NU$11,$NN$11/$NT$11)),0)</f>
        <v/>
      </c>
      <c r="LA11" s="228">
        <f>IF(AND(309&gt;=$NR$11,309&lt;=$NS$11),IF($NP$11="Single_Point",IF(309=$NR$11,$NN$11,0),IF($NP$11="Bell_Curve",$NN$11*(309-$NR$11+1)*($NS$11-309+1)/$NU$11,$NN$11/$NT$11)),0)</f>
        <v/>
      </c>
      <c r="LB11" s="228">
        <f>IF(AND(310&gt;=$NR$11,310&lt;=$NS$11),IF($NP$11="Single_Point",IF(310=$NR$11,$NN$11,0),IF($NP$11="Bell_Curve",$NN$11*(310-$NR$11+1)*($NS$11-310+1)/$NU$11,$NN$11/$NT$11)),0)</f>
        <v/>
      </c>
      <c r="LC11" s="228">
        <f>IF(AND(311&gt;=$NR$11,311&lt;=$NS$11),IF($NP$11="Single_Point",IF(311=$NR$11,$NN$11,0),IF($NP$11="Bell_Curve",$NN$11*(311-$NR$11+1)*($NS$11-311+1)/$NU$11,$NN$11/$NT$11)),0)</f>
        <v/>
      </c>
      <c r="LD11" s="228">
        <f>IF(AND(312&gt;=$NR$11,312&lt;=$NS$11),IF($NP$11="Single_Point",IF(312=$NR$11,$NN$11,0),IF($NP$11="Bell_Curve",$NN$11*(312-$NR$11+1)*($NS$11-312+1)/$NU$11,$NN$11/$NT$11)),0)</f>
        <v/>
      </c>
      <c r="LE11" s="228">
        <f>IF(AND(313&gt;=$NR$11,313&lt;=$NS$11),IF($NP$11="Single_Point",IF(313=$NR$11,$NN$11,0),IF($NP$11="Bell_Curve",$NN$11*(313-$NR$11+1)*($NS$11-313+1)/$NU$11,$NN$11/$NT$11)),0)</f>
        <v/>
      </c>
      <c r="LF11" s="228">
        <f>IF(AND(314&gt;=$NR$11,314&lt;=$NS$11),IF($NP$11="Single_Point",IF(314=$NR$11,$NN$11,0),IF($NP$11="Bell_Curve",$NN$11*(314-$NR$11+1)*($NS$11-314+1)/$NU$11,$NN$11/$NT$11)),0)</f>
        <v/>
      </c>
      <c r="LG11" s="228">
        <f>IF(AND(315&gt;=$NR$11,315&lt;=$NS$11),IF($NP$11="Single_Point",IF(315=$NR$11,$NN$11,0),IF($NP$11="Bell_Curve",$NN$11*(315-$NR$11+1)*($NS$11-315+1)/$NU$11,$NN$11/$NT$11)),0)</f>
        <v/>
      </c>
      <c r="LH11" s="228">
        <f>IF(AND(316&gt;=$NR$11,316&lt;=$NS$11),IF($NP$11="Single_Point",IF(316=$NR$11,$NN$11,0),IF($NP$11="Bell_Curve",$NN$11*(316-$NR$11+1)*($NS$11-316+1)/$NU$11,$NN$11/$NT$11)),0)</f>
        <v/>
      </c>
      <c r="LI11" s="228">
        <f>IF(AND(317&gt;=$NR$11,317&lt;=$NS$11),IF($NP$11="Single_Point",IF(317=$NR$11,$NN$11,0),IF($NP$11="Bell_Curve",$NN$11*(317-$NR$11+1)*($NS$11-317+1)/$NU$11,$NN$11/$NT$11)),0)</f>
        <v/>
      </c>
      <c r="LJ11" s="228">
        <f>IF(AND(318&gt;=$NR$11,318&lt;=$NS$11),IF($NP$11="Single_Point",IF(318=$NR$11,$NN$11,0),IF($NP$11="Bell_Curve",$NN$11*(318-$NR$11+1)*($NS$11-318+1)/$NU$11,$NN$11/$NT$11)),0)</f>
        <v/>
      </c>
      <c r="LK11" s="228">
        <f>IF(AND(319&gt;=$NR$11,319&lt;=$NS$11),IF($NP$11="Single_Point",IF(319=$NR$11,$NN$11,0),IF($NP$11="Bell_Curve",$NN$11*(319-$NR$11+1)*($NS$11-319+1)/$NU$11,$NN$11/$NT$11)),0)</f>
        <v/>
      </c>
      <c r="LL11" s="228">
        <f>IF(AND(320&gt;=$NR$11,320&lt;=$NS$11),IF($NP$11="Single_Point",IF(320=$NR$11,$NN$11,0),IF($NP$11="Bell_Curve",$NN$11*(320-$NR$11+1)*($NS$11-320+1)/$NU$11,$NN$11/$NT$11)),0)</f>
        <v/>
      </c>
      <c r="LM11" s="228">
        <f>IF(AND(321&gt;=$NR$11,321&lt;=$NS$11),IF($NP$11="Single_Point",IF(321=$NR$11,$NN$11,0),IF($NP$11="Bell_Curve",$NN$11*(321-$NR$11+1)*($NS$11-321+1)/$NU$11,$NN$11/$NT$11)),0)</f>
        <v/>
      </c>
      <c r="LN11" s="228">
        <f>IF(AND(322&gt;=$NR$11,322&lt;=$NS$11),IF($NP$11="Single_Point",IF(322=$NR$11,$NN$11,0),IF($NP$11="Bell_Curve",$NN$11*(322-$NR$11+1)*($NS$11-322+1)/$NU$11,$NN$11/$NT$11)),0)</f>
        <v/>
      </c>
      <c r="LO11" s="228">
        <f>IF(AND(323&gt;=$NR$11,323&lt;=$NS$11),IF($NP$11="Single_Point",IF(323=$NR$11,$NN$11,0),IF($NP$11="Bell_Curve",$NN$11*(323-$NR$11+1)*($NS$11-323+1)/$NU$11,$NN$11/$NT$11)),0)</f>
        <v/>
      </c>
      <c r="LP11" s="228">
        <f>IF(AND(324&gt;=$NR$11,324&lt;=$NS$11),IF($NP$11="Single_Point",IF(324=$NR$11,$NN$11,0),IF($NP$11="Bell_Curve",$NN$11*(324-$NR$11+1)*($NS$11-324+1)/$NU$11,$NN$11/$NT$11)),0)</f>
        <v/>
      </c>
      <c r="LQ11" s="228">
        <f>IF(AND(325&gt;=$NR$11,325&lt;=$NS$11),IF($NP$11="Single_Point",IF(325=$NR$11,$NN$11,0),IF($NP$11="Bell_Curve",$NN$11*(325-$NR$11+1)*($NS$11-325+1)/$NU$11,$NN$11/$NT$11)),0)</f>
        <v/>
      </c>
      <c r="LR11" s="228">
        <f>IF(AND(326&gt;=$NR$11,326&lt;=$NS$11),IF($NP$11="Single_Point",IF(326=$NR$11,$NN$11,0),IF($NP$11="Bell_Curve",$NN$11*(326-$NR$11+1)*($NS$11-326+1)/$NU$11,$NN$11/$NT$11)),0)</f>
        <v/>
      </c>
      <c r="LS11" s="228">
        <f>IF(AND(327&gt;=$NR$11,327&lt;=$NS$11),IF($NP$11="Single_Point",IF(327=$NR$11,$NN$11,0),IF($NP$11="Bell_Curve",$NN$11*(327-$NR$11+1)*($NS$11-327+1)/$NU$11,$NN$11/$NT$11)),0)</f>
        <v/>
      </c>
      <c r="LT11" s="228">
        <f>IF(AND(328&gt;=$NR$11,328&lt;=$NS$11),IF($NP$11="Single_Point",IF(328=$NR$11,$NN$11,0),IF($NP$11="Bell_Curve",$NN$11*(328-$NR$11+1)*($NS$11-328+1)/$NU$11,$NN$11/$NT$11)),0)</f>
        <v/>
      </c>
      <c r="LU11" s="228">
        <f>IF(AND(329&gt;=$NR$11,329&lt;=$NS$11),IF($NP$11="Single_Point",IF(329=$NR$11,$NN$11,0),IF($NP$11="Bell_Curve",$NN$11*(329-$NR$11+1)*($NS$11-329+1)/$NU$11,$NN$11/$NT$11)),0)</f>
        <v/>
      </c>
      <c r="LV11" s="228">
        <f>IF(AND(330&gt;=$NR$11,330&lt;=$NS$11),IF($NP$11="Single_Point",IF(330=$NR$11,$NN$11,0),IF($NP$11="Bell_Curve",$NN$11*(330-$NR$11+1)*($NS$11-330+1)/$NU$11,$NN$11/$NT$11)),0)</f>
        <v/>
      </c>
      <c r="LW11" s="228">
        <f>IF(AND(331&gt;=$NR$11,331&lt;=$NS$11),IF($NP$11="Single_Point",IF(331=$NR$11,$NN$11,0),IF($NP$11="Bell_Curve",$NN$11*(331-$NR$11+1)*($NS$11-331+1)/$NU$11,$NN$11/$NT$11)),0)</f>
        <v/>
      </c>
      <c r="LX11" s="228">
        <f>IF(AND(332&gt;=$NR$11,332&lt;=$NS$11),IF($NP$11="Single_Point",IF(332=$NR$11,$NN$11,0),IF($NP$11="Bell_Curve",$NN$11*(332-$NR$11+1)*($NS$11-332+1)/$NU$11,$NN$11/$NT$11)),0)</f>
        <v/>
      </c>
      <c r="LY11" s="228">
        <f>IF(AND(333&gt;=$NR$11,333&lt;=$NS$11),IF($NP$11="Single_Point",IF(333=$NR$11,$NN$11,0),IF($NP$11="Bell_Curve",$NN$11*(333-$NR$11+1)*($NS$11-333+1)/$NU$11,$NN$11/$NT$11)),0)</f>
        <v/>
      </c>
      <c r="LZ11" s="228">
        <f>IF(AND(334&gt;=$NR$11,334&lt;=$NS$11),IF($NP$11="Single_Point",IF(334=$NR$11,$NN$11,0),IF($NP$11="Bell_Curve",$NN$11*(334-$NR$11+1)*($NS$11-334+1)/$NU$11,$NN$11/$NT$11)),0)</f>
        <v/>
      </c>
      <c r="MA11" s="228">
        <f>IF(AND(335&gt;=$NR$11,335&lt;=$NS$11),IF($NP$11="Single_Point",IF(335=$NR$11,$NN$11,0),IF($NP$11="Bell_Curve",$NN$11*(335-$NR$11+1)*($NS$11-335+1)/$NU$11,$NN$11/$NT$11)),0)</f>
        <v/>
      </c>
      <c r="MB11" s="228">
        <f>IF(AND(336&gt;=$NR$11,336&lt;=$NS$11),IF($NP$11="Single_Point",IF(336=$NR$11,$NN$11,0),IF($NP$11="Bell_Curve",$NN$11*(336-$NR$11+1)*($NS$11-336+1)/$NU$11,$NN$11/$NT$11)),0)</f>
        <v/>
      </c>
      <c r="MC11" s="228">
        <f>IF(AND(337&gt;=$NR$11,337&lt;=$NS$11),IF($NP$11="Single_Point",IF(337=$NR$11,$NN$11,0),IF($NP$11="Bell_Curve",$NN$11*(337-$NR$11+1)*($NS$11-337+1)/$NU$11,$NN$11/$NT$11)),0)</f>
        <v/>
      </c>
      <c r="MD11" s="228">
        <f>IF(AND(338&gt;=$NR$11,338&lt;=$NS$11),IF($NP$11="Single_Point",IF(338=$NR$11,$NN$11,0),IF($NP$11="Bell_Curve",$NN$11*(338-$NR$11+1)*($NS$11-338+1)/$NU$11,$NN$11/$NT$11)),0)</f>
        <v/>
      </c>
      <c r="ME11" s="228">
        <f>IF(AND(339&gt;=$NR$11,339&lt;=$NS$11),IF($NP$11="Single_Point",IF(339=$NR$11,$NN$11,0),IF($NP$11="Bell_Curve",$NN$11*(339-$NR$11+1)*($NS$11-339+1)/$NU$11,$NN$11/$NT$11)),0)</f>
        <v/>
      </c>
      <c r="MF11" s="228">
        <f>IF(AND(340&gt;=$NR$11,340&lt;=$NS$11),IF($NP$11="Single_Point",IF(340=$NR$11,$NN$11,0),IF($NP$11="Bell_Curve",$NN$11*(340-$NR$11+1)*($NS$11-340+1)/$NU$11,$NN$11/$NT$11)),0)</f>
        <v/>
      </c>
      <c r="MG11" s="228">
        <f>IF(AND(341&gt;=$NR$11,341&lt;=$NS$11),IF($NP$11="Single_Point",IF(341=$NR$11,$NN$11,0),IF($NP$11="Bell_Curve",$NN$11*(341-$NR$11+1)*($NS$11-341+1)/$NU$11,$NN$11/$NT$11)),0)</f>
        <v/>
      </c>
      <c r="MH11" s="228">
        <f>IF(AND(342&gt;=$NR$11,342&lt;=$NS$11),IF($NP$11="Single_Point",IF(342=$NR$11,$NN$11,0),IF($NP$11="Bell_Curve",$NN$11*(342-$NR$11+1)*($NS$11-342+1)/$NU$11,$NN$11/$NT$11)),0)</f>
        <v/>
      </c>
      <c r="MI11" s="228">
        <f>IF(AND(343&gt;=$NR$11,343&lt;=$NS$11),IF($NP$11="Single_Point",IF(343=$NR$11,$NN$11,0),IF($NP$11="Bell_Curve",$NN$11*(343-$NR$11+1)*($NS$11-343+1)/$NU$11,$NN$11/$NT$11)),0)</f>
        <v/>
      </c>
      <c r="MJ11" s="228">
        <f>IF(AND(344&gt;=$NR$11,344&lt;=$NS$11),IF($NP$11="Single_Point",IF(344=$NR$11,$NN$11,0),IF($NP$11="Bell_Curve",$NN$11*(344-$NR$11+1)*($NS$11-344+1)/$NU$11,$NN$11/$NT$11)),0)</f>
        <v/>
      </c>
      <c r="MK11" s="228">
        <f>IF(AND(345&gt;=$NR$11,345&lt;=$NS$11),IF($NP$11="Single_Point",IF(345=$NR$11,$NN$11,0),IF($NP$11="Bell_Curve",$NN$11*(345-$NR$11+1)*($NS$11-345+1)/$NU$11,$NN$11/$NT$11)),0)</f>
        <v/>
      </c>
      <c r="ML11" s="228">
        <f>IF(AND(346&gt;=$NR$11,346&lt;=$NS$11),IF($NP$11="Single_Point",IF(346=$NR$11,$NN$11,0),IF($NP$11="Bell_Curve",$NN$11*(346-$NR$11+1)*($NS$11-346+1)/$NU$11,$NN$11/$NT$11)),0)</f>
        <v/>
      </c>
      <c r="MM11" s="228">
        <f>IF(AND(347&gt;=$NR$11,347&lt;=$NS$11),IF($NP$11="Single_Point",IF(347=$NR$11,$NN$11,0),IF($NP$11="Bell_Curve",$NN$11*(347-$NR$11+1)*($NS$11-347+1)/$NU$11,$NN$11/$NT$11)),0)</f>
        <v/>
      </c>
      <c r="MN11" s="228">
        <f>IF(AND(348&gt;=$NR$11,348&lt;=$NS$11),IF($NP$11="Single_Point",IF(348=$NR$11,$NN$11,0),IF($NP$11="Bell_Curve",$NN$11*(348-$NR$11+1)*($NS$11-348+1)/$NU$11,$NN$11/$NT$11)),0)</f>
        <v/>
      </c>
      <c r="MO11" s="228">
        <f>IF(AND(349&gt;=$NR$11,349&lt;=$NS$11),IF($NP$11="Single_Point",IF(349=$NR$11,$NN$11,0),IF($NP$11="Bell_Curve",$NN$11*(349-$NR$11+1)*($NS$11-349+1)/$NU$11,$NN$11/$NT$11)),0)</f>
        <v/>
      </c>
      <c r="MP11" s="228">
        <f>IF(AND(350&gt;=$NR$11,350&lt;=$NS$11),IF($NP$11="Single_Point",IF(350=$NR$11,$NN$11,0),IF($NP$11="Bell_Curve",$NN$11*(350-$NR$11+1)*($NS$11-350+1)/$NU$11,$NN$11/$NT$11)),0)</f>
        <v/>
      </c>
      <c r="MQ11" s="228">
        <f>IF(AND(351&gt;=$NR$11,351&lt;=$NS$11),IF($NP$11="Single_Point",IF(351=$NR$11,$NN$11,0),IF($NP$11="Bell_Curve",$NN$11*(351-$NR$11+1)*($NS$11-351+1)/$NU$11,$NN$11/$NT$11)),0)</f>
        <v/>
      </c>
      <c r="MR11" s="228">
        <f>IF(AND(352&gt;=$NR$11,352&lt;=$NS$11),IF($NP$11="Single_Point",IF(352=$NR$11,$NN$11,0),IF($NP$11="Bell_Curve",$NN$11*(352-$NR$11+1)*($NS$11-352+1)/$NU$11,$NN$11/$NT$11)),0)</f>
        <v/>
      </c>
      <c r="MS11" s="228">
        <f>IF(AND(353&gt;=$NR$11,353&lt;=$NS$11),IF($NP$11="Single_Point",IF(353=$NR$11,$NN$11,0),IF($NP$11="Bell_Curve",$NN$11*(353-$NR$11+1)*($NS$11-353+1)/$NU$11,$NN$11/$NT$11)),0)</f>
        <v/>
      </c>
      <c r="MT11" s="228">
        <f>IF(AND(354&gt;=$NR$11,354&lt;=$NS$11),IF($NP$11="Single_Point",IF(354=$NR$11,$NN$11,0),IF($NP$11="Bell_Curve",$NN$11*(354-$NR$11+1)*($NS$11-354+1)/$NU$11,$NN$11/$NT$11)),0)</f>
        <v/>
      </c>
      <c r="MU11" s="228">
        <f>IF(AND(355&gt;=$NR$11,355&lt;=$NS$11),IF($NP$11="Single_Point",IF(355=$NR$11,$NN$11,0),IF($NP$11="Bell_Curve",$NN$11*(355-$NR$11+1)*($NS$11-355+1)/$NU$11,$NN$11/$NT$11)),0)</f>
        <v/>
      </c>
      <c r="MV11" s="228">
        <f>IF(AND(356&gt;=$NR$11,356&lt;=$NS$11),IF($NP$11="Single_Point",IF(356=$NR$11,$NN$11,0),IF($NP$11="Bell_Curve",$NN$11*(356-$NR$11+1)*($NS$11-356+1)/$NU$11,$NN$11/$NT$11)),0)</f>
        <v/>
      </c>
      <c r="MW11" s="228">
        <f>IF(AND(357&gt;=$NR$11,357&lt;=$NS$11),IF($NP$11="Single_Point",IF(357=$NR$11,$NN$11,0),IF($NP$11="Bell_Curve",$NN$11*(357-$NR$11+1)*($NS$11-357+1)/$NU$11,$NN$11/$NT$11)),0)</f>
        <v/>
      </c>
      <c r="MX11" s="228">
        <f>IF(AND(358&gt;=$NR$11,358&lt;=$NS$11),IF($NP$11="Single_Point",IF(358=$NR$11,$NN$11,0),IF($NP$11="Bell_Curve",$NN$11*(358-$NR$11+1)*($NS$11-358+1)/$NU$11,$NN$11/$NT$11)),0)</f>
        <v/>
      </c>
      <c r="MY11" s="228">
        <f>IF(AND(359&gt;=$NR$11,359&lt;=$NS$11),IF($NP$11="Single_Point",IF(359=$NR$11,$NN$11,0),IF($NP$11="Bell_Curve",$NN$11*(359-$NR$11+1)*($NS$11-359+1)/$NU$11,$NN$11/$NT$11)),0)</f>
        <v/>
      </c>
      <c r="MZ11" s="228">
        <f>IF(AND(360&gt;=$NR$11,360&lt;=$NS$11),IF($NP$11="Single_Point",IF(360=$NR$11,$NN$11,0),IF($NP$11="Bell_Curve",$NN$11*(360-$NR$11+1)*($NS$11-360+1)/$NU$11,$NN$11/$NT$11)),0)</f>
        <v/>
      </c>
      <c r="NA11" s="228">
        <f>IF(AND(361&gt;=$NR$11,361&lt;=$NS$11),IF($NP$11="Single_Point",IF(361=$NR$11,$NN$11,0),IF($NP$11="Bell_Curve",$NN$11*(361-$NR$11+1)*($NS$11-361+1)/$NU$11,$NN$11/$NT$11)),0)</f>
        <v/>
      </c>
      <c r="NB11" s="228">
        <f>IF(AND(362&gt;=$NR$11,362&lt;=$NS$11),IF($NP$11="Single_Point",IF(362=$NR$11,$NN$11,0),IF($NP$11="Bell_Curve",$NN$11*(362-$NR$11+1)*($NS$11-362+1)/$NU$11,$NN$11/$NT$11)),0)</f>
        <v/>
      </c>
      <c r="NC11" s="228">
        <f>IF(AND(363&gt;=$NR$11,363&lt;=$NS$11),IF($NP$11="Single_Point",IF(363=$NR$11,$NN$11,0),IF($NP$11="Bell_Curve",$NN$11*(363-$NR$11+1)*($NS$11-363+1)/$NU$11,$NN$11/$NT$11)),0)</f>
        <v/>
      </c>
      <c r="ND11" s="228">
        <f>IF(AND(364&gt;=$NR$11,364&lt;=$NS$11),IF($NP$11="Single_Point",IF(364=$NR$11,$NN$11,0),IF($NP$11="Bell_Curve",$NN$11*(364-$NR$11+1)*($NS$11-364+1)/$NU$11,$NN$11/$NT$11)),0)</f>
        <v/>
      </c>
      <c r="NE11" s="228">
        <f>IF(AND(365&gt;=$NR$11,365&lt;=$NS$11),IF($NP$11="Single_Point",IF(365=$NR$11,$NN$11,0),IF($NP$11="Bell_Curve",$NN$11*(365-$NR$11+1)*($NS$11-365+1)/$NU$11,$NN$11/$NT$11)),0)</f>
        <v/>
      </c>
      <c r="NF11" s="228">
        <f>IF(AND(366&gt;=$NR$11,366&lt;=$NS$11),IF($NP$11="Single_Point",IF(366=$NR$11,$NN$11,0),IF($NP$11="Bell_Curve",$NN$11*(366-$NR$11+1)*($NS$11-366+1)/$NU$11,$NN$11/$NT$11)),0)</f>
        <v/>
      </c>
      <c r="NG11" s="228">
        <f>IF(AND(367&gt;=$NR$11,367&lt;=$NS$11),IF($NP$11="Single_Point",IF(367=$NR$11,$NN$11,0),IF($NP$11="Bell_Curve",$NN$11*(367-$NR$11+1)*($NS$11-367+1)/$NU$11,$NN$11/$NT$11)),0)</f>
        <v/>
      </c>
      <c r="NH11" s="228">
        <f>IF(AND(368&gt;=$NR$11,368&lt;=$NS$11),IF($NP$11="Single_Point",IF(368=$NR$11,$NN$11,0),IF($NP$11="Bell_Curve",$NN$11*(368-$NR$11+1)*($NS$11-368+1)/$NU$11,$NN$11/$NT$11)),0)</f>
        <v/>
      </c>
      <c r="NI11" s="228">
        <f>IF(AND(369&gt;=$NR$11,369&lt;=$NS$11),IF($NP$11="Single_Point",IF(369=$NR$11,$NN$11,0),IF($NP$11="Bell_Curve",$NN$11*(369-$NR$11+1)*($NS$11-369+1)/$NU$11,$NN$11/$NT$11)),0)</f>
        <v/>
      </c>
      <c r="NJ11" s="228">
        <f>IF(AND(370&gt;=$NR$11,370&lt;=$NS$11),IF($NP$11="Single_Point",IF(370=$NR$11,$NN$11,0),IF($NP$11="Bell_Curve",$NN$11*(370-$NR$11+1)*($NS$11-370+1)/$NU$11,$NN$11/$NT$11)),0)</f>
        <v/>
      </c>
      <c r="NK11" s="228">
        <f>IF(AND(371&gt;=$NR$11,371&lt;=$NS$11),IF($NP$11="Single_Point",IF(371=$NR$11,$NN$11,0),IF($NP$11="Bell_Curve",$NN$11*(371-$NR$11+1)*($NS$11-371+1)/$NU$11,$NN$11/$NT$11)),0)</f>
        <v/>
      </c>
      <c r="NL11" s="247">
        <f>IF(AND(372&gt;=$NR$11,372&lt;=$NS$11),IF($NP$11="Single_Point",IF(372=$NR$11,$NN$11,0),IF($NP$11="Bell_Curve",$NN$11*(372-$NR$11+1)*($NS$11-372+1)/$NU$11,$NN$11/$NT$11)),0)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36" t="inlineStr">
        <is>
          <t>Legal &amp; Org.</t>
        </is>
      </c>
      <c r="D12" s="246">
        <f>SUM(E12:NL12)</f>
        <v/>
      </c>
      <c r="E12" s="228">
        <f>IF(AND(1&gt;=$NR$12,1&lt;=$NS$12),IF($NP$12="Single_Point",IF(1=$NR$12,$NN$12,0),IF($NP$12="Bell_Curve",$NN$12*(1-$NR$12+1)*($NS$12-1+1)/$NU$12,$NN$12/$NT$12)),0)</f>
        <v/>
      </c>
      <c r="F12" s="228">
        <f>IF(AND(2&gt;=$NR$12,2&lt;=$NS$12),IF($NP$12="Single_Point",IF(2=$NR$12,$NN$12,0),IF($NP$12="Bell_Curve",$NN$12*(2-$NR$12+1)*($NS$12-2+1)/$NU$12,$NN$12/$NT$12)),0)</f>
        <v/>
      </c>
      <c r="G12" s="228">
        <f>IF(AND(3&gt;=$NR$12,3&lt;=$NS$12),IF($NP$12="Single_Point",IF(3=$NR$12,$NN$12,0),IF($NP$12="Bell_Curve",$NN$12*(3-$NR$12+1)*($NS$12-3+1)/$NU$12,$NN$12/$NT$12)),0)</f>
        <v/>
      </c>
      <c r="H12" s="228">
        <f>IF(AND(4&gt;=$NR$12,4&lt;=$NS$12),IF($NP$12="Single_Point",IF(4=$NR$12,$NN$12,0),IF($NP$12="Bell_Curve",$NN$12*(4-$NR$12+1)*($NS$12-4+1)/$NU$12,$NN$12/$NT$12)),0)</f>
        <v/>
      </c>
      <c r="I12" s="228">
        <f>IF(AND(5&gt;=$NR$12,5&lt;=$NS$12),IF($NP$12="Single_Point",IF(5=$NR$12,$NN$12,0),IF($NP$12="Bell_Curve",$NN$12*(5-$NR$12+1)*($NS$12-5+1)/$NU$12,$NN$12/$NT$12)),0)</f>
        <v/>
      </c>
      <c r="J12" s="228">
        <f>IF(AND(6&gt;=$NR$12,6&lt;=$NS$12),IF($NP$12="Single_Point",IF(6=$NR$12,$NN$12,0),IF($NP$12="Bell_Curve",$NN$12*(6-$NR$12+1)*($NS$12-6+1)/$NU$12,$NN$12/$NT$12)),0)</f>
        <v/>
      </c>
      <c r="K12" s="228">
        <f>IF(AND(7&gt;=$NR$12,7&lt;=$NS$12),IF($NP$12="Single_Point",IF(7=$NR$12,$NN$12,0),IF($NP$12="Bell_Curve",$NN$12*(7-$NR$12+1)*($NS$12-7+1)/$NU$12,$NN$12/$NT$12)),0)</f>
        <v/>
      </c>
      <c r="L12" s="228">
        <f>IF(AND(8&gt;=$NR$12,8&lt;=$NS$12),IF($NP$12="Single_Point",IF(8=$NR$12,$NN$12,0),IF($NP$12="Bell_Curve",$NN$12*(8-$NR$12+1)*($NS$12-8+1)/$NU$12,$NN$12/$NT$12)),0)</f>
        <v/>
      </c>
      <c r="M12" s="228">
        <f>IF(AND(9&gt;=$NR$12,9&lt;=$NS$12),IF($NP$12="Single_Point",IF(9=$NR$12,$NN$12,0),IF($NP$12="Bell_Curve",$NN$12*(9-$NR$12+1)*($NS$12-9+1)/$NU$12,$NN$12/$NT$12)),0)</f>
        <v/>
      </c>
      <c r="N12" s="228">
        <f>IF(AND(10&gt;=$NR$12,10&lt;=$NS$12),IF($NP$12="Single_Point",IF(10=$NR$12,$NN$12,0),IF($NP$12="Bell_Curve",$NN$12*(10-$NR$12+1)*($NS$12-10+1)/$NU$12,$NN$12/$NT$12)),0)</f>
        <v/>
      </c>
      <c r="O12" s="228">
        <f>IF(AND(11&gt;=$NR$12,11&lt;=$NS$12),IF($NP$12="Single_Point",IF(11=$NR$12,$NN$12,0),IF($NP$12="Bell_Curve",$NN$12*(11-$NR$12+1)*($NS$12-11+1)/$NU$12,$NN$12/$NT$12)),0)</f>
        <v/>
      </c>
      <c r="P12" s="228">
        <f>IF(AND(12&gt;=$NR$12,12&lt;=$NS$12),IF($NP$12="Single_Point",IF(12=$NR$12,$NN$12,0),IF($NP$12="Bell_Curve",$NN$12*(12-$NR$12+1)*($NS$12-12+1)/$NU$12,$NN$12/$NT$12)),0)</f>
        <v/>
      </c>
      <c r="Q12" s="228">
        <f>IF(AND(13&gt;=$NR$12,13&lt;=$NS$12),IF($NP$12="Single_Point",IF(13=$NR$12,$NN$12,0),IF($NP$12="Bell_Curve",$NN$12*(13-$NR$12+1)*($NS$12-13+1)/$NU$12,$NN$12/$NT$12)),0)</f>
        <v/>
      </c>
      <c r="R12" s="228">
        <f>IF(AND(14&gt;=$NR$12,14&lt;=$NS$12),IF($NP$12="Single_Point",IF(14=$NR$12,$NN$12,0),IF($NP$12="Bell_Curve",$NN$12*(14-$NR$12+1)*($NS$12-14+1)/$NU$12,$NN$12/$NT$12)),0)</f>
        <v/>
      </c>
      <c r="S12" s="228">
        <f>IF(AND(15&gt;=$NR$12,15&lt;=$NS$12),IF($NP$12="Single_Point",IF(15=$NR$12,$NN$12,0),IF($NP$12="Bell_Curve",$NN$12*(15-$NR$12+1)*($NS$12-15+1)/$NU$12,$NN$12/$NT$12)),0)</f>
        <v/>
      </c>
      <c r="T12" s="228">
        <f>IF(AND(16&gt;=$NR$12,16&lt;=$NS$12),IF($NP$12="Single_Point",IF(16=$NR$12,$NN$12,0),IF($NP$12="Bell_Curve",$NN$12*(16-$NR$12+1)*($NS$12-16+1)/$NU$12,$NN$12/$NT$12)),0)</f>
        <v/>
      </c>
      <c r="U12" s="228">
        <f>IF(AND(17&gt;=$NR$12,17&lt;=$NS$12),IF($NP$12="Single_Point",IF(17=$NR$12,$NN$12,0),IF($NP$12="Bell_Curve",$NN$12*(17-$NR$12+1)*($NS$12-17+1)/$NU$12,$NN$12/$NT$12)),0)</f>
        <v/>
      </c>
      <c r="V12" s="228">
        <f>IF(AND(18&gt;=$NR$12,18&lt;=$NS$12),IF($NP$12="Single_Point",IF(18=$NR$12,$NN$12,0),IF($NP$12="Bell_Curve",$NN$12*(18-$NR$12+1)*($NS$12-18+1)/$NU$12,$NN$12/$NT$12)),0)</f>
        <v/>
      </c>
      <c r="W12" s="228">
        <f>IF(AND(19&gt;=$NR$12,19&lt;=$NS$12),IF($NP$12="Single_Point",IF(19=$NR$12,$NN$12,0),IF($NP$12="Bell_Curve",$NN$12*(19-$NR$12+1)*($NS$12-19+1)/$NU$12,$NN$12/$NT$12)),0)</f>
        <v/>
      </c>
      <c r="X12" s="228">
        <f>IF(AND(20&gt;=$NR$12,20&lt;=$NS$12),IF($NP$12="Single_Point",IF(20=$NR$12,$NN$12,0),IF($NP$12="Bell_Curve",$NN$12*(20-$NR$12+1)*($NS$12-20+1)/$NU$12,$NN$12/$NT$12)),0)</f>
        <v/>
      </c>
      <c r="Y12" s="228">
        <f>IF(AND(21&gt;=$NR$12,21&lt;=$NS$12),IF($NP$12="Single_Point",IF(21=$NR$12,$NN$12,0),IF($NP$12="Bell_Curve",$NN$12*(21-$NR$12+1)*($NS$12-21+1)/$NU$12,$NN$12/$NT$12)),0)</f>
        <v/>
      </c>
      <c r="Z12" s="228">
        <f>IF(AND(22&gt;=$NR$12,22&lt;=$NS$12),IF($NP$12="Single_Point",IF(22=$NR$12,$NN$12,0),IF($NP$12="Bell_Curve",$NN$12*(22-$NR$12+1)*($NS$12-22+1)/$NU$12,$NN$12/$NT$12)),0)</f>
        <v/>
      </c>
      <c r="AA12" s="228">
        <f>IF(AND(23&gt;=$NR$12,23&lt;=$NS$12),IF($NP$12="Single_Point",IF(23=$NR$12,$NN$12,0),IF($NP$12="Bell_Curve",$NN$12*(23-$NR$12+1)*($NS$12-23+1)/$NU$12,$NN$12/$NT$12)),0)</f>
        <v/>
      </c>
      <c r="AB12" s="228">
        <f>IF(AND(24&gt;=$NR$12,24&lt;=$NS$12),IF($NP$12="Single_Point",IF(24=$NR$12,$NN$12,0),IF($NP$12="Bell_Curve",$NN$12*(24-$NR$12+1)*($NS$12-24+1)/$NU$12,$NN$12/$NT$12)),0)</f>
        <v/>
      </c>
      <c r="AC12" s="228">
        <f>IF(AND(25&gt;=$NR$12,25&lt;=$NS$12),IF($NP$12="Single_Point",IF(25=$NR$12,$NN$12,0),IF($NP$12="Bell_Curve",$NN$12*(25-$NR$12+1)*($NS$12-25+1)/$NU$12,$NN$12/$NT$12)),0)</f>
        <v/>
      </c>
      <c r="AD12" s="228">
        <f>IF(AND(26&gt;=$NR$12,26&lt;=$NS$12),IF($NP$12="Single_Point",IF(26=$NR$12,$NN$12,0),IF($NP$12="Bell_Curve",$NN$12*(26-$NR$12+1)*($NS$12-26+1)/$NU$12,$NN$12/$NT$12)),0)</f>
        <v/>
      </c>
      <c r="AE12" s="228">
        <f>IF(AND(27&gt;=$NR$12,27&lt;=$NS$12),IF($NP$12="Single_Point",IF(27=$NR$12,$NN$12,0),IF($NP$12="Bell_Curve",$NN$12*(27-$NR$12+1)*($NS$12-27+1)/$NU$12,$NN$12/$NT$12)),0)</f>
        <v/>
      </c>
      <c r="AF12" s="228">
        <f>IF(AND(28&gt;=$NR$12,28&lt;=$NS$12),IF($NP$12="Single_Point",IF(28=$NR$12,$NN$12,0),IF($NP$12="Bell_Curve",$NN$12*(28-$NR$12+1)*($NS$12-28+1)/$NU$12,$NN$12/$NT$12)),0)</f>
        <v/>
      </c>
      <c r="AG12" s="228">
        <f>IF(AND(29&gt;=$NR$12,29&lt;=$NS$12),IF($NP$12="Single_Point",IF(29=$NR$12,$NN$12,0),IF($NP$12="Bell_Curve",$NN$12*(29-$NR$12+1)*($NS$12-29+1)/$NU$12,$NN$12/$NT$12)),0)</f>
        <v/>
      </c>
      <c r="AH12" s="228">
        <f>IF(AND(30&gt;=$NR$12,30&lt;=$NS$12),IF($NP$12="Single_Point",IF(30=$NR$12,$NN$12,0),IF($NP$12="Bell_Curve",$NN$12*(30-$NR$12+1)*($NS$12-30+1)/$NU$12,$NN$12/$NT$12)),0)</f>
        <v/>
      </c>
      <c r="AI12" s="228">
        <f>IF(AND(31&gt;=$NR$12,31&lt;=$NS$12),IF($NP$12="Single_Point",IF(31=$NR$12,$NN$12,0),IF($NP$12="Bell_Curve",$NN$12*(31-$NR$12+1)*($NS$12-31+1)/$NU$12,$NN$12/$NT$12)),0)</f>
        <v/>
      </c>
      <c r="AJ12" s="228">
        <f>IF(AND(32&gt;=$NR$12,32&lt;=$NS$12),IF($NP$12="Single_Point",IF(32=$NR$12,$NN$12,0),IF($NP$12="Bell_Curve",$NN$12*(32-$NR$12+1)*($NS$12-32+1)/$NU$12,$NN$12/$NT$12)),0)</f>
        <v/>
      </c>
      <c r="AK12" s="228">
        <f>IF(AND(33&gt;=$NR$12,33&lt;=$NS$12),IF($NP$12="Single_Point",IF(33=$NR$12,$NN$12,0),IF($NP$12="Bell_Curve",$NN$12*(33-$NR$12+1)*($NS$12-33+1)/$NU$12,$NN$12/$NT$12)),0)</f>
        <v/>
      </c>
      <c r="AL12" s="228">
        <f>IF(AND(34&gt;=$NR$12,34&lt;=$NS$12),IF($NP$12="Single_Point",IF(34=$NR$12,$NN$12,0),IF($NP$12="Bell_Curve",$NN$12*(34-$NR$12+1)*($NS$12-34+1)/$NU$12,$NN$12/$NT$12)),0)</f>
        <v/>
      </c>
      <c r="AM12" s="228">
        <f>IF(AND(35&gt;=$NR$12,35&lt;=$NS$12),IF($NP$12="Single_Point",IF(35=$NR$12,$NN$12,0),IF($NP$12="Bell_Curve",$NN$12*(35-$NR$12+1)*($NS$12-35+1)/$NU$12,$NN$12/$NT$12)),0)</f>
        <v/>
      </c>
      <c r="AN12" s="228">
        <f>IF(AND(36&gt;=$NR$12,36&lt;=$NS$12),IF($NP$12="Single_Point",IF(36=$NR$12,$NN$12,0),IF($NP$12="Bell_Curve",$NN$12*(36-$NR$12+1)*($NS$12-36+1)/$NU$12,$NN$12/$NT$12)),0)</f>
        <v/>
      </c>
      <c r="AO12" s="228">
        <f>IF(AND(37&gt;=$NR$12,37&lt;=$NS$12),IF($NP$12="Single_Point",IF(37=$NR$12,$NN$12,0),IF($NP$12="Bell_Curve",$NN$12*(37-$NR$12+1)*($NS$12-37+1)/$NU$12,$NN$12/$NT$12)),0)</f>
        <v/>
      </c>
      <c r="AP12" s="228">
        <f>IF(AND(38&gt;=$NR$12,38&lt;=$NS$12),IF($NP$12="Single_Point",IF(38=$NR$12,$NN$12,0),IF($NP$12="Bell_Curve",$NN$12*(38-$NR$12+1)*($NS$12-38+1)/$NU$12,$NN$12/$NT$12)),0)</f>
        <v/>
      </c>
      <c r="AQ12" s="228">
        <f>IF(AND(39&gt;=$NR$12,39&lt;=$NS$12),IF($NP$12="Single_Point",IF(39=$NR$12,$NN$12,0),IF($NP$12="Bell_Curve",$NN$12*(39-$NR$12+1)*($NS$12-39+1)/$NU$12,$NN$12/$NT$12)),0)</f>
        <v/>
      </c>
      <c r="AR12" s="228">
        <f>IF(AND(40&gt;=$NR$12,40&lt;=$NS$12),IF($NP$12="Single_Point",IF(40=$NR$12,$NN$12,0),IF($NP$12="Bell_Curve",$NN$12*(40-$NR$12+1)*($NS$12-40+1)/$NU$12,$NN$12/$NT$12)),0)</f>
        <v/>
      </c>
      <c r="AS12" s="228">
        <f>IF(AND(41&gt;=$NR$12,41&lt;=$NS$12),IF($NP$12="Single_Point",IF(41=$NR$12,$NN$12,0),IF($NP$12="Bell_Curve",$NN$12*(41-$NR$12+1)*($NS$12-41+1)/$NU$12,$NN$12/$NT$12)),0)</f>
        <v/>
      </c>
      <c r="AT12" s="228">
        <f>IF(AND(42&gt;=$NR$12,42&lt;=$NS$12),IF($NP$12="Single_Point",IF(42=$NR$12,$NN$12,0),IF($NP$12="Bell_Curve",$NN$12*(42-$NR$12+1)*($NS$12-42+1)/$NU$12,$NN$12/$NT$12)),0)</f>
        <v/>
      </c>
      <c r="AU12" s="228">
        <f>IF(AND(43&gt;=$NR$12,43&lt;=$NS$12),IF($NP$12="Single_Point",IF(43=$NR$12,$NN$12,0),IF($NP$12="Bell_Curve",$NN$12*(43-$NR$12+1)*($NS$12-43+1)/$NU$12,$NN$12/$NT$12)),0)</f>
        <v/>
      </c>
      <c r="AV12" s="228">
        <f>IF(AND(44&gt;=$NR$12,44&lt;=$NS$12),IF($NP$12="Single_Point",IF(44=$NR$12,$NN$12,0),IF($NP$12="Bell_Curve",$NN$12*(44-$NR$12+1)*($NS$12-44+1)/$NU$12,$NN$12/$NT$12)),0)</f>
        <v/>
      </c>
      <c r="AW12" s="228">
        <f>IF(AND(45&gt;=$NR$12,45&lt;=$NS$12),IF($NP$12="Single_Point",IF(45=$NR$12,$NN$12,0),IF($NP$12="Bell_Curve",$NN$12*(45-$NR$12+1)*($NS$12-45+1)/$NU$12,$NN$12/$NT$12)),0)</f>
        <v/>
      </c>
      <c r="AX12" s="228">
        <f>IF(AND(46&gt;=$NR$12,46&lt;=$NS$12),IF($NP$12="Single_Point",IF(46=$NR$12,$NN$12,0),IF($NP$12="Bell_Curve",$NN$12*(46-$NR$12+1)*($NS$12-46+1)/$NU$12,$NN$12/$NT$12)),0)</f>
        <v/>
      </c>
      <c r="AY12" s="228">
        <f>IF(AND(47&gt;=$NR$12,47&lt;=$NS$12),IF($NP$12="Single_Point",IF(47=$NR$12,$NN$12,0),IF($NP$12="Bell_Curve",$NN$12*(47-$NR$12+1)*($NS$12-47+1)/$NU$12,$NN$12/$NT$12)),0)</f>
        <v/>
      </c>
      <c r="AZ12" s="228">
        <f>IF(AND(48&gt;=$NR$12,48&lt;=$NS$12),IF($NP$12="Single_Point",IF(48=$NR$12,$NN$12,0),IF($NP$12="Bell_Curve",$NN$12*(48-$NR$12+1)*($NS$12-48+1)/$NU$12,$NN$12/$NT$12)),0)</f>
        <v/>
      </c>
      <c r="BA12" s="228">
        <f>IF(AND(49&gt;=$NR$12,49&lt;=$NS$12),IF($NP$12="Single_Point",IF(49=$NR$12,$NN$12,0),IF($NP$12="Bell_Curve",$NN$12*(49-$NR$12+1)*($NS$12-49+1)/$NU$12,$NN$12/$NT$12)),0)</f>
        <v/>
      </c>
      <c r="BB12" s="228">
        <f>IF(AND(50&gt;=$NR$12,50&lt;=$NS$12),IF($NP$12="Single_Point",IF(50=$NR$12,$NN$12,0),IF($NP$12="Bell_Curve",$NN$12*(50-$NR$12+1)*($NS$12-50+1)/$NU$12,$NN$12/$NT$12)),0)</f>
        <v/>
      </c>
      <c r="BC12" s="228">
        <f>IF(AND(51&gt;=$NR$12,51&lt;=$NS$12),IF($NP$12="Single_Point",IF(51=$NR$12,$NN$12,0),IF($NP$12="Bell_Curve",$NN$12*(51-$NR$12+1)*($NS$12-51+1)/$NU$12,$NN$12/$NT$12)),0)</f>
        <v/>
      </c>
      <c r="BD12" s="228">
        <f>IF(AND(52&gt;=$NR$12,52&lt;=$NS$12),IF($NP$12="Single_Point",IF(52=$NR$12,$NN$12,0),IF($NP$12="Bell_Curve",$NN$12*(52-$NR$12+1)*($NS$12-52+1)/$NU$12,$NN$12/$NT$12)),0)</f>
        <v/>
      </c>
      <c r="BE12" s="228">
        <f>IF(AND(53&gt;=$NR$12,53&lt;=$NS$12),IF($NP$12="Single_Point",IF(53=$NR$12,$NN$12,0),IF($NP$12="Bell_Curve",$NN$12*(53-$NR$12+1)*($NS$12-53+1)/$NU$12,$NN$12/$NT$12)),0)</f>
        <v/>
      </c>
      <c r="BF12" s="228">
        <f>IF(AND(54&gt;=$NR$12,54&lt;=$NS$12),IF($NP$12="Single_Point",IF(54=$NR$12,$NN$12,0),IF($NP$12="Bell_Curve",$NN$12*(54-$NR$12+1)*($NS$12-54+1)/$NU$12,$NN$12/$NT$12)),0)</f>
        <v/>
      </c>
      <c r="BG12" s="228">
        <f>IF(AND(55&gt;=$NR$12,55&lt;=$NS$12),IF($NP$12="Single_Point",IF(55=$NR$12,$NN$12,0),IF($NP$12="Bell_Curve",$NN$12*(55-$NR$12+1)*($NS$12-55+1)/$NU$12,$NN$12/$NT$12)),0)</f>
        <v/>
      </c>
      <c r="BH12" s="228">
        <f>IF(AND(56&gt;=$NR$12,56&lt;=$NS$12),IF($NP$12="Single_Point",IF(56=$NR$12,$NN$12,0),IF($NP$12="Bell_Curve",$NN$12*(56-$NR$12+1)*($NS$12-56+1)/$NU$12,$NN$12/$NT$12)),0)</f>
        <v/>
      </c>
      <c r="BI12" s="228">
        <f>IF(AND(57&gt;=$NR$12,57&lt;=$NS$12),IF($NP$12="Single_Point",IF(57=$NR$12,$NN$12,0),IF($NP$12="Bell_Curve",$NN$12*(57-$NR$12+1)*($NS$12-57+1)/$NU$12,$NN$12/$NT$12)),0)</f>
        <v/>
      </c>
      <c r="BJ12" s="228">
        <f>IF(AND(58&gt;=$NR$12,58&lt;=$NS$12),IF($NP$12="Single_Point",IF(58=$NR$12,$NN$12,0),IF($NP$12="Bell_Curve",$NN$12*(58-$NR$12+1)*($NS$12-58+1)/$NU$12,$NN$12/$NT$12)),0)</f>
        <v/>
      </c>
      <c r="BK12" s="228">
        <f>IF(AND(59&gt;=$NR$12,59&lt;=$NS$12),IF($NP$12="Single_Point",IF(59=$NR$12,$NN$12,0),IF($NP$12="Bell_Curve",$NN$12*(59-$NR$12+1)*($NS$12-59+1)/$NU$12,$NN$12/$NT$12)),0)</f>
        <v/>
      </c>
      <c r="BL12" s="228">
        <f>IF(AND(60&gt;=$NR$12,60&lt;=$NS$12),IF($NP$12="Single_Point",IF(60=$NR$12,$NN$12,0),IF($NP$12="Bell_Curve",$NN$12*(60-$NR$12+1)*($NS$12-60+1)/$NU$12,$NN$12/$NT$12)),0)</f>
        <v/>
      </c>
      <c r="BM12" s="228">
        <f>IF(AND(61&gt;=$NR$12,61&lt;=$NS$12),IF($NP$12="Single_Point",IF(61=$NR$12,$NN$12,0),IF($NP$12="Bell_Curve",$NN$12*(61-$NR$12+1)*($NS$12-61+1)/$NU$12,$NN$12/$NT$12)),0)</f>
        <v/>
      </c>
      <c r="BN12" s="228">
        <f>IF(AND(62&gt;=$NR$12,62&lt;=$NS$12),IF($NP$12="Single_Point",IF(62=$NR$12,$NN$12,0),IF($NP$12="Bell_Curve",$NN$12*(62-$NR$12+1)*($NS$12-62+1)/$NU$12,$NN$12/$NT$12)),0)</f>
        <v/>
      </c>
      <c r="BO12" s="228">
        <f>IF(AND(63&gt;=$NR$12,63&lt;=$NS$12),IF($NP$12="Single_Point",IF(63=$NR$12,$NN$12,0),IF($NP$12="Bell_Curve",$NN$12*(63-$NR$12+1)*($NS$12-63+1)/$NU$12,$NN$12/$NT$12)),0)</f>
        <v/>
      </c>
      <c r="BP12" s="228">
        <f>IF(AND(64&gt;=$NR$12,64&lt;=$NS$12),IF($NP$12="Single_Point",IF(64=$NR$12,$NN$12,0),IF($NP$12="Bell_Curve",$NN$12*(64-$NR$12+1)*($NS$12-64+1)/$NU$12,$NN$12/$NT$12)),0)</f>
        <v/>
      </c>
      <c r="BQ12" s="228">
        <f>IF(AND(65&gt;=$NR$12,65&lt;=$NS$12),IF($NP$12="Single_Point",IF(65=$NR$12,$NN$12,0),IF($NP$12="Bell_Curve",$NN$12*(65-$NR$12+1)*($NS$12-65+1)/$NU$12,$NN$12/$NT$12)),0)</f>
        <v/>
      </c>
      <c r="BR12" s="228">
        <f>IF(AND(66&gt;=$NR$12,66&lt;=$NS$12),IF($NP$12="Single_Point",IF(66=$NR$12,$NN$12,0),IF($NP$12="Bell_Curve",$NN$12*(66-$NR$12+1)*($NS$12-66+1)/$NU$12,$NN$12/$NT$12)),0)</f>
        <v/>
      </c>
      <c r="BS12" s="228">
        <f>IF(AND(67&gt;=$NR$12,67&lt;=$NS$12),IF($NP$12="Single_Point",IF(67=$NR$12,$NN$12,0),IF($NP$12="Bell_Curve",$NN$12*(67-$NR$12+1)*($NS$12-67+1)/$NU$12,$NN$12/$NT$12)),0)</f>
        <v/>
      </c>
      <c r="BT12" s="228">
        <f>IF(AND(68&gt;=$NR$12,68&lt;=$NS$12),IF($NP$12="Single_Point",IF(68=$NR$12,$NN$12,0),IF($NP$12="Bell_Curve",$NN$12*(68-$NR$12+1)*($NS$12-68+1)/$NU$12,$NN$12/$NT$12)),0)</f>
        <v/>
      </c>
      <c r="BU12" s="228">
        <f>IF(AND(69&gt;=$NR$12,69&lt;=$NS$12),IF($NP$12="Single_Point",IF(69=$NR$12,$NN$12,0),IF($NP$12="Bell_Curve",$NN$12*(69-$NR$12+1)*($NS$12-69+1)/$NU$12,$NN$12/$NT$12)),0)</f>
        <v/>
      </c>
      <c r="BV12" s="228">
        <f>IF(AND(70&gt;=$NR$12,70&lt;=$NS$12),IF($NP$12="Single_Point",IF(70=$NR$12,$NN$12,0),IF($NP$12="Bell_Curve",$NN$12*(70-$NR$12+1)*($NS$12-70+1)/$NU$12,$NN$12/$NT$12)),0)</f>
        <v/>
      </c>
      <c r="BW12" s="228">
        <f>IF(AND(71&gt;=$NR$12,71&lt;=$NS$12),IF($NP$12="Single_Point",IF(71=$NR$12,$NN$12,0),IF($NP$12="Bell_Curve",$NN$12*(71-$NR$12+1)*($NS$12-71+1)/$NU$12,$NN$12/$NT$12)),0)</f>
        <v/>
      </c>
      <c r="BX12" s="228">
        <f>IF(AND(72&gt;=$NR$12,72&lt;=$NS$12),IF($NP$12="Single_Point",IF(72=$NR$12,$NN$12,0),IF($NP$12="Bell_Curve",$NN$12*(72-$NR$12+1)*($NS$12-72+1)/$NU$12,$NN$12/$NT$12)),0)</f>
        <v/>
      </c>
      <c r="BY12" s="228">
        <f>IF(AND(73&gt;=$NR$12,73&lt;=$NS$12),IF($NP$12="Single_Point",IF(73=$NR$12,$NN$12,0),IF($NP$12="Bell_Curve",$NN$12*(73-$NR$12+1)*($NS$12-73+1)/$NU$12,$NN$12/$NT$12)),0)</f>
        <v/>
      </c>
      <c r="BZ12" s="228">
        <f>IF(AND(74&gt;=$NR$12,74&lt;=$NS$12),IF($NP$12="Single_Point",IF(74=$NR$12,$NN$12,0),IF($NP$12="Bell_Curve",$NN$12*(74-$NR$12+1)*($NS$12-74+1)/$NU$12,$NN$12/$NT$12)),0)</f>
        <v/>
      </c>
      <c r="CA12" s="228">
        <f>IF(AND(75&gt;=$NR$12,75&lt;=$NS$12),IF($NP$12="Single_Point",IF(75=$NR$12,$NN$12,0),IF($NP$12="Bell_Curve",$NN$12*(75-$NR$12+1)*($NS$12-75+1)/$NU$12,$NN$12/$NT$12)),0)</f>
        <v/>
      </c>
      <c r="CB12" s="228">
        <f>IF(AND(76&gt;=$NR$12,76&lt;=$NS$12),IF($NP$12="Single_Point",IF(76=$NR$12,$NN$12,0),IF($NP$12="Bell_Curve",$NN$12*(76-$NR$12+1)*($NS$12-76+1)/$NU$12,$NN$12/$NT$12)),0)</f>
        <v/>
      </c>
      <c r="CC12" s="228">
        <f>IF(AND(77&gt;=$NR$12,77&lt;=$NS$12),IF($NP$12="Single_Point",IF(77=$NR$12,$NN$12,0),IF($NP$12="Bell_Curve",$NN$12*(77-$NR$12+1)*($NS$12-77+1)/$NU$12,$NN$12/$NT$12)),0)</f>
        <v/>
      </c>
      <c r="CD12" s="228">
        <f>IF(AND(78&gt;=$NR$12,78&lt;=$NS$12),IF($NP$12="Single_Point",IF(78=$NR$12,$NN$12,0),IF($NP$12="Bell_Curve",$NN$12*(78-$NR$12+1)*($NS$12-78+1)/$NU$12,$NN$12/$NT$12)),0)</f>
        <v/>
      </c>
      <c r="CE12" s="228">
        <f>IF(AND(79&gt;=$NR$12,79&lt;=$NS$12),IF($NP$12="Single_Point",IF(79=$NR$12,$NN$12,0),IF($NP$12="Bell_Curve",$NN$12*(79-$NR$12+1)*($NS$12-79+1)/$NU$12,$NN$12/$NT$12)),0)</f>
        <v/>
      </c>
      <c r="CF12" s="228">
        <f>IF(AND(80&gt;=$NR$12,80&lt;=$NS$12),IF($NP$12="Single_Point",IF(80=$NR$12,$NN$12,0),IF($NP$12="Bell_Curve",$NN$12*(80-$NR$12+1)*($NS$12-80+1)/$NU$12,$NN$12/$NT$12)),0)</f>
        <v/>
      </c>
      <c r="CG12" s="228">
        <f>IF(AND(81&gt;=$NR$12,81&lt;=$NS$12),IF($NP$12="Single_Point",IF(81=$NR$12,$NN$12,0),IF($NP$12="Bell_Curve",$NN$12*(81-$NR$12+1)*($NS$12-81+1)/$NU$12,$NN$12/$NT$12)),0)</f>
        <v/>
      </c>
      <c r="CH12" s="228">
        <f>IF(AND(82&gt;=$NR$12,82&lt;=$NS$12),IF($NP$12="Single_Point",IF(82=$NR$12,$NN$12,0),IF($NP$12="Bell_Curve",$NN$12*(82-$NR$12+1)*($NS$12-82+1)/$NU$12,$NN$12/$NT$12)),0)</f>
        <v/>
      </c>
      <c r="CI12" s="228">
        <f>IF(AND(83&gt;=$NR$12,83&lt;=$NS$12),IF($NP$12="Single_Point",IF(83=$NR$12,$NN$12,0),IF($NP$12="Bell_Curve",$NN$12*(83-$NR$12+1)*($NS$12-83+1)/$NU$12,$NN$12/$NT$12)),0)</f>
        <v/>
      </c>
      <c r="CJ12" s="228">
        <f>IF(AND(84&gt;=$NR$12,84&lt;=$NS$12),IF($NP$12="Single_Point",IF(84=$NR$12,$NN$12,0),IF($NP$12="Bell_Curve",$NN$12*(84-$NR$12+1)*($NS$12-84+1)/$NU$12,$NN$12/$NT$12)),0)</f>
        <v/>
      </c>
      <c r="CK12" s="228">
        <f>IF(AND(85&gt;=$NR$12,85&lt;=$NS$12),IF($NP$12="Single_Point",IF(85=$NR$12,$NN$12,0),IF($NP$12="Bell_Curve",$NN$12*(85-$NR$12+1)*($NS$12-85+1)/$NU$12,$NN$12/$NT$12)),0)</f>
        <v/>
      </c>
      <c r="CL12" s="228">
        <f>IF(AND(86&gt;=$NR$12,86&lt;=$NS$12),IF($NP$12="Single_Point",IF(86=$NR$12,$NN$12,0),IF($NP$12="Bell_Curve",$NN$12*(86-$NR$12+1)*($NS$12-86+1)/$NU$12,$NN$12/$NT$12)),0)</f>
        <v/>
      </c>
      <c r="CM12" s="228">
        <f>IF(AND(87&gt;=$NR$12,87&lt;=$NS$12),IF($NP$12="Single_Point",IF(87=$NR$12,$NN$12,0),IF($NP$12="Bell_Curve",$NN$12*(87-$NR$12+1)*($NS$12-87+1)/$NU$12,$NN$12/$NT$12)),0)</f>
        <v/>
      </c>
      <c r="CN12" s="228">
        <f>IF(AND(88&gt;=$NR$12,88&lt;=$NS$12),IF($NP$12="Single_Point",IF(88=$NR$12,$NN$12,0),IF($NP$12="Bell_Curve",$NN$12*(88-$NR$12+1)*($NS$12-88+1)/$NU$12,$NN$12/$NT$12)),0)</f>
        <v/>
      </c>
      <c r="CO12" s="228">
        <f>IF(AND(89&gt;=$NR$12,89&lt;=$NS$12),IF($NP$12="Single_Point",IF(89=$NR$12,$NN$12,0),IF($NP$12="Bell_Curve",$NN$12*(89-$NR$12+1)*($NS$12-89+1)/$NU$12,$NN$12/$NT$12)),0)</f>
        <v/>
      </c>
      <c r="CP12" s="228">
        <f>IF(AND(90&gt;=$NR$12,90&lt;=$NS$12),IF($NP$12="Single_Point",IF(90=$NR$12,$NN$12,0),IF($NP$12="Bell_Curve",$NN$12*(90-$NR$12+1)*($NS$12-90+1)/$NU$12,$NN$12/$NT$12)),0)</f>
        <v/>
      </c>
      <c r="CQ12" s="228">
        <f>IF(AND(91&gt;=$NR$12,91&lt;=$NS$12),IF($NP$12="Single_Point",IF(91=$NR$12,$NN$12,0),IF($NP$12="Bell_Curve",$NN$12*(91-$NR$12+1)*($NS$12-91+1)/$NU$12,$NN$12/$NT$12)),0)</f>
        <v/>
      </c>
      <c r="CR12" s="228">
        <f>IF(AND(92&gt;=$NR$12,92&lt;=$NS$12),IF($NP$12="Single_Point",IF(92=$NR$12,$NN$12,0),IF($NP$12="Bell_Curve",$NN$12*(92-$NR$12+1)*($NS$12-92+1)/$NU$12,$NN$12/$NT$12)),0)</f>
        <v/>
      </c>
      <c r="CS12" s="228">
        <f>IF(AND(93&gt;=$NR$12,93&lt;=$NS$12),IF($NP$12="Single_Point",IF(93=$NR$12,$NN$12,0),IF($NP$12="Bell_Curve",$NN$12*(93-$NR$12+1)*($NS$12-93+1)/$NU$12,$NN$12/$NT$12)),0)</f>
        <v/>
      </c>
      <c r="CT12" s="228">
        <f>IF(AND(94&gt;=$NR$12,94&lt;=$NS$12),IF($NP$12="Single_Point",IF(94=$NR$12,$NN$12,0),IF($NP$12="Bell_Curve",$NN$12*(94-$NR$12+1)*($NS$12-94+1)/$NU$12,$NN$12/$NT$12)),0)</f>
        <v/>
      </c>
      <c r="CU12" s="228">
        <f>IF(AND(95&gt;=$NR$12,95&lt;=$NS$12),IF($NP$12="Single_Point",IF(95=$NR$12,$NN$12,0),IF($NP$12="Bell_Curve",$NN$12*(95-$NR$12+1)*($NS$12-95+1)/$NU$12,$NN$12/$NT$12)),0)</f>
        <v/>
      </c>
      <c r="CV12" s="228">
        <f>IF(AND(96&gt;=$NR$12,96&lt;=$NS$12),IF($NP$12="Single_Point",IF(96=$NR$12,$NN$12,0),IF($NP$12="Bell_Curve",$NN$12*(96-$NR$12+1)*($NS$12-96+1)/$NU$12,$NN$12/$NT$12)),0)</f>
        <v/>
      </c>
      <c r="CW12" s="228">
        <f>IF(AND(97&gt;=$NR$12,97&lt;=$NS$12),IF($NP$12="Single_Point",IF(97=$NR$12,$NN$12,0),IF($NP$12="Bell_Curve",$NN$12*(97-$NR$12+1)*($NS$12-97+1)/$NU$12,$NN$12/$NT$12)),0)</f>
        <v/>
      </c>
      <c r="CX12" s="228">
        <f>IF(AND(98&gt;=$NR$12,98&lt;=$NS$12),IF($NP$12="Single_Point",IF(98=$NR$12,$NN$12,0),IF($NP$12="Bell_Curve",$NN$12*(98-$NR$12+1)*($NS$12-98+1)/$NU$12,$NN$12/$NT$12)),0)</f>
        <v/>
      </c>
      <c r="CY12" s="228">
        <f>IF(AND(99&gt;=$NR$12,99&lt;=$NS$12),IF($NP$12="Single_Point",IF(99=$NR$12,$NN$12,0),IF($NP$12="Bell_Curve",$NN$12*(99-$NR$12+1)*($NS$12-99+1)/$NU$12,$NN$12/$NT$12)),0)</f>
        <v/>
      </c>
      <c r="CZ12" s="228">
        <f>IF(AND(100&gt;=$NR$12,100&lt;=$NS$12),IF($NP$12="Single_Point",IF(100=$NR$12,$NN$12,0),IF($NP$12="Bell_Curve",$NN$12*(100-$NR$12+1)*($NS$12-100+1)/$NU$12,$NN$12/$NT$12)),0)</f>
        <v/>
      </c>
      <c r="DA12" s="228">
        <f>IF(AND(101&gt;=$NR$12,101&lt;=$NS$12),IF($NP$12="Single_Point",IF(101=$NR$12,$NN$12,0),IF($NP$12="Bell_Curve",$NN$12*(101-$NR$12+1)*($NS$12-101+1)/$NU$12,$NN$12/$NT$12)),0)</f>
        <v/>
      </c>
      <c r="DB12" s="228">
        <f>IF(AND(102&gt;=$NR$12,102&lt;=$NS$12),IF($NP$12="Single_Point",IF(102=$NR$12,$NN$12,0),IF($NP$12="Bell_Curve",$NN$12*(102-$NR$12+1)*($NS$12-102+1)/$NU$12,$NN$12/$NT$12)),0)</f>
        <v/>
      </c>
      <c r="DC12" s="228">
        <f>IF(AND(103&gt;=$NR$12,103&lt;=$NS$12),IF($NP$12="Single_Point",IF(103=$NR$12,$NN$12,0),IF($NP$12="Bell_Curve",$NN$12*(103-$NR$12+1)*($NS$12-103+1)/$NU$12,$NN$12/$NT$12)),0)</f>
        <v/>
      </c>
      <c r="DD12" s="228">
        <f>IF(AND(104&gt;=$NR$12,104&lt;=$NS$12),IF($NP$12="Single_Point",IF(104=$NR$12,$NN$12,0),IF($NP$12="Bell_Curve",$NN$12*(104-$NR$12+1)*($NS$12-104+1)/$NU$12,$NN$12/$NT$12)),0)</f>
        <v/>
      </c>
      <c r="DE12" s="228">
        <f>IF(AND(105&gt;=$NR$12,105&lt;=$NS$12),IF($NP$12="Single_Point",IF(105=$NR$12,$NN$12,0),IF($NP$12="Bell_Curve",$NN$12*(105-$NR$12+1)*($NS$12-105+1)/$NU$12,$NN$12/$NT$12)),0)</f>
        <v/>
      </c>
      <c r="DF12" s="228">
        <f>IF(AND(106&gt;=$NR$12,106&lt;=$NS$12),IF($NP$12="Single_Point",IF(106=$NR$12,$NN$12,0),IF($NP$12="Bell_Curve",$NN$12*(106-$NR$12+1)*($NS$12-106+1)/$NU$12,$NN$12/$NT$12)),0)</f>
        <v/>
      </c>
      <c r="DG12" s="228">
        <f>IF(AND(107&gt;=$NR$12,107&lt;=$NS$12),IF($NP$12="Single_Point",IF(107=$NR$12,$NN$12,0),IF($NP$12="Bell_Curve",$NN$12*(107-$NR$12+1)*($NS$12-107+1)/$NU$12,$NN$12/$NT$12)),0)</f>
        <v/>
      </c>
      <c r="DH12" s="228">
        <f>IF(AND(108&gt;=$NR$12,108&lt;=$NS$12),IF($NP$12="Single_Point",IF(108=$NR$12,$NN$12,0),IF($NP$12="Bell_Curve",$NN$12*(108-$NR$12+1)*($NS$12-108+1)/$NU$12,$NN$12/$NT$12)),0)</f>
        <v/>
      </c>
      <c r="DI12" s="228">
        <f>IF(AND(109&gt;=$NR$12,109&lt;=$NS$12),IF($NP$12="Single_Point",IF(109=$NR$12,$NN$12,0),IF($NP$12="Bell_Curve",$NN$12*(109-$NR$12+1)*($NS$12-109+1)/$NU$12,$NN$12/$NT$12)),0)</f>
        <v/>
      </c>
      <c r="DJ12" s="228">
        <f>IF(AND(110&gt;=$NR$12,110&lt;=$NS$12),IF($NP$12="Single_Point",IF(110=$NR$12,$NN$12,0),IF($NP$12="Bell_Curve",$NN$12*(110-$NR$12+1)*($NS$12-110+1)/$NU$12,$NN$12/$NT$12)),0)</f>
        <v/>
      </c>
      <c r="DK12" s="228">
        <f>IF(AND(111&gt;=$NR$12,111&lt;=$NS$12),IF($NP$12="Single_Point",IF(111=$NR$12,$NN$12,0),IF($NP$12="Bell_Curve",$NN$12*(111-$NR$12+1)*($NS$12-111+1)/$NU$12,$NN$12/$NT$12)),0)</f>
        <v/>
      </c>
      <c r="DL12" s="228">
        <f>IF(AND(112&gt;=$NR$12,112&lt;=$NS$12),IF($NP$12="Single_Point",IF(112=$NR$12,$NN$12,0),IF($NP$12="Bell_Curve",$NN$12*(112-$NR$12+1)*($NS$12-112+1)/$NU$12,$NN$12/$NT$12)),0)</f>
        <v/>
      </c>
      <c r="DM12" s="228">
        <f>IF(AND(113&gt;=$NR$12,113&lt;=$NS$12),IF($NP$12="Single_Point",IF(113=$NR$12,$NN$12,0),IF($NP$12="Bell_Curve",$NN$12*(113-$NR$12+1)*($NS$12-113+1)/$NU$12,$NN$12/$NT$12)),0)</f>
        <v/>
      </c>
      <c r="DN12" s="228">
        <f>IF(AND(114&gt;=$NR$12,114&lt;=$NS$12),IF($NP$12="Single_Point",IF(114=$NR$12,$NN$12,0),IF($NP$12="Bell_Curve",$NN$12*(114-$NR$12+1)*($NS$12-114+1)/$NU$12,$NN$12/$NT$12)),0)</f>
        <v/>
      </c>
      <c r="DO12" s="228">
        <f>IF(AND(115&gt;=$NR$12,115&lt;=$NS$12),IF($NP$12="Single_Point",IF(115=$NR$12,$NN$12,0),IF($NP$12="Bell_Curve",$NN$12*(115-$NR$12+1)*($NS$12-115+1)/$NU$12,$NN$12/$NT$12)),0)</f>
        <v/>
      </c>
      <c r="DP12" s="228">
        <f>IF(AND(116&gt;=$NR$12,116&lt;=$NS$12),IF($NP$12="Single_Point",IF(116=$NR$12,$NN$12,0),IF($NP$12="Bell_Curve",$NN$12*(116-$NR$12+1)*($NS$12-116+1)/$NU$12,$NN$12/$NT$12)),0)</f>
        <v/>
      </c>
      <c r="DQ12" s="228">
        <f>IF(AND(117&gt;=$NR$12,117&lt;=$NS$12),IF($NP$12="Single_Point",IF(117=$NR$12,$NN$12,0),IF($NP$12="Bell_Curve",$NN$12*(117-$NR$12+1)*($NS$12-117+1)/$NU$12,$NN$12/$NT$12)),0)</f>
        <v/>
      </c>
      <c r="DR12" s="228">
        <f>IF(AND(118&gt;=$NR$12,118&lt;=$NS$12),IF($NP$12="Single_Point",IF(118=$NR$12,$NN$12,0),IF($NP$12="Bell_Curve",$NN$12*(118-$NR$12+1)*($NS$12-118+1)/$NU$12,$NN$12/$NT$12)),0)</f>
        <v/>
      </c>
      <c r="DS12" s="228">
        <f>IF(AND(119&gt;=$NR$12,119&lt;=$NS$12),IF($NP$12="Single_Point",IF(119=$NR$12,$NN$12,0),IF($NP$12="Bell_Curve",$NN$12*(119-$NR$12+1)*($NS$12-119+1)/$NU$12,$NN$12/$NT$12)),0)</f>
        <v/>
      </c>
      <c r="DT12" s="228">
        <f>IF(AND(120&gt;=$NR$12,120&lt;=$NS$12),IF($NP$12="Single_Point",IF(120=$NR$12,$NN$12,0),IF($NP$12="Bell_Curve",$NN$12*(120-$NR$12+1)*($NS$12-120+1)/$NU$12,$NN$12/$NT$12)),0)</f>
        <v/>
      </c>
      <c r="DU12" s="228">
        <f>IF(AND(121&gt;=$NR$12,121&lt;=$NS$12),IF($NP$12="Single_Point",IF(121=$NR$12,$NN$12,0),IF($NP$12="Bell_Curve",$NN$12*(121-$NR$12+1)*($NS$12-121+1)/$NU$12,$NN$12/$NT$12)),0)</f>
        <v/>
      </c>
      <c r="DV12" s="228">
        <f>IF(AND(122&gt;=$NR$12,122&lt;=$NS$12),IF($NP$12="Single_Point",IF(122=$NR$12,$NN$12,0),IF($NP$12="Bell_Curve",$NN$12*(122-$NR$12+1)*($NS$12-122+1)/$NU$12,$NN$12/$NT$12)),0)</f>
        <v/>
      </c>
      <c r="DW12" s="228">
        <f>IF(AND(123&gt;=$NR$12,123&lt;=$NS$12),IF($NP$12="Single_Point",IF(123=$NR$12,$NN$12,0),IF($NP$12="Bell_Curve",$NN$12*(123-$NR$12+1)*($NS$12-123+1)/$NU$12,$NN$12/$NT$12)),0)</f>
        <v/>
      </c>
      <c r="DX12" s="228">
        <f>IF(AND(124&gt;=$NR$12,124&lt;=$NS$12),IF($NP$12="Single_Point",IF(124=$NR$12,$NN$12,0),IF($NP$12="Bell_Curve",$NN$12*(124-$NR$12+1)*($NS$12-124+1)/$NU$12,$NN$12/$NT$12)),0)</f>
        <v/>
      </c>
      <c r="DY12" s="228">
        <f>IF(AND(125&gt;=$NR$12,125&lt;=$NS$12),IF($NP$12="Single_Point",IF(125=$NR$12,$NN$12,0),IF($NP$12="Bell_Curve",$NN$12*(125-$NR$12+1)*($NS$12-125+1)/$NU$12,$NN$12/$NT$12)),0)</f>
        <v/>
      </c>
      <c r="DZ12" s="228">
        <f>IF(AND(126&gt;=$NR$12,126&lt;=$NS$12),IF($NP$12="Single_Point",IF(126=$NR$12,$NN$12,0),IF($NP$12="Bell_Curve",$NN$12*(126-$NR$12+1)*($NS$12-126+1)/$NU$12,$NN$12/$NT$12)),0)</f>
        <v/>
      </c>
      <c r="EA12" s="228">
        <f>IF(AND(127&gt;=$NR$12,127&lt;=$NS$12),IF($NP$12="Single_Point",IF(127=$NR$12,$NN$12,0),IF($NP$12="Bell_Curve",$NN$12*(127-$NR$12+1)*($NS$12-127+1)/$NU$12,$NN$12/$NT$12)),0)</f>
        <v/>
      </c>
      <c r="EB12" s="228">
        <f>IF(AND(128&gt;=$NR$12,128&lt;=$NS$12),IF($NP$12="Single_Point",IF(128=$NR$12,$NN$12,0),IF($NP$12="Bell_Curve",$NN$12*(128-$NR$12+1)*($NS$12-128+1)/$NU$12,$NN$12/$NT$12)),0)</f>
        <v/>
      </c>
      <c r="EC12" s="228">
        <f>IF(AND(129&gt;=$NR$12,129&lt;=$NS$12),IF($NP$12="Single_Point",IF(129=$NR$12,$NN$12,0),IF($NP$12="Bell_Curve",$NN$12*(129-$NR$12+1)*($NS$12-129+1)/$NU$12,$NN$12/$NT$12)),0)</f>
        <v/>
      </c>
      <c r="ED12" s="228">
        <f>IF(AND(130&gt;=$NR$12,130&lt;=$NS$12),IF($NP$12="Single_Point",IF(130=$NR$12,$NN$12,0),IF($NP$12="Bell_Curve",$NN$12*(130-$NR$12+1)*($NS$12-130+1)/$NU$12,$NN$12/$NT$12)),0)</f>
        <v/>
      </c>
      <c r="EE12" s="228">
        <f>IF(AND(131&gt;=$NR$12,131&lt;=$NS$12),IF($NP$12="Single_Point",IF(131=$NR$12,$NN$12,0),IF($NP$12="Bell_Curve",$NN$12*(131-$NR$12+1)*($NS$12-131+1)/$NU$12,$NN$12/$NT$12)),0)</f>
        <v/>
      </c>
      <c r="EF12" s="228">
        <f>IF(AND(132&gt;=$NR$12,132&lt;=$NS$12),IF($NP$12="Single_Point",IF(132=$NR$12,$NN$12,0),IF($NP$12="Bell_Curve",$NN$12*(132-$NR$12+1)*($NS$12-132+1)/$NU$12,$NN$12/$NT$12)),0)</f>
        <v/>
      </c>
      <c r="EG12" s="228">
        <f>IF(AND(133&gt;=$NR$12,133&lt;=$NS$12),IF($NP$12="Single_Point",IF(133=$NR$12,$NN$12,0),IF($NP$12="Bell_Curve",$NN$12*(133-$NR$12+1)*($NS$12-133+1)/$NU$12,$NN$12/$NT$12)),0)</f>
        <v/>
      </c>
      <c r="EH12" s="228">
        <f>IF(AND(134&gt;=$NR$12,134&lt;=$NS$12),IF($NP$12="Single_Point",IF(134=$NR$12,$NN$12,0),IF($NP$12="Bell_Curve",$NN$12*(134-$NR$12+1)*($NS$12-134+1)/$NU$12,$NN$12/$NT$12)),0)</f>
        <v/>
      </c>
      <c r="EI12" s="228">
        <f>IF(AND(135&gt;=$NR$12,135&lt;=$NS$12),IF($NP$12="Single_Point",IF(135=$NR$12,$NN$12,0),IF($NP$12="Bell_Curve",$NN$12*(135-$NR$12+1)*($NS$12-135+1)/$NU$12,$NN$12/$NT$12)),0)</f>
        <v/>
      </c>
      <c r="EJ12" s="228">
        <f>IF(AND(136&gt;=$NR$12,136&lt;=$NS$12),IF($NP$12="Single_Point",IF(136=$NR$12,$NN$12,0),IF($NP$12="Bell_Curve",$NN$12*(136-$NR$12+1)*($NS$12-136+1)/$NU$12,$NN$12/$NT$12)),0)</f>
        <v/>
      </c>
      <c r="EK12" s="228">
        <f>IF(AND(137&gt;=$NR$12,137&lt;=$NS$12),IF($NP$12="Single_Point",IF(137=$NR$12,$NN$12,0),IF($NP$12="Bell_Curve",$NN$12*(137-$NR$12+1)*($NS$12-137+1)/$NU$12,$NN$12/$NT$12)),0)</f>
        <v/>
      </c>
      <c r="EL12" s="228">
        <f>IF(AND(138&gt;=$NR$12,138&lt;=$NS$12),IF($NP$12="Single_Point",IF(138=$NR$12,$NN$12,0),IF($NP$12="Bell_Curve",$NN$12*(138-$NR$12+1)*($NS$12-138+1)/$NU$12,$NN$12/$NT$12)),0)</f>
        <v/>
      </c>
      <c r="EM12" s="228">
        <f>IF(AND(139&gt;=$NR$12,139&lt;=$NS$12),IF($NP$12="Single_Point",IF(139=$NR$12,$NN$12,0),IF($NP$12="Bell_Curve",$NN$12*(139-$NR$12+1)*($NS$12-139+1)/$NU$12,$NN$12/$NT$12)),0)</f>
        <v/>
      </c>
      <c r="EN12" s="228">
        <f>IF(AND(140&gt;=$NR$12,140&lt;=$NS$12),IF($NP$12="Single_Point",IF(140=$NR$12,$NN$12,0),IF($NP$12="Bell_Curve",$NN$12*(140-$NR$12+1)*($NS$12-140+1)/$NU$12,$NN$12/$NT$12)),0)</f>
        <v/>
      </c>
      <c r="EO12" s="228">
        <f>IF(AND(141&gt;=$NR$12,141&lt;=$NS$12),IF($NP$12="Single_Point",IF(141=$NR$12,$NN$12,0),IF($NP$12="Bell_Curve",$NN$12*(141-$NR$12+1)*($NS$12-141+1)/$NU$12,$NN$12/$NT$12)),0)</f>
        <v/>
      </c>
      <c r="EP12" s="228">
        <f>IF(AND(142&gt;=$NR$12,142&lt;=$NS$12),IF($NP$12="Single_Point",IF(142=$NR$12,$NN$12,0),IF($NP$12="Bell_Curve",$NN$12*(142-$NR$12+1)*($NS$12-142+1)/$NU$12,$NN$12/$NT$12)),0)</f>
        <v/>
      </c>
      <c r="EQ12" s="228">
        <f>IF(AND(143&gt;=$NR$12,143&lt;=$NS$12),IF($NP$12="Single_Point",IF(143=$NR$12,$NN$12,0),IF($NP$12="Bell_Curve",$NN$12*(143-$NR$12+1)*($NS$12-143+1)/$NU$12,$NN$12/$NT$12)),0)</f>
        <v/>
      </c>
      <c r="ER12" s="228">
        <f>IF(AND(144&gt;=$NR$12,144&lt;=$NS$12),IF($NP$12="Single_Point",IF(144=$NR$12,$NN$12,0),IF($NP$12="Bell_Curve",$NN$12*(144-$NR$12+1)*($NS$12-144+1)/$NU$12,$NN$12/$NT$12)),0)</f>
        <v/>
      </c>
      <c r="ES12" s="228">
        <f>IF(AND(145&gt;=$NR$12,145&lt;=$NS$12),IF($NP$12="Single_Point",IF(145=$NR$12,$NN$12,0),IF($NP$12="Bell_Curve",$NN$12*(145-$NR$12+1)*($NS$12-145+1)/$NU$12,$NN$12/$NT$12)),0)</f>
        <v/>
      </c>
      <c r="ET12" s="228">
        <f>IF(AND(146&gt;=$NR$12,146&lt;=$NS$12),IF($NP$12="Single_Point",IF(146=$NR$12,$NN$12,0),IF($NP$12="Bell_Curve",$NN$12*(146-$NR$12+1)*($NS$12-146+1)/$NU$12,$NN$12/$NT$12)),0)</f>
        <v/>
      </c>
      <c r="EU12" s="228">
        <f>IF(AND(147&gt;=$NR$12,147&lt;=$NS$12),IF($NP$12="Single_Point",IF(147=$NR$12,$NN$12,0),IF($NP$12="Bell_Curve",$NN$12*(147-$NR$12+1)*($NS$12-147+1)/$NU$12,$NN$12/$NT$12)),0)</f>
        <v/>
      </c>
      <c r="EV12" s="228">
        <f>IF(AND(148&gt;=$NR$12,148&lt;=$NS$12),IF($NP$12="Single_Point",IF(148=$NR$12,$NN$12,0),IF($NP$12="Bell_Curve",$NN$12*(148-$NR$12+1)*($NS$12-148+1)/$NU$12,$NN$12/$NT$12)),0)</f>
        <v/>
      </c>
      <c r="EW12" s="228">
        <f>IF(AND(149&gt;=$NR$12,149&lt;=$NS$12),IF($NP$12="Single_Point",IF(149=$NR$12,$NN$12,0),IF($NP$12="Bell_Curve",$NN$12*(149-$NR$12+1)*($NS$12-149+1)/$NU$12,$NN$12/$NT$12)),0)</f>
        <v/>
      </c>
      <c r="EX12" s="228">
        <f>IF(AND(150&gt;=$NR$12,150&lt;=$NS$12),IF($NP$12="Single_Point",IF(150=$NR$12,$NN$12,0),IF($NP$12="Bell_Curve",$NN$12*(150-$NR$12+1)*($NS$12-150+1)/$NU$12,$NN$12/$NT$12)),0)</f>
        <v/>
      </c>
      <c r="EY12" s="228">
        <f>IF(AND(151&gt;=$NR$12,151&lt;=$NS$12),IF($NP$12="Single_Point",IF(151=$NR$12,$NN$12,0),IF($NP$12="Bell_Curve",$NN$12*(151-$NR$12+1)*($NS$12-151+1)/$NU$12,$NN$12/$NT$12)),0)</f>
        <v/>
      </c>
      <c r="EZ12" s="228">
        <f>IF(AND(152&gt;=$NR$12,152&lt;=$NS$12),IF($NP$12="Single_Point",IF(152=$NR$12,$NN$12,0),IF($NP$12="Bell_Curve",$NN$12*(152-$NR$12+1)*($NS$12-152+1)/$NU$12,$NN$12/$NT$12)),0)</f>
        <v/>
      </c>
      <c r="FA12" s="228">
        <f>IF(AND(153&gt;=$NR$12,153&lt;=$NS$12),IF($NP$12="Single_Point",IF(153=$NR$12,$NN$12,0),IF($NP$12="Bell_Curve",$NN$12*(153-$NR$12+1)*($NS$12-153+1)/$NU$12,$NN$12/$NT$12)),0)</f>
        <v/>
      </c>
      <c r="FB12" s="228">
        <f>IF(AND(154&gt;=$NR$12,154&lt;=$NS$12),IF($NP$12="Single_Point",IF(154=$NR$12,$NN$12,0),IF($NP$12="Bell_Curve",$NN$12*(154-$NR$12+1)*($NS$12-154+1)/$NU$12,$NN$12/$NT$12)),0)</f>
        <v/>
      </c>
      <c r="FC12" s="228">
        <f>IF(AND(155&gt;=$NR$12,155&lt;=$NS$12),IF($NP$12="Single_Point",IF(155=$NR$12,$NN$12,0),IF($NP$12="Bell_Curve",$NN$12*(155-$NR$12+1)*($NS$12-155+1)/$NU$12,$NN$12/$NT$12)),0)</f>
        <v/>
      </c>
      <c r="FD12" s="228">
        <f>IF(AND(156&gt;=$NR$12,156&lt;=$NS$12),IF($NP$12="Single_Point",IF(156=$NR$12,$NN$12,0),IF($NP$12="Bell_Curve",$NN$12*(156-$NR$12+1)*($NS$12-156+1)/$NU$12,$NN$12/$NT$12)),0)</f>
        <v/>
      </c>
      <c r="FE12" s="228">
        <f>IF(AND(157&gt;=$NR$12,157&lt;=$NS$12),IF($NP$12="Single_Point",IF(157=$NR$12,$NN$12,0),IF($NP$12="Bell_Curve",$NN$12*(157-$NR$12+1)*($NS$12-157+1)/$NU$12,$NN$12/$NT$12)),0)</f>
        <v/>
      </c>
      <c r="FF12" s="228">
        <f>IF(AND(158&gt;=$NR$12,158&lt;=$NS$12),IF($NP$12="Single_Point",IF(158=$NR$12,$NN$12,0),IF($NP$12="Bell_Curve",$NN$12*(158-$NR$12+1)*($NS$12-158+1)/$NU$12,$NN$12/$NT$12)),0)</f>
        <v/>
      </c>
      <c r="FG12" s="228">
        <f>IF(AND(159&gt;=$NR$12,159&lt;=$NS$12),IF($NP$12="Single_Point",IF(159=$NR$12,$NN$12,0),IF($NP$12="Bell_Curve",$NN$12*(159-$NR$12+1)*($NS$12-159+1)/$NU$12,$NN$12/$NT$12)),0)</f>
        <v/>
      </c>
      <c r="FH12" s="228">
        <f>IF(AND(160&gt;=$NR$12,160&lt;=$NS$12),IF($NP$12="Single_Point",IF(160=$NR$12,$NN$12,0),IF($NP$12="Bell_Curve",$NN$12*(160-$NR$12+1)*($NS$12-160+1)/$NU$12,$NN$12/$NT$12)),0)</f>
        <v/>
      </c>
      <c r="FI12" s="228">
        <f>IF(AND(161&gt;=$NR$12,161&lt;=$NS$12),IF($NP$12="Single_Point",IF(161=$NR$12,$NN$12,0),IF($NP$12="Bell_Curve",$NN$12*(161-$NR$12+1)*($NS$12-161+1)/$NU$12,$NN$12/$NT$12)),0)</f>
        <v/>
      </c>
      <c r="FJ12" s="228">
        <f>IF(AND(162&gt;=$NR$12,162&lt;=$NS$12),IF($NP$12="Single_Point",IF(162=$NR$12,$NN$12,0),IF($NP$12="Bell_Curve",$NN$12*(162-$NR$12+1)*($NS$12-162+1)/$NU$12,$NN$12/$NT$12)),0)</f>
        <v/>
      </c>
      <c r="FK12" s="228">
        <f>IF(AND(163&gt;=$NR$12,163&lt;=$NS$12),IF($NP$12="Single_Point",IF(163=$NR$12,$NN$12,0),IF($NP$12="Bell_Curve",$NN$12*(163-$NR$12+1)*($NS$12-163+1)/$NU$12,$NN$12/$NT$12)),0)</f>
        <v/>
      </c>
      <c r="FL12" s="228">
        <f>IF(AND(164&gt;=$NR$12,164&lt;=$NS$12),IF($NP$12="Single_Point",IF(164=$NR$12,$NN$12,0),IF($NP$12="Bell_Curve",$NN$12*(164-$NR$12+1)*($NS$12-164+1)/$NU$12,$NN$12/$NT$12)),0)</f>
        <v/>
      </c>
      <c r="FM12" s="228">
        <f>IF(AND(165&gt;=$NR$12,165&lt;=$NS$12),IF($NP$12="Single_Point",IF(165=$NR$12,$NN$12,0),IF($NP$12="Bell_Curve",$NN$12*(165-$NR$12+1)*($NS$12-165+1)/$NU$12,$NN$12/$NT$12)),0)</f>
        <v/>
      </c>
      <c r="FN12" s="228">
        <f>IF(AND(166&gt;=$NR$12,166&lt;=$NS$12),IF($NP$12="Single_Point",IF(166=$NR$12,$NN$12,0),IF($NP$12="Bell_Curve",$NN$12*(166-$NR$12+1)*($NS$12-166+1)/$NU$12,$NN$12/$NT$12)),0)</f>
        <v/>
      </c>
      <c r="FO12" s="228">
        <f>IF(AND(167&gt;=$NR$12,167&lt;=$NS$12),IF($NP$12="Single_Point",IF(167=$NR$12,$NN$12,0),IF($NP$12="Bell_Curve",$NN$12*(167-$NR$12+1)*($NS$12-167+1)/$NU$12,$NN$12/$NT$12)),0)</f>
        <v/>
      </c>
      <c r="FP12" s="228">
        <f>IF(AND(168&gt;=$NR$12,168&lt;=$NS$12),IF($NP$12="Single_Point",IF(168=$NR$12,$NN$12,0),IF($NP$12="Bell_Curve",$NN$12*(168-$NR$12+1)*($NS$12-168+1)/$NU$12,$NN$12/$NT$12)),0)</f>
        <v/>
      </c>
      <c r="FQ12" s="228">
        <f>IF(AND(169&gt;=$NR$12,169&lt;=$NS$12),IF($NP$12="Single_Point",IF(169=$NR$12,$NN$12,0),IF($NP$12="Bell_Curve",$NN$12*(169-$NR$12+1)*($NS$12-169+1)/$NU$12,$NN$12/$NT$12)),0)</f>
        <v/>
      </c>
      <c r="FR12" s="228">
        <f>IF(AND(170&gt;=$NR$12,170&lt;=$NS$12),IF($NP$12="Single_Point",IF(170=$NR$12,$NN$12,0),IF($NP$12="Bell_Curve",$NN$12*(170-$NR$12+1)*($NS$12-170+1)/$NU$12,$NN$12/$NT$12)),0)</f>
        <v/>
      </c>
      <c r="FS12" s="228">
        <f>IF(AND(171&gt;=$NR$12,171&lt;=$NS$12),IF($NP$12="Single_Point",IF(171=$NR$12,$NN$12,0),IF($NP$12="Bell_Curve",$NN$12*(171-$NR$12+1)*($NS$12-171+1)/$NU$12,$NN$12/$NT$12)),0)</f>
        <v/>
      </c>
      <c r="FT12" s="228">
        <f>IF(AND(172&gt;=$NR$12,172&lt;=$NS$12),IF($NP$12="Single_Point",IF(172=$NR$12,$NN$12,0),IF($NP$12="Bell_Curve",$NN$12*(172-$NR$12+1)*($NS$12-172+1)/$NU$12,$NN$12/$NT$12)),0)</f>
        <v/>
      </c>
      <c r="FU12" s="228">
        <f>IF(AND(173&gt;=$NR$12,173&lt;=$NS$12),IF($NP$12="Single_Point",IF(173=$NR$12,$NN$12,0),IF($NP$12="Bell_Curve",$NN$12*(173-$NR$12+1)*($NS$12-173+1)/$NU$12,$NN$12/$NT$12)),0)</f>
        <v/>
      </c>
      <c r="FV12" s="228">
        <f>IF(AND(174&gt;=$NR$12,174&lt;=$NS$12),IF($NP$12="Single_Point",IF(174=$NR$12,$NN$12,0),IF($NP$12="Bell_Curve",$NN$12*(174-$NR$12+1)*($NS$12-174+1)/$NU$12,$NN$12/$NT$12)),0)</f>
        <v/>
      </c>
      <c r="FW12" s="228">
        <f>IF(AND(175&gt;=$NR$12,175&lt;=$NS$12),IF($NP$12="Single_Point",IF(175=$NR$12,$NN$12,0),IF($NP$12="Bell_Curve",$NN$12*(175-$NR$12+1)*($NS$12-175+1)/$NU$12,$NN$12/$NT$12)),0)</f>
        <v/>
      </c>
      <c r="FX12" s="228">
        <f>IF(AND(176&gt;=$NR$12,176&lt;=$NS$12),IF($NP$12="Single_Point",IF(176=$NR$12,$NN$12,0),IF($NP$12="Bell_Curve",$NN$12*(176-$NR$12+1)*($NS$12-176+1)/$NU$12,$NN$12/$NT$12)),0)</f>
        <v/>
      </c>
      <c r="FY12" s="228">
        <f>IF(AND(177&gt;=$NR$12,177&lt;=$NS$12),IF($NP$12="Single_Point",IF(177=$NR$12,$NN$12,0),IF($NP$12="Bell_Curve",$NN$12*(177-$NR$12+1)*($NS$12-177+1)/$NU$12,$NN$12/$NT$12)),0)</f>
        <v/>
      </c>
      <c r="FZ12" s="228">
        <f>IF(AND(178&gt;=$NR$12,178&lt;=$NS$12),IF($NP$12="Single_Point",IF(178=$NR$12,$NN$12,0),IF($NP$12="Bell_Curve",$NN$12*(178-$NR$12+1)*($NS$12-178+1)/$NU$12,$NN$12/$NT$12)),0)</f>
        <v/>
      </c>
      <c r="GA12" s="228">
        <f>IF(AND(179&gt;=$NR$12,179&lt;=$NS$12),IF($NP$12="Single_Point",IF(179=$NR$12,$NN$12,0),IF($NP$12="Bell_Curve",$NN$12*(179-$NR$12+1)*($NS$12-179+1)/$NU$12,$NN$12/$NT$12)),0)</f>
        <v/>
      </c>
      <c r="GB12" s="228">
        <f>IF(AND(180&gt;=$NR$12,180&lt;=$NS$12),IF($NP$12="Single_Point",IF(180=$NR$12,$NN$12,0),IF($NP$12="Bell_Curve",$NN$12*(180-$NR$12+1)*($NS$12-180+1)/$NU$12,$NN$12/$NT$12)),0)</f>
        <v/>
      </c>
      <c r="GC12" s="228">
        <f>IF(AND(181&gt;=$NR$12,181&lt;=$NS$12),IF($NP$12="Single_Point",IF(181=$NR$12,$NN$12,0),IF($NP$12="Bell_Curve",$NN$12*(181-$NR$12+1)*($NS$12-181+1)/$NU$12,$NN$12/$NT$12)),0)</f>
        <v/>
      </c>
      <c r="GD12" s="228">
        <f>IF(AND(182&gt;=$NR$12,182&lt;=$NS$12),IF($NP$12="Single_Point",IF(182=$NR$12,$NN$12,0),IF($NP$12="Bell_Curve",$NN$12*(182-$NR$12+1)*($NS$12-182+1)/$NU$12,$NN$12/$NT$12)),0)</f>
        <v/>
      </c>
      <c r="GE12" s="228">
        <f>IF(AND(183&gt;=$NR$12,183&lt;=$NS$12),IF($NP$12="Single_Point",IF(183=$NR$12,$NN$12,0),IF($NP$12="Bell_Curve",$NN$12*(183-$NR$12+1)*($NS$12-183+1)/$NU$12,$NN$12/$NT$12)),0)</f>
        <v/>
      </c>
      <c r="GF12" s="228">
        <f>IF(AND(184&gt;=$NR$12,184&lt;=$NS$12),IF($NP$12="Single_Point",IF(184=$NR$12,$NN$12,0),IF($NP$12="Bell_Curve",$NN$12*(184-$NR$12+1)*($NS$12-184+1)/$NU$12,$NN$12/$NT$12)),0)</f>
        <v/>
      </c>
      <c r="GG12" s="228">
        <f>IF(AND(185&gt;=$NR$12,185&lt;=$NS$12),IF($NP$12="Single_Point",IF(185=$NR$12,$NN$12,0),IF($NP$12="Bell_Curve",$NN$12*(185-$NR$12+1)*($NS$12-185+1)/$NU$12,$NN$12/$NT$12)),0)</f>
        <v/>
      </c>
      <c r="GH12" s="228">
        <f>IF(AND(186&gt;=$NR$12,186&lt;=$NS$12),IF($NP$12="Single_Point",IF(186=$NR$12,$NN$12,0),IF($NP$12="Bell_Curve",$NN$12*(186-$NR$12+1)*($NS$12-186+1)/$NU$12,$NN$12/$NT$12)),0)</f>
        <v/>
      </c>
      <c r="GI12" s="228">
        <f>IF(AND(187&gt;=$NR$12,187&lt;=$NS$12),IF($NP$12="Single_Point",IF(187=$NR$12,$NN$12,0),IF($NP$12="Bell_Curve",$NN$12*(187-$NR$12+1)*($NS$12-187+1)/$NU$12,$NN$12/$NT$12)),0)</f>
        <v/>
      </c>
      <c r="GJ12" s="228">
        <f>IF(AND(188&gt;=$NR$12,188&lt;=$NS$12),IF($NP$12="Single_Point",IF(188=$NR$12,$NN$12,0),IF($NP$12="Bell_Curve",$NN$12*(188-$NR$12+1)*($NS$12-188+1)/$NU$12,$NN$12/$NT$12)),0)</f>
        <v/>
      </c>
      <c r="GK12" s="228">
        <f>IF(AND(189&gt;=$NR$12,189&lt;=$NS$12),IF($NP$12="Single_Point",IF(189=$NR$12,$NN$12,0),IF($NP$12="Bell_Curve",$NN$12*(189-$NR$12+1)*($NS$12-189+1)/$NU$12,$NN$12/$NT$12)),0)</f>
        <v/>
      </c>
      <c r="GL12" s="228">
        <f>IF(AND(190&gt;=$NR$12,190&lt;=$NS$12),IF($NP$12="Single_Point",IF(190=$NR$12,$NN$12,0),IF($NP$12="Bell_Curve",$NN$12*(190-$NR$12+1)*($NS$12-190+1)/$NU$12,$NN$12/$NT$12)),0)</f>
        <v/>
      </c>
      <c r="GM12" s="228">
        <f>IF(AND(191&gt;=$NR$12,191&lt;=$NS$12),IF($NP$12="Single_Point",IF(191=$NR$12,$NN$12,0),IF($NP$12="Bell_Curve",$NN$12*(191-$NR$12+1)*($NS$12-191+1)/$NU$12,$NN$12/$NT$12)),0)</f>
        <v/>
      </c>
      <c r="GN12" s="228">
        <f>IF(AND(192&gt;=$NR$12,192&lt;=$NS$12),IF($NP$12="Single_Point",IF(192=$NR$12,$NN$12,0),IF($NP$12="Bell_Curve",$NN$12*(192-$NR$12+1)*($NS$12-192+1)/$NU$12,$NN$12/$NT$12)),0)</f>
        <v/>
      </c>
      <c r="GO12" s="228">
        <f>IF(AND(193&gt;=$NR$12,193&lt;=$NS$12),IF($NP$12="Single_Point",IF(193=$NR$12,$NN$12,0),IF($NP$12="Bell_Curve",$NN$12*(193-$NR$12+1)*($NS$12-193+1)/$NU$12,$NN$12/$NT$12)),0)</f>
        <v/>
      </c>
      <c r="GP12" s="228">
        <f>IF(AND(194&gt;=$NR$12,194&lt;=$NS$12),IF($NP$12="Single_Point",IF(194=$NR$12,$NN$12,0),IF($NP$12="Bell_Curve",$NN$12*(194-$NR$12+1)*($NS$12-194+1)/$NU$12,$NN$12/$NT$12)),0)</f>
        <v/>
      </c>
      <c r="GQ12" s="228">
        <f>IF(AND(195&gt;=$NR$12,195&lt;=$NS$12),IF($NP$12="Single_Point",IF(195=$NR$12,$NN$12,0),IF($NP$12="Bell_Curve",$NN$12*(195-$NR$12+1)*($NS$12-195+1)/$NU$12,$NN$12/$NT$12)),0)</f>
        <v/>
      </c>
      <c r="GR12" s="228">
        <f>IF(AND(196&gt;=$NR$12,196&lt;=$NS$12),IF($NP$12="Single_Point",IF(196=$NR$12,$NN$12,0),IF($NP$12="Bell_Curve",$NN$12*(196-$NR$12+1)*($NS$12-196+1)/$NU$12,$NN$12/$NT$12)),0)</f>
        <v/>
      </c>
      <c r="GS12" s="228">
        <f>IF(AND(197&gt;=$NR$12,197&lt;=$NS$12),IF($NP$12="Single_Point",IF(197=$NR$12,$NN$12,0),IF($NP$12="Bell_Curve",$NN$12*(197-$NR$12+1)*($NS$12-197+1)/$NU$12,$NN$12/$NT$12)),0)</f>
        <v/>
      </c>
      <c r="GT12" s="228">
        <f>IF(AND(198&gt;=$NR$12,198&lt;=$NS$12),IF($NP$12="Single_Point",IF(198=$NR$12,$NN$12,0),IF($NP$12="Bell_Curve",$NN$12*(198-$NR$12+1)*($NS$12-198+1)/$NU$12,$NN$12/$NT$12)),0)</f>
        <v/>
      </c>
      <c r="GU12" s="228">
        <f>IF(AND(199&gt;=$NR$12,199&lt;=$NS$12),IF($NP$12="Single_Point",IF(199=$NR$12,$NN$12,0),IF($NP$12="Bell_Curve",$NN$12*(199-$NR$12+1)*($NS$12-199+1)/$NU$12,$NN$12/$NT$12)),0)</f>
        <v/>
      </c>
      <c r="GV12" s="228">
        <f>IF(AND(200&gt;=$NR$12,200&lt;=$NS$12),IF($NP$12="Single_Point",IF(200=$NR$12,$NN$12,0),IF($NP$12="Bell_Curve",$NN$12*(200-$NR$12+1)*($NS$12-200+1)/$NU$12,$NN$12/$NT$12)),0)</f>
        <v/>
      </c>
      <c r="GW12" s="228">
        <f>IF(AND(201&gt;=$NR$12,201&lt;=$NS$12),IF($NP$12="Single_Point",IF(201=$NR$12,$NN$12,0),IF($NP$12="Bell_Curve",$NN$12*(201-$NR$12+1)*($NS$12-201+1)/$NU$12,$NN$12/$NT$12)),0)</f>
        <v/>
      </c>
      <c r="GX12" s="228">
        <f>IF(AND(202&gt;=$NR$12,202&lt;=$NS$12),IF($NP$12="Single_Point",IF(202=$NR$12,$NN$12,0),IF($NP$12="Bell_Curve",$NN$12*(202-$NR$12+1)*($NS$12-202+1)/$NU$12,$NN$12/$NT$12)),0)</f>
        <v/>
      </c>
      <c r="GY12" s="228">
        <f>IF(AND(203&gt;=$NR$12,203&lt;=$NS$12),IF($NP$12="Single_Point",IF(203=$NR$12,$NN$12,0),IF($NP$12="Bell_Curve",$NN$12*(203-$NR$12+1)*($NS$12-203+1)/$NU$12,$NN$12/$NT$12)),0)</f>
        <v/>
      </c>
      <c r="GZ12" s="228">
        <f>IF(AND(204&gt;=$NR$12,204&lt;=$NS$12),IF($NP$12="Single_Point",IF(204=$NR$12,$NN$12,0),IF($NP$12="Bell_Curve",$NN$12*(204-$NR$12+1)*($NS$12-204+1)/$NU$12,$NN$12/$NT$12)),0)</f>
        <v/>
      </c>
      <c r="HA12" s="228">
        <f>IF(AND(205&gt;=$NR$12,205&lt;=$NS$12),IF($NP$12="Single_Point",IF(205=$NR$12,$NN$12,0),IF($NP$12="Bell_Curve",$NN$12*(205-$NR$12+1)*($NS$12-205+1)/$NU$12,$NN$12/$NT$12)),0)</f>
        <v/>
      </c>
      <c r="HB12" s="228">
        <f>IF(AND(206&gt;=$NR$12,206&lt;=$NS$12),IF($NP$12="Single_Point",IF(206=$NR$12,$NN$12,0),IF($NP$12="Bell_Curve",$NN$12*(206-$NR$12+1)*($NS$12-206+1)/$NU$12,$NN$12/$NT$12)),0)</f>
        <v/>
      </c>
      <c r="HC12" s="228">
        <f>IF(AND(207&gt;=$NR$12,207&lt;=$NS$12),IF($NP$12="Single_Point",IF(207=$NR$12,$NN$12,0),IF($NP$12="Bell_Curve",$NN$12*(207-$NR$12+1)*($NS$12-207+1)/$NU$12,$NN$12/$NT$12)),0)</f>
        <v/>
      </c>
      <c r="HD12" s="228">
        <f>IF(AND(208&gt;=$NR$12,208&lt;=$NS$12),IF($NP$12="Single_Point",IF(208=$NR$12,$NN$12,0),IF($NP$12="Bell_Curve",$NN$12*(208-$NR$12+1)*($NS$12-208+1)/$NU$12,$NN$12/$NT$12)),0)</f>
        <v/>
      </c>
      <c r="HE12" s="228">
        <f>IF(AND(209&gt;=$NR$12,209&lt;=$NS$12),IF($NP$12="Single_Point",IF(209=$NR$12,$NN$12,0),IF($NP$12="Bell_Curve",$NN$12*(209-$NR$12+1)*($NS$12-209+1)/$NU$12,$NN$12/$NT$12)),0)</f>
        <v/>
      </c>
      <c r="HF12" s="228">
        <f>IF(AND(210&gt;=$NR$12,210&lt;=$NS$12),IF($NP$12="Single_Point",IF(210=$NR$12,$NN$12,0),IF($NP$12="Bell_Curve",$NN$12*(210-$NR$12+1)*($NS$12-210+1)/$NU$12,$NN$12/$NT$12)),0)</f>
        <v/>
      </c>
      <c r="HG12" s="228">
        <f>IF(AND(211&gt;=$NR$12,211&lt;=$NS$12),IF($NP$12="Single_Point",IF(211=$NR$12,$NN$12,0),IF($NP$12="Bell_Curve",$NN$12*(211-$NR$12+1)*($NS$12-211+1)/$NU$12,$NN$12/$NT$12)),0)</f>
        <v/>
      </c>
      <c r="HH12" s="228">
        <f>IF(AND(212&gt;=$NR$12,212&lt;=$NS$12),IF($NP$12="Single_Point",IF(212=$NR$12,$NN$12,0),IF($NP$12="Bell_Curve",$NN$12*(212-$NR$12+1)*($NS$12-212+1)/$NU$12,$NN$12/$NT$12)),0)</f>
        <v/>
      </c>
      <c r="HI12" s="228">
        <f>IF(AND(213&gt;=$NR$12,213&lt;=$NS$12),IF($NP$12="Single_Point",IF(213=$NR$12,$NN$12,0),IF($NP$12="Bell_Curve",$NN$12*(213-$NR$12+1)*($NS$12-213+1)/$NU$12,$NN$12/$NT$12)),0)</f>
        <v/>
      </c>
      <c r="HJ12" s="228">
        <f>IF(AND(214&gt;=$NR$12,214&lt;=$NS$12),IF($NP$12="Single_Point",IF(214=$NR$12,$NN$12,0),IF($NP$12="Bell_Curve",$NN$12*(214-$NR$12+1)*($NS$12-214+1)/$NU$12,$NN$12/$NT$12)),0)</f>
        <v/>
      </c>
      <c r="HK12" s="228">
        <f>IF(AND(215&gt;=$NR$12,215&lt;=$NS$12),IF($NP$12="Single_Point",IF(215=$NR$12,$NN$12,0),IF($NP$12="Bell_Curve",$NN$12*(215-$NR$12+1)*($NS$12-215+1)/$NU$12,$NN$12/$NT$12)),0)</f>
        <v/>
      </c>
      <c r="HL12" s="228">
        <f>IF(AND(216&gt;=$NR$12,216&lt;=$NS$12),IF($NP$12="Single_Point",IF(216=$NR$12,$NN$12,0),IF($NP$12="Bell_Curve",$NN$12*(216-$NR$12+1)*($NS$12-216+1)/$NU$12,$NN$12/$NT$12)),0)</f>
        <v/>
      </c>
      <c r="HM12" s="228">
        <f>IF(AND(217&gt;=$NR$12,217&lt;=$NS$12),IF($NP$12="Single_Point",IF(217=$NR$12,$NN$12,0),IF($NP$12="Bell_Curve",$NN$12*(217-$NR$12+1)*($NS$12-217+1)/$NU$12,$NN$12/$NT$12)),0)</f>
        <v/>
      </c>
      <c r="HN12" s="228">
        <f>IF(AND(218&gt;=$NR$12,218&lt;=$NS$12),IF($NP$12="Single_Point",IF(218=$NR$12,$NN$12,0),IF($NP$12="Bell_Curve",$NN$12*(218-$NR$12+1)*($NS$12-218+1)/$NU$12,$NN$12/$NT$12)),0)</f>
        <v/>
      </c>
      <c r="HO12" s="228">
        <f>IF(AND(219&gt;=$NR$12,219&lt;=$NS$12),IF($NP$12="Single_Point",IF(219=$NR$12,$NN$12,0),IF($NP$12="Bell_Curve",$NN$12*(219-$NR$12+1)*($NS$12-219+1)/$NU$12,$NN$12/$NT$12)),0)</f>
        <v/>
      </c>
      <c r="HP12" s="228">
        <f>IF(AND(220&gt;=$NR$12,220&lt;=$NS$12),IF($NP$12="Single_Point",IF(220=$NR$12,$NN$12,0),IF($NP$12="Bell_Curve",$NN$12*(220-$NR$12+1)*($NS$12-220+1)/$NU$12,$NN$12/$NT$12)),0)</f>
        <v/>
      </c>
      <c r="HQ12" s="228">
        <f>IF(AND(221&gt;=$NR$12,221&lt;=$NS$12),IF($NP$12="Single_Point",IF(221=$NR$12,$NN$12,0),IF($NP$12="Bell_Curve",$NN$12*(221-$NR$12+1)*($NS$12-221+1)/$NU$12,$NN$12/$NT$12)),0)</f>
        <v/>
      </c>
      <c r="HR12" s="228">
        <f>IF(AND(222&gt;=$NR$12,222&lt;=$NS$12),IF($NP$12="Single_Point",IF(222=$NR$12,$NN$12,0),IF($NP$12="Bell_Curve",$NN$12*(222-$NR$12+1)*($NS$12-222+1)/$NU$12,$NN$12/$NT$12)),0)</f>
        <v/>
      </c>
      <c r="HS12" s="228">
        <f>IF(AND(223&gt;=$NR$12,223&lt;=$NS$12),IF($NP$12="Single_Point",IF(223=$NR$12,$NN$12,0),IF($NP$12="Bell_Curve",$NN$12*(223-$NR$12+1)*($NS$12-223+1)/$NU$12,$NN$12/$NT$12)),0)</f>
        <v/>
      </c>
      <c r="HT12" s="228">
        <f>IF(AND(224&gt;=$NR$12,224&lt;=$NS$12),IF($NP$12="Single_Point",IF(224=$NR$12,$NN$12,0),IF($NP$12="Bell_Curve",$NN$12*(224-$NR$12+1)*($NS$12-224+1)/$NU$12,$NN$12/$NT$12)),0)</f>
        <v/>
      </c>
      <c r="HU12" s="228">
        <f>IF(AND(225&gt;=$NR$12,225&lt;=$NS$12),IF($NP$12="Single_Point",IF(225=$NR$12,$NN$12,0),IF($NP$12="Bell_Curve",$NN$12*(225-$NR$12+1)*($NS$12-225+1)/$NU$12,$NN$12/$NT$12)),0)</f>
        <v/>
      </c>
      <c r="HV12" s="228">
        <f>IF(AND(226&gt;=$NR$12,226&lt;=$NS$12),IF($NP$12="Single_Point",IF(226=$NR$12,$NN$12,0),IF($NP$12="Bell_Curve",$NN$12*(226-$NR$12+1)*($NS$12-226+1)/$NU$12,$NN$12/$NT$12)),0)</f>
        <v/>
      </c>
      <c r="HW12" s="228">
        <f>IF(AND(227&gt;=$NR$12,227&lt;=$NS$12),IF($NP$12="Single_Point",IF(227=$NR$12,$NN$12,0),IF($NP$12="Bell_Curve",$NN$12*(227-$NR$12+1)*($NS$12-227+1)/$NU$12,$NN$12/$NT$12)),0)</f>
        <v/>
      </c>
      <c r="HX12" s="228">
        <f>IF(AND(228&gt;=$NR$12,228&lt;=$NS$12),IF($NP$12="Single_Point",IF(228=$NR$12,$NN$12,0),IF($NP$12="Bell_Curve",$NN$12*(228-$NR$12+1)*($NS$12-228+1)/$NU$12,$NN$12/$NT$12)),0)</f>
        <v/>
      </c>
      <c r="HY12" s="228">
        <f>IF(AND(229&gt;=$NR$12,229&lt;=$NS$12),IF($NP$12="Single_Point",IF(229=$NR$12,$NN$12,0),IF($NP$12="Bell_Curve",$NN$12*(229-$NR$12+1)*($NS$12-229+1)/$NU$12,$NN$12/$NT$12)),0)</f>
        <v/>
      </c>
      <c r="HZ12" s="228">
        <f>IF(AND(230&gt;=$NR$12,230&lt;=$NS$12),IF($NP$12="Single_Point",IF(230=$NR$12,$NN$12,0),IF($NP$12="Bell_Curve",$NN$12*(230-$NR$12+1)*($NS$12-230+1)/$NU$12,$NN$12/$NT$12)),0)</f>
        <v/>
      </c>
      <c r="IA12" s="228">
        <f>IF(AND(231&gt;=$NR$12,231&lt;=$NS$12),IF($NP$12="Single_Point",IF(231=$NR$12,$NN$12,0),IF($NP$12="Bell_Curve",$NN$12*(231-$NR$12+1)*($NS$12-231+1)/$NU$12,$NN$12/$NT$12)),0)</f>
        <v/>
      </c>
      <c r="IB12" s="228">
        <f>IF(AND(232&gt;=$NR$12,232&lt;=$NS$12),IF($NP$12="Single_Point",IF(232=$NR$12,$NN$12,0),IF($NP$12="Bell_Curve",$NN$12*(232-$NR$12+1)*($NS$12-232+1)/$NU$12,$NN$12/$NT$12)),0)</f>
        <v/>
      </c>
      <c r="IC12" s="228">
        <f>IF(AND(233&gt;=$NR$12,233&lt;=$NS$12),IF($NP$12="Single_Point",IF(233=$NR$12,$NN$12,0),IF($NP$12="Bell_Curve",$NN$12*(233-$NR$12+1)*($NS$12-233+1)/$NU$12,$NN$12/$NT$12)),0)</f>
        <v/>
      </c>
      <c r="ID12" s="228">
        <f>IF(AND(234&gt;=$NR$12,234&lt;=$NS$12),IF($NP$12="Single_Point",IF(234=$NR$12,$NN$12,0),IF($NP$12="Bell_Curve",$NN$12*(234-$NR$12+1)*($NS$12-234+1)/$NU$12,$NN$12/$NT$12)),0)</f>
        <v/>
      </c>
      <c r="IE12" s="228">
        <f>IF(AND(235&gt;=$NR$12,235&lt;=$NS$12),IF($NP$12="Single_Point",IF(235=$NR$12,$NN$12,0),IF($NP$12="Bell_Curve",$NN$12*(235-$NR$12+1)*($NS$12-235+1)/$NU$12,$NN$12/$NT$12)),0)</f>
        <v/>
      </c>
      <c r="IF12" s="228">
        <f>IF(AND(236&gt;=$NR$12,236&lt;=$NS$12),IF($NP$12="Single_Point",IF(236=$NR$12,$NN$12,0),IF($NP$12="Bell_Curve",$NN$12*(236-$NR$12+1)*($NS$12-236+1)/$NU$12,$NN$12/$NT$12)),0)</f>
        <v/>
      </c>
      <c r="IG12" s="228">
        <f>IF(AND(237&gt;=$NR$12,237&lt;=$NS$12),IF($NP$12="Single_Point",IF(237=$NR$12,$NN$12,0),IF($NP$12="Bell_Curve",$NN$12*(237-$NR$12+1)*($NS$12-237+1)/$NU$12,$NN$12/$NT$12)),0)</f>
        <v/>
      </c>
      <c r="IH12" s="228">
        <f>IF(AND(238&gt;=$NR$12,238&lt;=$NS$12),IF($NP$12="Single_Point",IF(238=$NR$12,$NN$12,0),IF($NP$12="Bell_Curve",$NN$12*(238-$NR$12+1)*($NS$12-238+1)/$NU$12,$NN$12/$NT$12)),0)</f>
        <v/>
      </c>
      <c r="II12" s="228">
        <f>IF(AND(239&gt;=$NR$12,239&lt;=$NS$12),IF($NP$12="Single_Point",IF(239=$NR$12,$NN$12,0),IF($NP$12="Bell_Curve",$NN$12*(239-$NR$12+1)*($NS$12-239+1)/$NU$12,$NN$12/$NT$12)),0)</f>
        <v/>
      </c>
      <c r="IJ12" s="228">
        <f>IF(AND(240&gt;=$NR$12,240&lt;=$NS$12),IF($NP$12="Single_Point",IF(240=$NR$12,$NN$12,0),IF($NP$12="Bell_Curve",$NN$12*(240-$NR$12+1)*($NS$12-240+1)/$NU$12,$NN$12/$NT$12)),0)</f>
        <v/>
      </c>
      <c r="IK12" s="228">
        <f>IF(AND(241&gt;=$NR$12,241&lt;=$NS$12),IF($NP$12="Single_Point",IF(241=$NR$12,$NN$12,0),IF($NP$12="Bell_Curve",$NN$12*(241-$NR$12+1)*($NS$12-241+1)/$NU$12,$NN$12/$NT$12)),0)</f>
        <v/>
      </c>
      <c r="IL12" s="228">
        <f>IF(AND(242&gt;=$NR$12,242&lt;=$NS$12),IF($NP$12="Single_Point",IF(242=$NR$12,$NN$12,0),IF($NP$12="Bell_Curve",$NN$12*(242-$NR$12+1)*($NS$12-242+1)/$NU$12,$NN$12/$NT$12)),0)</f>
        <v/>
      </c>
      <c r="IM12" s="228">
        <f>IF(AND(243&gt;=$NR$12,243&lt;=$NS$12),IF($NP$12="Single_Point",IF(243=$NR$12,$NN$12,0),IF($NP$12="Bell_Curve",$NN$12*(243-$NR$12+1)*($NS$12-243+1)/$NU$12,$NN$12/$NT$12)),0)</f>
        <v/>
      </c>
      <c r="IN12" s="228">
        <f>IF(AND(244&gt;=$NR$12,244&lt;=$NS$12),IF($NP$12="Single_Point",IF(244=$NR$12,$NN$12,0),IF($NP$12="Bell_Curve",$NN$12*(244-$NR$12+1)*($NS$12-244+1)/$NU$12,$NN$12/$NT$12)),0)</f>
        <v/>
      </c>
      <c r="IO12" s="228">
        <f>IF(AND(245&gt;=$NR$12,245&lt;=$NS$12),IF($NP$12="Single_Point",IF(245=$NR$12,$NN$12,0),IF($NP$12="Bell_Curve",$NN$12*(245-$NR$12+1)*($NS$12-245+1)/$NU$12,$NN$12/$NT$12)),0)</f>
        <v/>
      </c>
      <c r="IP12" s="228">
        <f>IF(AND(246&gt;=$NR$12,246&lt;=$NS$12),IF($NP$12="Single_Point",IF(246=$NR$12,$NN$12,0),IF($NP$12="Bell_Curve",$NN$12*(246-$NR$12+1)*($NS$12-246+1)/$NU$12,$NN$12/$NT$12)),0)</f>
        <v/>
      </c>
      <c r="IQ12" s="228">
        <f>IF(AND(247&gt;=$NR$12,247&lt;=$NS$12),IF($NP$12="Single_Point",IF(247=$NR$12,$NN$12,0),IF($NP$12="Bell_Curve",$NN$12*(247-$NR$12+1)*($NS$12-247+1)/$NU$12,$NN$12/$NT$12)),0)</f>
        <v/>
      </c>
      <c r="IR12" s="228">
        <f>IF(AND(248&gt;=$NR$12,248&lt;=$NS$12),IF($NP$12="Single_Point",IF(248=$NR$12,$NN$12,0),IF($NP$12="Bell_Curve",$NN$12*(248-$NR$12+1)*($NS$12-248+1)/$NU$12,$NN$12/$NT$12)),0)</f>
        <v/>
      </c>
      <c r="IS12" s="228">
        <f>IF(AND(249&gt;=$NR$12,249&lt;=$NS$12),IF($NP$12="Single_Point",IF(249=$NR$12,$NN$12,0),IF($NP$12="Bell_Curve",$NN$12*(249-$NR$12+1)*($NS$12-249+1)/$NU$12,$NN$12/$NT$12)),0)</f>
        <v/>
      </c>
      <c r="IT12" s="228">
        <f>IF(AND(250&gt;=$NR$12,250&lt;=$NS$12),IF($NP$12="Single_Point",IF(250=$NR$12,$NN$12,0),IF($NP$12="Bell_Curve",$NN$12*(250-$NR$12+1)*($NS$12-250+1)/$NU$12,$NN$12/$NT$12)),0)</f>
        <v/>
      </c>
      <c r="IU12" s="228">
        <f>IF(AND(251&gt;=$NR$12,251&lt;=$NS$12),IF($NP$12="Single_Point",IF(251=$NR$12,$NN$12,0),IF($NP$12="Bell_Curve",$NN$12*(251-$NR$12+1)*($NS$12-251+1)/$NU$12,$NN$12/$NT$12)),0)</f>
        <v/>
      </c>
      <c r="IV12" s="228">
        <f>IF(AND(252&gt;=$NR$12,252&lt;=$NS$12),IF($NP$12="Single_Point",IF(252=$NR$12,$NN$12,0),IF($NP$12="Bell_Curve",$NN$12*(252-$NR$12+1)*($NS$12-252+1)/$NU$12,$NN$12/$NT$12)),0)</f>
        <v/>
      </c>
      <c r="IW12" s="228">
        <f>IF(AND(253&gt;=$NR$12,253&lt;=$NS$12),IF($NP$12="Single_Point",IF(253=$NR$12,$NN$12,0),IF($NP$12="Bell_Curve",$NN$12*(253-$NR$12+1)*($NS$12-253+1)/$NU$12,$NN$12/$NT$12)),0)</f>
        <v/>
      </c>
      <c r="IX12" s="228">
        <f>IF(AND(254&gt;=$NR$12,254&lt;=$NS$12),IF($NP$12="Single_Point",IF(254=$NR$12,$NN$12,0),IF($NP$12="Bell_Curve",$NN$12*(254-$NR$12+1)*($NS$12-254+1)/$NU$12,$NN$12/$NT$12)),0)</f>
        <v/>
      </c>
      <c r="IY12" s="228">
        <f>IF(AND(255&gt;=$NR$12,255&lt;=$NS$12),IF($NP$12="Single_Point",IF(255=$NR$12,$NN$12,0),IF($NP$12="Bell_Curve",$NN$12*(255-$NR$12+1)*($NS$12-255+1)/$NU$12,$NN$12/$NT$12)),0)</f>
        <v/>
      </c>
      <c r="IZ12" s="228">
        <f>IF(AND(256&gt;=$NR$12,256&lt;=$NS$12),IF($NP$12="Single_Point",IF(256=$NR$12,$NN$12,0),IF($NP$12="Bell_Curve",$NN$12*(256-$NR$12+1)*($NS$12-256+1)/$NU$12,$NN$12/$NT$12)),0)</f>
        <v/>
      </c>
      <c r="JA12" s="228">
        <f>IF(AND(257&gt;=$NR$12,257&lt;=$NS$12),IF($NP$12="Single_Point",IF(257=$NR$12,$NN$12,0),IF($NP$12="Bell_Curve",$NN$12*(257-$NR$12+1)*($NS$12-257+1)/$NU$12,$NN$12/$NT$12)),0)</f>
        <v/>
      </c>
      <c r="JB12" s="228">
        <f>IF(AND(258&gt;=$NR$12,258&lt;=$NS$12),IF($NP$12="Single_Point",IF(258=$NR$12,$NN$12,0),IF($NP$12="Bell_Curve",$NN$12*(258-$NR$12+1)*($NS$12-258+1)/$NU$12,$NN$12/$NT$12)),0)</f>
        <v/>
      </c>
      <c r="JC12" s="228">
        <f>IF(AND(259&gt;=$NR$12,259&lt;=$NS$12),IF($NP$12="Single_Point",IF(259=$NR$12,$NN$12,0),IF($NP$12="Bell_Curve",$NN$12*(259-$NR$12+1)*($NS$12-259+1)/$NU$12,$NN$12/$NT$12)),0)</f>
        <v/>
      </c>
      <c r="JD12" s="228">
        <f>IF(AND(260&gt;=$NR$12,260&lt;=$NS$12),IF($NP$12="Single_Point",IF(260=$NR$12,$NN$12,0),IF($NP$12="Bell_Curve",$NN$12*(260-$NR$12+1)*($NS$12-260+1)/$NU$12,$NN$12/$NT$12)),0)</f>
        <v/>
      </c>
      <c r="JE12" s="228">
        <f>IF(AND(261&gt;=$NR$12,261&lt;=$NS$12),IF($NP$12="Single_Point",IF(261=$NR$12,$NN$12,0),IF($NP$12="Bell_Curve",$NN$12*(261-$NR$12+1)*($NS$12-261+1)/$NU$12,$NN$12/$NT$12)),0)</f>
        <v/>
      </c>
      <c r="JF12" s="228">
        <f>IF(AND(262&gt;=$NR$12,262&lt;=$NS$12),IF($NP$12="Single_Point",IF(262=$NR$12,$NN$12,0),IF($NP$12="Bell_Curve",$NN$12*(262-$NR$12+1)*($NS$12-262+1)/$NU$12,$NN$12/$NT$12)),0)</f>
        <v/>
      </c>
      <c r="JG12" s="228">
        <f>IF(AND(263&gt;=$NR$12,263&lt;=$NS$12),IF($NP$12="Single_Point",IF(263=$NR$12,$NN$12,0),IF($NP$12="Bell_Curve",$NN$12*(263-$NR$12+1)*($NS$12-263+1)/$NU$12,$NN$12/$NT$12)),0)</f>
        <v/>
      </c>
      <c r="JH12" s="228">
        <f>IF(AND(264&gt;=$NR$12,264&lt;=$NS$12),IF($NP$12="Single_Point",IF(264=$NR$12,$NN$12,0),IF($NP$12="Bell_Curve",$NN$12*(264-$NR$12+1)*($NS$12-264+1)/$NU$12,$NN$12/$NT$12)),0)</f>
        <v/>
      </c>
      <c r="JI12" s="228">
        <f>IF(AND(265&gt;=$NR$12,265&lt;=$NS$12),IF($NP$12="Single_Point",IF(265=$NR$12,$NN$12,0),IF($NP$12="Bell_Curve",$NN$12*(265-$NR$12+1)*($NS$12-265+1)/$NU$12,$NN$12/$NT$12)),0)</f>
        <v/>
      </c>
      <c r="JJ12" s="228">
        <f>IF(AND(266&gt;=$NR$12,266&lt;=$NS$12),IF($NP$12="Single_Point",IF(266=$NR$12,$NN$12,0),IF($NP$12="Bell_Curve",$NN$12*(266-$NR$12+1)*($NS$12-266+1)/$NU$12,$NN$12/$NT$12)),0)</f>
        <v/>
      </c>
      <c r="JK12" s="228">
        <f>IF(AND(267&gt;=$NR$12,267&lt;=$NS$12),IF($NP$12="Single_Point",IF(267=$NR$12,$NN$12,0),IF($NP$12="Bell_Curve",$NN$12*(267-$NR$12+1)*($NS$12-267+1)/$NU$12,$NN$12/$NT$12)),0)</f>
        <v/>
      </c>
      <c r="JL12" s="228">
        <f>IF(AND(268&gt;=$NR$12,268&lt;=$NS$12),IF($NP$12="Single_Point",IF(268=$NR$12,$NN$12,0),IF($NP$12="Bell_Curve",$NN$12*(268-$NR$12+1)*($NS$12-268+1)/$NU$12,$NN$12/$NT$12)),0)</f>
        <v/>
      </c>
      <c r="JM12" s="228">
        <f>IF(AND(269&gt;=$NR$12,269&lt;=$NS$12),IF($NP$12="Single_Point",IF(269=$NR$12,$NN$12,0),IF($NP$12="Bell_Curve",$NN$12*(269-$NR$12+1)*($NS$12-269+1)/$NU$12,$NN$12/$NT$12)),0)</f>
        <v/>
      </c>
      <c r="JN12" s="228">
        <f>IF(AND(270&gt;=$NR$12,270&lt;=$NS$12),IF($NP$12="Single_Point",IF(270=$NR$12,$NN$12,0),IF($NP$12="Bell_Curve",$NN$12*(270-$NR$12+1)*($NS$12-270+1)/$NU$12,$NN$12/$NT$12)),0)</f>
        <v/>
      </c>
      <c r="JO12" s="228">
        <f>IF(AND(271&gt;=$NR$12,271&lt;=$NS$12),IF($NP$12="Single_Point",IF(271=$NR$12,$NN$12,0),IF($NP$12="Bell_Curve",$NN$12*(271-$NR$12+1)*($NS$12-271+1)/$NU$12,$NN$12/$NT$12)),0)</f>
        <v/>
      </c>
      <c r="JP12" s="228">
        <f>IF(AND(272&gt;=$NR$12,272&lt;=$NS$12),IF($NP$12="Single_Point",IF(272=$NR$12,$NN$12,0),IF($NP$12="Bell_Curve",$NN$12*(272-$NR$12+1)*($NS$12-272+1)/$NU$12,$NN$12/$NT$12)),0)</f>
        <v/>
      </c>
      <c r="JQ12" s="228">
        <f>IF(AND(273&gt;=$NR$12,273&lt;=$NS$12),IF($NP$12="Single_Point",IF(273=$NR$12,$NN$12,0),IF($NP$12="Bell_Curve",$NN$12*(273-$NR$12+1)*($NS$12-273+1)/$NU$12,$NN$12/$NT$12)),0)</f>
        <v/>
      </c>
      <c r="JR12" s="228">
        <f>IF(AND(274&gt;=$NR$12,274&lt;=$NS$12),IF($NP$12="Single_Point",IF(274=$NR$12,$NN$12,0),IF($NP$12="Bell_Curve",$NN$12*(274-$NR$12+1)*($NS$12-274+1)/$NU$12,$NN$12/$NT$12)),0)</f>
        <v/>
      </c>
      <c r="JS12" s="228">
        <f>IF(AND(275&gt;=$NR$12,275&lt;=$NS$12),IF($NP$12="Single_Point",IF(275=$NR$12,$NN$12,0),IF($NP$12="Bell_Curve",$NN$12*(275-$NR$12+1)*($NS$12-275+1)/$NU$12,$NN$12/$NT$12)),0)</f>
        <v/>
      </c>
      <c r="JT12" s="228">
        <f>IF(AND(276&gt;=$NR$12,276&lt;=$NS$12),IF($NP$12="Single_Point",IF(276=$NR$12,$NN$12,0),IF($NP$12="Bell_Curve",$NN$12*(276-$NR$12+1)*($NS$12-276+1)/$NU$12,$NN$12/$NT$12)),0)</f>
        <v/>
      </c>
      <c r="JU12" s="228">
        <f>IF(AND(277&gt;=$NR$12,277&lt;=$NS$12),IF($NP$12="Single_Point",IF(277=$NR$12,$NN$12,0),IF($NP$12="Bell_Curve",$NN$12*(277-$NR$12+1)*($NS$12-277+1)/$NU$12,$NN$12/$NT$12)),0)</f>
        <v/>
      </c>
      <c r="JV12" s="228">
        <f>IF(AND(278&gt;=$NR$12,278&lt;=$NS$12),IF($NP$12="Single_Point",IF(278=$NR$12,$NN$12,0),IF($NP$12="Bell_Curve",$NN$12*(278-$NR$12+1)*($NS$12-278+1)/$NU$12,$NN$12/$NT$12)),0)</f>
        <v/>
      </c>
      <c r="JW12" s="228">
        <f>IF(AND(279&gt;=$NR$12,279&lt;=$NS$12),IF($NP$12="Single_Point",IF(279=$NR$12,$NN$12,0),IF($NP$12="Bell_Curve",$NN$12*(279-$NR$12+1)*($NS$12-279+1)/$NU$12,$NN$12/$NT$12)),0)</f>
        <v/>
      </c>
      <c r="JX12" s="228">
        <f>IF(AND(280&gt;=$NR$12,280&lt;=$NS$12),IF($NP$12="Single_Point",IF(280=$NR$12,$NN$12,0),IF($NP$12="Bell_Curve",$NN$12*(280-$NR$12+1)*($NS$12-280+1)/$NU$12,$NN$12/$NT$12)),0)</f>
        <v/>
      </c>
      <c r="JY12" s="228">
        <f>IF(AND(281&gt;=$NR$12,281&lt;=$NS$12),IF($NP$12="Single_Point",IF(281=$NR$12,$NN$12,0),IF($NP$12="Bell_Curve",$NN$12*(281-$NR$12+1)*($NS$12-281+1)/$NU$12,$NN$12/$NT$12)),0)</f>
        <v/>
      </c>
      <c r="JZ12" s="228">
        <f>IF(AND(282&gt;=$NR$12,282&lt;=$NS$12),IF($NP$12="Single_Point",IF(282=$NR$12,$NN$12,0),IF($NP$12="Bell_Curve",$NN$12*(282-$NR$12+1)*($NS$12-282+1)/$NU$12,$NN$12/$NT$12)),0)</f>
        <v/>
      </c>
      <c r="KA12" s="228">
        <f>IF(AND(283&gt;=$NR$12,283&lt;=$NS$12),IF($NP$12="Single_Point",IF(283=$NR$12,$NN$12,0),IF($NP$12="Bell_Curve",$NN$12*(283-$NR$12+1)*($NS$12-283+1)/$NU$12,$NN$12/$NT$12)),0)</f>
        <v/>
      </c>
      <c r="KB12" s="228">
        <f>IF(AND(284&gt;=$NR$12,284&lt;=$NS$12),IF($NP$12="Single_Point",IF(284=$NR$12,$NN$12,0),IF($NP$12="Bell_Curve",$NN$12*(284-$NR$12+1)*($NS$12-284+1)/$NU$12,$NN$12/$NT$12)),0)</f>
        <v/>
      </c>
      <c r="KC12" s="228">
        <f>IF(AND(285&gt;=$NR$12,285&lt;=$NS$12),IF($NP$12="Single_Point",IF(285=$NR$12,$NN$12,0),IF($NP$12="Bell_Curve",$NN$12*(285-$NR$12+1)*($NS$12-285+1)/$NU$12,$NN$12/$NT$12)),0)</f>
        <v/>
      </c>
      <c r="KD12" s="228">
        <f>IF(AND(286&gt;=$NR$12,286&lt;=$NS$12),IF($NP$12="Single_Point",IF(286=$NR$12,$NN$12,0),IF($NP$12="Bell_Curve",$NN$12*(286-$NR$12+1)*($NS$12-286+1)/$NU$12,$NN$12/$NT$12)),0)</f>
        <v/>
      </c>
      <c r="KE12" s="228">
        <f>IF(AND(287&gt;=$NR$12,287&lt;=$NS$12),IF($NP$12="Single_Point",IF(287=$NR$12,$NN$12,0),IF($NP$12="Bell_Curve",$NN$12*(287-$NR$12+1)*($NS$12-287+1)/$NU$12,$NN$12/$NT$12)),0)</f>
        <v/>
      </c>
      <c r="KF12" s="228">
        <f>IF(AND(288&gt;=$NR$12,288&lt;=$NS$12),IF($NP$12="Single_Point",IF(288=$NR$12,$NN$12,0),IF($NP$12="Bell_Curve",$NN$12*(288-$NR$12+1)*($NS$12-288+1)/$NU$12,$NN$12/$NT$12)),0)</f>
        <v/>
      </c>
      <c r="KG12" s="228">
        <f>IF(AND(289&gt;=$NR$12,289&lt;=$NS$12),IF($NP$12="Single_Point",IF(289=$NR$12,$NN$12,0),IF($NP$12="Bell_Curve",$NN$12*(289-$NR$12+1)*($NS$12-289+1)/$NU$12,$NN$12/$NT$12)),0)</f>
        <v/>
      </c>
      <c r="KH12" s="228">
        <f>IF(AND(290&gt;=$NR$12,290&lt;=$NS$12),IF($NP$12="Single_Point",IF(290=$NR$12,$NN$12,0),IF($NP$12="Bell_Curve",$NN$12*(290-$NR$12+1)*($NS$12-290+1)/$NU$12,$NN$12/$NT$12)),0)</f>
        <v/>
      </c>
      <c r="KI12" s="228">
        <f>IF(AND(291&gt;=$NR$12,291&lt;=$NS$12),IF($NP$12="Single_Point",IF(291=$NR$12,$NN$12,0),IF($NP$12="Bell_Curve",$NN$12*(291-$NR$12+1)*($NS$12-291+1)/$NU$12,$NN$12/$NT$12)),0)</f>
        <v/>
      </c>
      <c r="KJ12" s="228">
        <f>IF(AND(292&gt;=$NR$12,292&lt;=$NS$12),IF($NP$12="Single_Point",IF(292=$NR$12,$NN$12,0),IF($NP$12="Bell_Curve",$NN$12*(292-$NR$12+1)*($NS$12-292+1)/$NU$12,$NN$12/$NT$12)),0)</f>
        <v/>
      </c>
      <c r="KK12" s="228">
        <f>IF(AND(293&gt;=$NR$12,293&lt;=$NS$12),IF($NP$12="Single_Point",IF(293=$NR$12,$NN$12,0),IF($NP$12="Bell_Curve",$NN$12*(293-$NR$12+1)*($NS$12-293+1)/$NU$12,$NN$12/$NT$12)),0)</f>
        <v/>
      </c>
      <c r="KL12" s="228">
        <f>IF(AND(294&gt;=$NR$12,294&lt;=$NS$12),IF($NP$12="Single_Point",IF(294=$NR$12,$NN$12,0),IF($NP$12="Bell_Curve",$NN$12*(294-$NR$12+1)*($NS$12-294+1)/$NU$12,$NN$12/$NT$12)),0)</f>
        <v/>
      </c>
      <c r="KM12" s="228">
        <f>IF(AND(295&gt;=$NR$12,295&lt;=$NS$12),IF($NP$12="Single_Point",IF(295=$NR$12,$NN$12,0),IF($NP$12="Bell_Curve",$NN$12*(295-$NR$12+1)*($NS$12-295+1)/$NU$12,$NN$12/$NT$12)),0)</f>
        <v/>
      </c>
      <c r="KN12" s="228">
        <f>IF(AND(296&gt;=$NR$12,296&lt;=$NS$12),IF($NP$12="Single_Point",IF(296=$NR$12,$NN$12,0),IF($NP$12="Bell_Curve",$NN$12*(296-$NR$12+1)*($NS$12-296+1)/$NU$12,$NN$12/$NT$12)),0)</f>
        <v/>
      </c>
      <c r="KO12" s="228">
        <f>IF(AND(297&gt;=$NR$12,297&lt;=$NS$12),IF($NP$12="Single_Point",IF(297=$NR$12,$NN$12,0),IF($NP$12="Bell_Curve",$NN$12*(297-$NR$12+1)*($NS$12-297+1)/$NU$12,$NN$12/$NT$12)),0)</f>
        <v/>
      </c>
      <c r="KP12" s="228">
        <f>IF(AND(298&gt;=$NR$12,298&lt;=$NS$12),IF($NP$12="Single_Point",IF(298=$NR$12,$NN$12,0),IF($NP$12="Bell_Curve",$NN$12*(298-$NR$12+1)*($NS$12-298+1)/$NU$12,$NN$12/$NT$12)),0)</f>
        <v/>
      </c>
      <c r="KQ12" s="228">
        <f>IF(AND(299&gt;=$NR$12,299&lt;=$NS$12),IF($NP$12="Single_Point",IF(299=$NR$12,$NN$12,0),IF($NP$12="Bell_Curve",$NN$12*(299-$NR$12+1)*($NS$12-299+1)/$NU$12,$NN$12/$NT$12)),0)</f>
        <v/>
      </c>
      <c r="KR12" s="228">
        <f>IF(AND(300&gt;=$NR$12,300&lt;=$NS$12),IF($NP$12="Single_Point",IF(300=$NR$12,$NN$12,0),IF($NP$12="Bell_Curve",$NN$12*(300-$NR$12+1)*($NS$12-300+1)/$NU$12,$NN$12/$NT$12)),0)</f>
        <v/>
      </c>
      <c r="KS12" s="228">
        <f>IF(AND(301&gt;=$NR$12,301&lt;=$NS$12),IF($NP$12="Single_Point",IF(301=$NR$12,$NN$12,0),IF($NP$12="Bell_Curve",$NN$12*(301-$NR$12+1)*($NS$12-301+1)/$NU$12,$NN$12/$NT$12)),0)</f>
        <v/>
      </c>
      <c r="KT12" s="228">
        <f>IF(AND(302&gt;=$NR$12,302&lt;=$NS$12),IF($NP$12="Single_Point",IF(302=$NR$12,$NN$12,0),IF($NP$12="Bell_Curve",$NN$12*(302-$NR$12+1)*($NS$12-302+1)/$NU$12,$NN$12/$NT$12)),0)</f>
        <v/>
      </c>
      <c r="KU12" s="228">
        <f>IF(AND(303&gt;=$NR$12,303&lt;=$NS$12),IF($NP$12="Single_Point",IF(303=$NR$12,$NN$12,0),IF($NP$12="Bell_Curve",$NN$12*(303-$NR$12+1)*($NS$12-303+1)/$NU$12,$NN$12/$NT$12)),0)</f>
        <v/>
      </c>
      <c r="KV12" s="228">
        <f>IF(AND(304&gt;=$NR$12,304&lt;=$NS$12),IF($NP$12="Single_Point",IF(304=$NR$12,$NN$12,0),IF($NP$12="Bell_Curve",$NN$12*(304-$NR$12+1)*($NS$12-304+1)/$NU$12,$NN$12/$NT$12)),0)</f>
        <v/>
      </c>
      <c r="KW12" s="228">
        <f>IF(AND(305&gt;=$NR$12,305&lt;=$NS$12),IF($NP$12="Single_Point",IF(305=$NR$12,$NN$12,0),IF($NP$12="Bell_Curve",$NN$12*(305-$NR$12+1)*($NS$12-305+1)/$NU$12,$NN$12/$NT$12)),0)</f>
        <v/>
      </c>
      <c r="KX12" s="228">
        <f>IF(AND(306&gt;=$NR$12,306&lt;=$NS$12),IF($NP$12="Single_Point",IF(306=$NR$12,$NN$12,0),IF($NP$12="Bell_Curve",$NN$12*(306-$NR$12+1)*($NS$12-306+1)/$NU$12,$NN$12/$NT$12)),0)</f>
        <v/>
      </c>
      <c r="KY12" s="228">
        <f>IF(AND(307&gt;=$NR$12,307&lt;=$NS$12),IF($NP$12="Single_Point",IF(307=$NR$12,$NN$12,0),IF($NP$12="Bell_Curve",$NN$12*(307-$NR$12+1)*($NS$12-307+1)/$NU$12,$NN$12/$NT$12)),0)</f>
        <v/>
      </c>
      <c r="KZ12" s="228">
        <f>IF(AND(308&gt;=$NR$12,308&lt;=$NS$12),IF($NP$12="Single_Point",IF(308=$NR$12,$NN$12,0),IF($NP$12="Bell_Curve",$NN$12*(308-$NR$12+1)*($NS$12-308+1)/$NU$12,$NN$12/$NT$12)),0)</f>
        <v/>
      </c>
      <c r="LA12" s="228">
        <f>IF(AND(309&gt;=$NR$12,309&lt;=$NS$12),IF($NP$12="Single_Point",IF(309=$NR$12,$NN$12,0),IF($NP$12="Bell_Curve",$NN$12*(309-$NR$12+1)*($NS$12-309+1)/$NU$12,$NN$12/$NT$12)),0)</f>
        <v/>
      </c>
      <c r="LB12" s="228">
        <f>IF(AND(310&gt;=$NR$12,310&lt;=$NS$12),IF($NP$12="Single_Point",IF(310=$NR$12,$NN$12,0),IF($NP$12="Bell_Curve",$NN$12*(310-$NR$12+1)*($NS$12-310+1)/$NU$12,$NN$12/$NT$12)),0)</f>
        <v/>
      </c>
      <c r="LC12" s="228">
        <f>IF(AND(311&gt;=$NR$12,311&lt;=$NS$12),IF($NP$12="Single_Point",IF(311=$NR$12,$NN$12,0),IF($NP$12="Bell_Curve",$NN$12*(311-$NR$12+1)*($NS$12-311+1)/$NU$12,$NN$12/$NT$12)),0)</f>
        <v/>
      </c>
      <c r="LD12" s="228">
        <f>IF(AND(312&gt;=$NR$12,312&lt;=$NS$12),IF($NP$12="Single_Point",IF(312=$NR$12,$NN$12,0),IF($NP$12="Bell_Curve",$NN$12*(312-$NR$12+1)*($NS$12-312+1)/$NU$12,$NN$12/$NT$12)),0)</f>
        <v/>
      </c>
      <c r="LE12" s="228">
        <f>IF(AND(313&gt;=$NR$12,313&lt;=$NS$12),IF($NP$12="Single_Point",IF(313=$NR$12,$NN$12,0),IF($NP$12="Bell_Curve",$NN$12*(313-$NR$12+1)*($NS$12-313+1)/$NU$12,$NN$12/$NT$12)),0)</f>
        <v/>
      </c>
      <c r="LF12" s="228">
        <f>IF(AND(314&gt;=$NR$12,314&lt;=$NS$12),IF($NP$12="Single_Point",IF(314=$NR$12,$NN$12,0),IF($NP$12="Bell_Curve",$NN$12*(314-$NR$12+1)*($NS$12-314+1)/$NU$12,$NN$12/$NT$12)),0)</f>
        <v/>
      </c>
      <c r="LG12" s="228">
        <f>IF(AND(315&gt;=$NR$12,315&lt;=$NS$12),IF($NP$12="Single_Point",IF(315=$NR$12,$NN$12,0),IF($NP$12="Bell_Curve",$NN$12*(315-$NR$12+1)*($NS$12-315+1)/$NU$12,$NN$12/$NT$12)),0)</f>
        <v/>
      </c>
      <c r="LH12" s="228">
        <f>IF(AND(316&gt;=$NR$12,316&lt;=$NS$12),IF($NP$12="Single_Point",IF(316=$NR$12,$NN$12,0),IF($NP$12="Bell_Curve",$NN$12*(316-$NR$12+1)*($NS$12-316+1)/$NU$12,$NN$12/$NT$12)),0)</f>
        <v/>
      </c>
      <c r="LI12" s="228">
        <f>IF(AND(317&gt;=$NR$12,317&lt;=$NS$12),IF($NP$12="Single_Point",IF(317=$NR$12,$NN$12,0),IF($NP$12="Bell_Curve",$NN$12*(317-$NR$12+1)*($NS$12-317+1)/$NU$12,$NN$12/$NT$12)),0)</f>
        <v/>
      </c>
      <c r="LJ12" s="228">
        <f>IF(AND(318&gt;=$NR$12,318&lt;=$NS$12),IF($NP$12="Single_Point",IF(318=$NR$12,$NN$12,0),IF($NP$12="Bell_Curve",$NN$12*(318-$NR$12+1)*($NS$12-318+1)/$NU$12,$NN$12/$NT$12)),0)</f>
        <v/>
      </c>
      <c r="LK12" s="228">
        <f>IF(AND(319&gt;=$NR$12,319&lt;=$NS$12),IF($NP$12="Single_Point",IF(319=$NR$12,$NN$12,0),IF($NP$12="Bell_Curve",$NN$12*(319-$NR$12+1)*($NS$12-319+1)/$NU$12,$NN$12/$NT$12)),0)</f>
        <v/>
      </c>
      <c r="LL12" s="228">
        <f>IF(AND(320&gt;=$NR$12,320&lt;=$NS$12),IF($NP$12="Single_Point",IF(320=$NR$12,$NN$12,0),IF($NP$12="Bell_Curve",$NN$12*(320-$NR$12+1)*($NS$12-320+1)/$NU$12,$NN$12/$NT$12)),0)</f>
        <v/>
      </c>
      <c r="LM12" s="228">
        <f>IF(AND(321&gt;=$NR$12,321&lt;=$NS$12),IF($NP$12="Single_Point",IF(321=$NR$12,$NN$12,0),IF($NP$12="Bell_Curve",$NN$12*(321-$NR$12+1)*($NS$12-321+1)/$NU$12,$NN$12/$NT$12)),0)</f>
        <v/>
      </c>
      <c r="LN12" s="228">
        <f>IF(AND(322&gt;=$NR$12,322&lt;=$NS$12),IF($NP$12="Single_Point",IF(322=$NR$12,$NN$12,0),IF($NP$12="Bell_Curve",$NN$12*(322-$NR$12+1)*($NS$12-322+1)/$NU$12,$NN$12/$NT$12)),0)</f>
        <v/>
      </c>
      <c r="LO12" s="228">
        <f>IF(AND(323&gt;=$NR$12,323&lt;=$NS$12),IF($NP$12="Single_Point",IF(323=$NR$12,$NN$12,0),IF($NP$12="Bell_Curve",$NN$12*(323-$NR$12+1)*($NS$12-323+1)/$NU$12,$NN$12/$NT$12)),0)</f>
        <v/>
      </c>
      <c r="LP12" s="228">
        <f>IF(AND(324&gt;=$NR$12,324&lt;=$NS$12),IF($NP$12="Single_Point",IF(324=$NR$12,$NN$12,0),IF($NP$12="Bell_Curve",$NN$12*(324-$NR$12+1)*($NS$12-324+1)/$NU$12,$NN$12/$NT$12)),0)</f>
        <v/>
      </c>
      <c r="LQ12" s="228">
        <f>IF(AND(325&gt;=$NR$12,325&lt;=$NS$12),IF($NP$12="Single_Point",IF(325=$NR$12,$NN$12,0),IF($NP$12="Bell_Curve",$NN$12*(325-$NR$12+1)*($NS$12-325+1)/$NU$12,$NN$12/$NT$12)),0)</f>
        <v/>
      </c>
      <c r="LR12" s="228">
        <f>IF(AND(326&gt;=$NR$12,326&lt;=$NS$12),IF($NP$12="Single_Point",IF(326=$NR$12,$NN$12,0),IF($NP$12="Bell_Curve",$NN$12*(326-$NR$12+1)*($NS$12-326+1)/$NU$12,$NN$12/$NT$12)),0)</f>
        <v/>
      </c>
      <c r="LS12" s="228">
        <f>IF(AND(327&gt;=$NR$12,327&lt;=$NS$12),IF($NP$12="Single_Point",IF(327=$NR$12,$NN$12,0),IF($NP$12="Bell_Curve",$NN$12*(327-$NR$12+1)*($NS$12-327+1)/$NU$12,$NN$12/$NT$12)),0)</f>
        <v/>
      </c>
      <c r="LT12" s="228">
        <f>IF(AND(328&gt;=$NR$12,328&lt;=$NS$12),IF($NP$12="Single_Point",IF(328=$NR$12,$NN$12,0),IF($NP$12="Bell_Curve",$NN$12*(328-$NR$12+1)*($NS$12-328+1)/$NU$12,$NN$12/$NT$12)),0)</f>
        <v/>
      </c>
      <c r="LU12" s="228">
        <f>IF(AND(329&gt;=$NR$12,329&lt;=$NS$12),IF($NP$12="Single_Point",IF(329=$NR$12,$NN$12,0),IF($NP$12="Bell_Curve",$NN$12*(329-$NR$12+1)*($NS$12-329+1)/$NU$12,$NN$12/$NT$12)),0)</f>
        <v/>
      </c>
      <c r="LV12" s="228">
        <f>IF(AND(330&gt;=$NR$12,330&lt;=$NS$12),IF($NP$12="Single_Point",IF(330=$NR$12,$NN$12,0),IF($NP$12="Bell_Curve",$NN$12*(330-$NR$12+1)*($NS$12-330+1)/$NU$12,$NN$12/$NT$12)),0)</f>
        <v/>
      </c>
      <c r="LW12" s="228">
        <f>IF(AND(331&gt;=$NR$12,331&lt;=$NS$12),IF($NP$12="Single_Point",IF(331=$NR$12,$NN$12,0),IF($NP$12="Bell_Curve",$NN$12*(331-$NR$12+1)*($NS$12-331+1)/$NU$12,$NN$12/$NT$12)),0)</f>
        <v/>
      </c>
      <c r="LX12" s="228">
        <f>IF(AND(332&gt;=$NR$12,332&lt;=$NS$12),IF($NP$12="Single_Point",IF(332=$NR$12,$NN$12,0),IF($NP$12="Bell_Curve",$NN$12*(332-$NR$12+1)*($NS$12-332+1)/$NU$12,$NN$12/$NT$12)),0)</f>
        <v/>
      </c>
      <c r="LY12" s="228">
        <f>IF(AND(333&gt;=$NR$12,333&lt;=$NS$12),IF($NP$12="Single_Point",IF(333=$NR$12,$NN$12,0),IF($NP$12="Bell_Curve",$NN$12*(333-$NR$12+1)*($NS$12-333+1)/$NU$12,$NN$12/$NT$12)),0)</f>
        <v/>
      </c>
      <c r="LZ12" s="228">
        <f>IF(AND(334&gt;=$NR$12,334&lt;=$NS$12),IF($NP$12="Single_Point",IF(334=$NR$12,$NN$12,0),IF($NP$12="Bell_Curve",$NN$12*(334-$NR$12+1)*($NS$12-334+1)/$NU$12,$NN$12/$NT$12)),0)</f>
        <v/>
      </c>
      <c r="MA12" s="228">
        <f>IF(AND(335&gt;=$NR$12,335&lt;=$NS$12),IF($NP$12="Single_Point",IF(335=$NR$12,$NN$12,0),IF($NP$12="Bell_Curve",$NN$12*(335-$NR$12+1)*($NS$12-335+1)/$NU$12,$NN$12/$NT$12)),0)</f>
        <v/>
      </c>
      <c r="MB12" s="228">
        <f>IF(AND(336&gt;=$NR$12,336&lt;=$NS$12),IF($NP$12="Single_Point",IF(336=$NR$12,$NN$12,0),IF($NP$12="Bell_Curve",$NN$12*(336-$NR$12+1)*($NS$12-336+1)/$NU$12,$NN$12/$NT$12)),0)</f>
        <v/>
      </c>
      <c r="MC12" s="228">
        <f>IF(AND(337&gt;=$NR$12,337&lt;=$NS$12),IF($NP$12="Single_Point",IF(337=$NR$12,$NN$12,0),IF($NP$12="Bell_Curve",$NN$12*(337-$NR$12+1)*($NS$12-337+1)/$NU$12,$NN$12/$NT$12)),0)</f>
        <v/>
      </c>
      <c r="MD12" s="228">
        <f>IF(AND(338&gt;=$NR$12,338&lt;=$NS$12),IF($NP$12="Single_Point",IF(338=$NR$12,$NN$12,0),IF($NP$12="Bell_Curve",$NN$12*(338-$NR$12+1)*($NS$12-338+1)/$NU$12,$NN$12/$NT$12)),0)</f>
        <v/>
      </c>
      <c r="ME12" s="228">
        <f>IF(AND(339&gt;=$NR$12,339&lt;=$NS$12),IF($NP$12="Single_Point",IF(339=$NR$12,$NN$12,0),IF($NP$12="Bell_Curve",$NN$12*(339-$NR$12+1)*($NS$12-339+1)/$NU$12,$NN$12/$NT$12)),0)</f>
        <v/>
      </c>
      <c r="MF12" s="228">
        <f>IF(AND(340&gt;=$NR$12,340&lt;=$NS$12),IF($NP$12="Single_Point",IF(340=$NR$12,$NN$12,0),IF($NP$12="Bell_Curve",$NN$12*(340-$NR$12+1)*($NS$12-340+1)/$NU$12,$NN$12/$NT$12)),0)</f>
        <v/>
      </c>
      <c r="MG12" s="228">
        <f>IF(AND(341&gt;=$NR$12,341&lt;=$NS$12),IF($NP$12="Single_Point",IF(341=$NR$12,$NN$12,0),IF($NP$12="Bell_Curve",$NN$12*(341-$NR$12+1)*($NS$12-341+1)/$NU$12,$NN$12/$NT$12)),0)</f>
        <v/>
      </c>
      <c r="MH12" s="228">
        <f>IF(AND(342&gt;=$NR$12,342&lt;=$NS$12),IF($NP$12="Single_Point",IF(342=$NR$12,$NN$12,0),IF($NP$12="Bell_Curve",$NN$12*(342-$NR$12+1)*($NS$12-342+1)/$NU$12,$NN$12/$NT$12)),0)</f>
        <v/>
      </c>
      <c r="MI12" s="228">
        <f>IF(AND(343&gt;=$NR$12,343&lt;=$NS$12),IF($NP$12="Single_Point",IF(343=$NR$12,$NN$12,0),IF($NP$12="Bell_Curve",$NN$12*(343-$NR$12+1)*($NS$12-343+1)/$NU$12,$NN$12/$NT$12)),0)</f>
        <v/>
      </c>
      <c r="MJ12" s="228">
        <f>IF(AND(344&gt;=$NR$12,344&lt;=$NS$12),IF($NP$12="Single_Point",IF(344=$NR$12,$NN$12,0),IF($NP$12="Bell_Curve",$NN$12*(344-$NR$12+1)*($NS$12-344+1)/$NU$12,$NN$12/$NT$12)),0)</f>
        <v/>
      </c>
      <c r="MK12" s="228">
        <f>IF(AND(345&gt;=$NR$12,345&lt;=$NS$12),IF($NP$12="Single_Point",IF(345=$NR$12,$NN$12,0),IF($NP$12="Bell_Curve",$NN$12*(345-$NR$12+1)*($NS$12-345+1)/$NU$12,$NN$12/$NT$12)),0)</f>
        <v/>
      </c>
      <c r="ML12" s="228">
        <f>IF(AND(346&gt;=$NR$12,346&lt;=$NS$12),IF($NP$12="Single_Point",IF(346=$NR$12,$NN$12,0),IF($NP$12="Bell_Curve",$NN$12*(346-$NR$12+1)*($NS$12-346+1)/$NU$12,$NN$12/$NT$12)),0)</f>
        <v/>
      </c>
      <c r="MM12" s="228">
        <f>IF(AND(347&gt;=$NR$12,347&lt;=$NS$12),IF($NP$12="Single_Point",IF(347=$NR$12,$NN$12,0),IF($NP$12="Bell_Curve",$NN$12*(347-$NR$12+1)*($NS$12-347+1)/$NU$12,$NN$12/$NT$12)),0)</f>
        <v/>
      </c>
      <c r="MN12" s="228">
        <f>IF(AND(348&gt;=$NR$12,348&lt;=$NS$12),IF($NP$12="Single_Point",IF(348=$NR$12,$NN$12,0),IF($NP$12="Bell_Curve",$NN$12*(348-$NR$12+1)*($NS$12-348+1)/$NU$12,$NN$12/$NT$12)),0)</f>
        <v/>
      </c>
      <c r="MO12" s="228">
        <f>IF(AND(349&gt;=$NR$12,349&lt;=$NS$12),IF($NP$12="Single_Point",IF(349=$NR$12,$NN$12,0),IF($NP$12="Bell_Curve",$NN$12*(349-$NR$12+1)*($NS$12-349+1)/$NU$12,$NN$12/$NT$12)),0)</f>
        <v/>
      </c>
      <c r="MP12" s="228">
        <f>IF(AND(350&gt;=$NR$12,350&lt;=$NS$12),IF($NP$12="Single_Point",IF(350=$NR$12,$NN$12,0),IF($NP$12="Bell_Curve",$NN$12*(350-$NR$12+1)*($NS$12-350+1)/$NU$12,$NN$12/$NT$12)),0)</f>
        <v/>
      </c>
      <c r="MQ12" s="228">
        <f>IF(AND(351&gt;=$NR$12,351&lt;=$NS$12),IF($NP$12="Single_Point",IF(351=$NR$12,$NN$12,0),IF($NP$12="Bell_Curve",$NN$12*(351-$NR$12+1)*($NS$12-351+1)/$NU$12,$NN$12/$NT$12)),0)</f>
        <v/>
      </c>
      <c r="MR12" s="228">
        <f>IF(AND(352&gt;=$NR$12,352&lt;=$NS$12),IF($NP$12="Single_Point",IF(352=$NR$12,$NN$12,0),IF($NP$12="Bell_Curve",$NN$12*(352-$NR$12+1)*($NS$12-352+1)/$NU$12,$NN$12/$NT$12)),0)</f>
        <v/>
      </c>
      <c r="MS12" s="228">
        <f>IF(AND(353&gt;=$NR$12,353&lt;=$NS$12),IF($NP$12="Single_Point",IF(353=$NR$12,$NN$12,0),IF($NP$12="Bell_Curve",$NN$12*(353-$NR$12+1)*($NS$12-353+1)/$NU$12,$NN$12/$NT$12)),0)</f>
        <v/>
      </c>
      <c r="MT12" s="228">
        <f>IF(AND(354&gt;=$NR$12,354&lt;=$NS$12),IF($NP$12="Single_Point",IF(354=$NR$12,$NN$12,0),IF($NP$12="Bell_Curve",$NN$12*(354-$NR$12+1)*($NS$12-354+1)/$NU$12,$NN$12/$NT$12)),0)</f>
        <v/>
      </c>
      <c r="MU12" s="228">
        <f>IF(AND(355&gt;=$NR$12,355&lt;=$NS$12),IF($NP$12="Single_Point",IF(355=$NR$12,$NN$12,0),IF($NP$12="Bell_Curve",$NN$12*(355-$NR$12+1)*($NS$12-355+1)/$NU$12,$NN$12/$NT$12)),0)</f>
        <v/>
      </c>
      <c r="MV12" s="228">
        <f>IF(AND(356&gt;=$NR$12,356&lt;=$NS$12),IF($NP$12="Single_Point",IF(356=$NR$12,$NN$12,0),IF($NP$12="Bell_Curve",$NN$12*(356-$NR$12+1)*($NS$12-356+1)/$NU$12,$NN$12/$NT$12)),0)</f>
        <v/>
      </c>
      <c r="MW12" s="228">
        <f>IF(AND(357&gt;=$NR$12,357&lt;=$NS$12),IF($NP$12="Single_Point",IF(357=$NR$12,$NN$12,0),IF($NP$12="Bell_Curve",$NN$12*(357-$NR$12+1)*($NS$12-357+1)/$NU$12,$NN$12/$NT$12)),0)</f>
        <v/>
      </c>
      <c r="MX12" s="228">
        <f>IF(AND(358&gt;=$NR$12,358&lt;=$NS$12),IF($NP$12="Single_Point",IF(358=$NR$12,$NN$12,0),IF($NP$12="Bell_Curve",$NN$12*(358-$NR$12+1)*($NS$12-358+1)/$NU$12,$NN$12/$NT$12)),0)</f>
        <v/>
      </c>
      <c r="MY12" s="228">
        <f>IF(AND(359&gt;=$NR$12,359&lt;=$NS$12),IF($NP$12="Single_Point",IF(359=$NR$12,$NN$12,0),IF($NP$12="Bell_Curve",$NN$12*(359-$NR$12+1)*($NS$12-359+1)/$NU$12,$NN$12/$NT$12)),0)</f>
        <v/>
      </c>
      <c r="MZ12" s="228">
        <f>IF(AND(360&gt;=$NR$12,360&lt;=$NS$12),IF($NP$12="Single_Point",IF(360=$NR$12,$NN$12,0),IF($NP$12="Bell_Curve",$NN$12*(360-$NR$12+1)*($NS$12-360+1)/$NU$12,$NN$12/$NT$12)),0)</f>
        <v/>
      </c>
      <c r="NA12" s="228">
        <f>IF(AND(361&gt;=$NR$12,361&lt;=$NS$12),IF($NP$12="Single_Point",IF(361=$NR$12,$NN$12,0),IF($NP$12="Bell_Curve",$NN$12*(361-$NR$12+1)*($NS$12-361+1)/$NU$12,$NN$12/$NT$12)),0)</f>
        <v/>
      </c>
      <c r="NB12" s="228">
        <f>IF(AND(362&gt;=$NR$12,362&lt;=$NS$12),IF($NP$12="Single_Point",IF(362=$NR$12,$NN$12,0),IF($NP$12="Bell_Curve",$NN$12*(362-$NR$12+1)*($NS$12-362+1)/$NU$12,$NN$12/$NT$12)),0)</f>
        <v/>
      </c>
      <c r="NC12" s="228">
        <f>IF(AND(363&gt;=$NR$12,363&lt;=$NS$12),IF($NP$12="Single_Point",IF(363=$NR$12,$NN$12,0),IF($NP$12="Bell_Curve",$NN$12*(363-$NR$12+1)*($NS$12-363+1)/$NU$12,$NN$12/$NT$12)),0)</f>
        <v/>
      </c>
      <c r="ND12" s="228">
        <f>IF(AND(364&gt;=$NR$12,364&lt;=$NS$12),IF($NP$12="Single_Point",IF(364=$NR$12,$NN$12,0),IF($NP$12="Bell_Curve",$NN$12*(364-$NR$12+1)*($NS$12-364+1)/$NU$12,$NN$12/$NT$12)),0)</f>
        <v/>
      </c>
      <c r="NE12" s="228">
        <f>IF(AND(365&gt;=$NR$12,365&lt;=$NS$12),IF($NP$12="Single_Point",IF(365=$NR$12,$NN$12,0),IF($NP$12="Bell_Curve",$NN$12*(365-$NR$12+1)*($NS$12-365+1)/$NU$12,$NN$12/$NT$12)),0)</f>
        <v/>
      </c>
      <c r="NF12" s="228">
        <f>IF(AND(366&gt;=$NR$12,366&lt;=$NS$12),IF($NP$12="Single_Point",IF(366=$NR$12,$NN$12,0),IF($NP$12="Bell_Curve",$NN$12*(366-$NR$12+1)*($NS$12-366+1)/$NU$12,$NN$12/$NT$12)),0)</f>
        <v/>
      </c>
      <c r="NG12" s="228">
        <f>IF(AND(367&gt;=$NR$12,367&lt;=$NS$12),IF($NP$12="Single_Point",IF(367=$NR$12,$NN$12,0),IF($NP$12="Bell_Curve",$NN$12*(367-$NR$12+1)*($NS$12-367+1)/$NU$12,$NN$12/$NT$12)),0)</f>
        <v/>
      </c>
      <c r="NH12" s="228">
        <f>IF(AND(368&gt;=$NR$12,368&lt;=$NS$12),IF($NP$12="Single_Point",IF(368=$NR$12,$NN$12,0),IF($NP$12="Bell_Curve",$NN$12*(368-$NR$12+1)*($NS$12-368+1)/$NU$12,$NN$12/$NT$12)),0)</f>
        <v/>
      </c>
      <c r="NI12" s="228">
        <f>IF(AND(369&gt;=$NR$12,369&lt;=$NS$12),IF($NP$12="Single_Point",IF(369=$NR$12,$NN$12,0),IF($NP$12="Bell_Curve",$NN$12*(369-$NR$12+1)*($NS$12-369+1)/$NU$12,$NN$12/$NT$12)),0)</f>
        <v/>
      </c>
      <c r="NJ12" s="228">
        <f>IF(AND(370&gt;=$NR$12,370&lt;=$NS$12),IF($NP$12="Single_Point",IF(370=$NR$12,$NN$12,0),IF($NP$12="Bell_Curve",$NN$12*(370-$NR$12+1)*($NS$12-370+1)/$NU$12,$NN$12/$NT$12)),0)</f>
        <v/>
      </c>
      <c r="NK12" s="228">
        <f>IF(AND(371&gt;=$NR$12,371&lt;=$NS$12),IF($NP$12="Single_Point",IF(371=$NR$12,$NN$12,0),IF($NP$12="Bell_Curve",$NN$12*(371-$NR$12+1)*($NS$12-371+1)/$NU$12,$NN$12/$NT$12)),0)</f>
        <v/>
      </c>
      <c r="NL12" s="247">
        <f>IF(AND(372&gt;=$NR$12,372&lt;=$NS$12),IF($NP$12="Single_Point",IF(372=$NR$12,$NN$12,0),IF($NP$12="Bell_Curve",$NN$12*(372-$NR$12+1)*($NS$12-372+1)/$NU$12,$NN$12/$NT$12)),0)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36" t="inlineStr">
        <is>
          <t>Marketing &amp; Lease-Up</t>
        </is>
      </c>
      <c r="D13" s="246">
        <f>SUM(E13:NL13)</f>
        <v/>
      </c>
      <c r="E13" s="228">
        <f>IF(AND(1&gt;=$NR$13,1&lt;=$NS$13),IF($NP$13="Single_Point",IF(1=$NR$13,$NN$13,0),IF($NP$13="Bell_Curve",$NN$13*(1-$NR$13+1)*($NS$13-1+1)/$NU$13,$NN$13/$NT$13)),0)</f>
        <v/>
      </c>
      <c r="F13" s="228">
        <f>IF(AND(2&gt;=$NR$13,2&lt;=$NS$13),IF($NP$13="Single_Point",IF(2=$NR$13,$NN$13,0),IF($NP$13="Bell_Curve",$NN$13*(2-$NR$13+1)*($NS$13-2+1)/$NU$13,$NN$13/$NT$13)),0)</f>
        <v/>
      </c>
      <c r="G13" s="228">
        <f>IF(AND(3&gt;=$NR$13,3&lt;=$NS$13),IF($NP$13="Single_Point",IF(3=$NR$13,$NN$13,0),IF($NP$13="Bell_Curve",$NN$13*(3-$NR$13+1)*($NS$13-3+1)/$NU$13,$NN$13/$NT$13)),0)</f>
        <v/>
      </c>
      <c r="H13" s="228">
        <f>IF(AND(4&gt;=$NR$13,4&lt;=$NS$13),IF($NP$13="Single_Point",IF(4=$NR$13,$NN$13,0),IF($NP$13="Bell_Curve",$NN$13*(4-$NR$13+1)*($NS$13-4+1)/$NU$13,$NN$13/$NT$13)),0)</f>
        <v/>
      </c>
      <c r="I13" s="228">
        <f>IF(AND(5&gt;=$NR$13,5&lt;=$NS$13),IF($NP$13="Single_Point",IF(5=$NR$13,$NN$13,0),IF($NP$13="Bell_Curve",$NN$13*(5-$NR$13+1)*($NS$13-5+1)/$NU$13,$NN$13/$NT$13)),0)</f>
        <v/>
      </c>
      <c r="J13" s="228">
        <f>IF(AND(6&gt;=$NR$13,6&lt;=$NS$13),IF($NP$13="Single_Point",IF(6=$NR$13,$NN$13,0),IF($NP$13="Bell_Curve",$NN$13*(6-$NR$13+1)*($NS$13-6+1)/$NU$13,$NN$13/$NT$13)),0)</f>
        <v/>
      </c>
      <c r="K13" s="228">
        <f>IF(AND(7&gt;=$NR$13,7&lt;=$NS$13),IF($NP$13="Single_Point",IF(7=$NR$13,$NN$13,0),IF($NP$13="Bell_Curve",$NN$13*(7-$NR$13+1)*($NS$13-7+1)/$NU$13,$NN$13/$NT$13)),0)</f>
        <v/>
      </c>
      <c r="L13" s="228">
        <f>IF(AND(8&gt;=$NR$13,8&lt;=$NS$13),IF($NP$13="Single_Point",IF(8=$NR$13,$NN$13,0),IF($NP$13="Bell_Curve",$NN$13*(8-$NR$13+1)*($NS$13-8+1)/$NU$13,$NN$13/$NT$13)),0)</f>
        <v/>
      </c>
      <c r="M13" s="228">
        <f>IF(AND(9&gt;=$NR$13,9&lt;=$NS$13),IF($NP$13="Single_Point",IF(9=$NR$13,$NN$13,0),IF($NP$13="Bell_Curve",$NN$13*(9-$NR$13+1)*($NS$13-9+1)/$NU$13,$NN$13/$NT$13)),0)</f>
        <v/>
      </c>
      <c r="N13" s="228">
        <f>IF(AND(10&gt;=$NR$13,10&lt;=$NS$13),IF($NP$13="Single_Point",IF(10=$NR$13,$NN$13,0),IF($NP$13="Bell_Curve",$NN$13*(10-$NR$13+1)*($NS$13-10+1)/$NU$13,$NN$13/$NT$13)),0)</f>
        <v/>
      </c>
      <c r="O13" s="228">
        <f>IF(AND(11&gt;=$NR$13,11&lt;=$NS$13),IF($NP$13="Single_Point",IF(11=$NR$13,$NN$13,0),IF($NP$13="Bell_Curve",$NN$13*(11-$NR$13+1)*($NS$13-11+1)/$NU$13,$NN$13/$NT$13)),0)</f>
        <v/>
      </c>
      <c r="P13" s="228">
        <f>IF(AND(12&gt;=$NR$13,12&lt;=$NS$13),IF($NP$13="Single_Point",IF(12=$NR$13,$NN$13,0),IF($NP$13="Bell_Curve",$NN$13*(12-$NR$13+1)*($NS$13-12+1)/$NU$13,$NN$13/$NT$13)),0)</f>
        <v/>
      </c>
      <c r="Q13" s="228">
        <f>IF(AND(13&gt;=$NR$13,13&lt;=$NS$13),IF($NP$13="Single_Point",IF(13=$NR$13,$NN$13,0),IF($NP$13="Bell_Curve",$NN$13*(13-$NR$13+1)*($NS$13-13+1)/$NU$13,$NN$13/$NT$13)),0)</f>
        <v/>
      </c>
      <c r="R13" s="228">
        <f>IF(AND(14&gt;=$NR$13,14&lt;=$NS$13),IF($NP$13="Single_Point",IF(14=$NR$13,$NN$13,0),IF($NP$13="Bell_Curve",$NN$13*(14-$NR$13+1)*($NS$13-14+1)/$NU$13,$NN$13/$NT$13)),0)</f>
        <v/>
      </c>
      <c r="S13" s="228">
        <f>IF(AND(15&gt;=$NR$13,15&lt;=$NS$13),IF($NP$13="Single_Point",IF(15=$NR$13,$NN$13,0),IF($NP$13="Bell_Curve",$NN$13*(15-$NR$13+1)*($NS$13-15+1)/$NU$13,$NN$13/$NT$13)),0)</f>
        <v/>
      </c>
      <c r="T13" s="228">
        <f>IF(AND(16&gt;=$NR$13,16&lt;=$NS$13),IF($NP$13="Single_Point",IF(16=$NR$13,$NN$13,0),IF($NP$13="Bell_Curve",$NN$13*(16-$NR$13+1)*($NS$13-16+1)/$NU$13,$NN$13/$NT$13)),0)</f>
        <v/>
      </c>
      <c r="U13" s="228">
        <f>IF(AND(17&gt;=$NR$13,17&lt;=$NS$13),IF($NP$13="Single_Point",IF(17=$NR$13,$NN$13,0),IF($NP$13="Bell_Curve",$NN$13*(17-$NR$13+1)*($NS$13-17+1)/$NU$13,$NN$13/$NT$13)),0)</f>
        <v/>
      </c>
      <c r="V13" s="228">
        <f>IF(AND(18&gt;=$NR$13,18&lt;=$NS$13),IF($NP$13="Single_Point",IF(18=$NR$13,$NN$13,0),IF($NP$13="Bell_Curve",$NN$13*(18-$NR$13+1)*($NS$13-18+1)/$NU$13,$NN$13/$NT$13)),0)</f>
        <v/>
      </c>
      <c r="W13" s="228">
        <f>IF(AND(19&gt;=$NR$13,19&lt;=$NS$13),IF($NP$13="Single_Point",IF(19=$NR$13,$NN$13,0),IF($NP$13="Bell_Curve",$NN$13*(19-$NR$13+1)*($NS$13-19+1)/$NU$13,$NN$13/$NT$13)),0)</f>
        <v/>
      </c>
      <c r="X13" s="228">
        <f>IF(AND(20&gt;=$NR$13,20&lt;=$NS$13),IF($NP$13="Single_Point",IF(20=$NR$13,$NN$13,0),IF($NP$13="Bell_Curve",$NN$13*(20-$NR$13+1)*($NS$13-20+1)/$NU$13,$NN$13/$NT$13)),0)</f>
        <v/>
      </c>
      <c r="Y13" s="228">
        <f>IF(AND(21&gt;=$NR$13,21&lt;=$NS$13),IF($NP$13="Single_Point",IF(21=$NR$13,$NN$13,0),IF($NP$13="Bell_Curve",$NN$13*(21-$NR$13+1)*($NS$13-21+1)/$NU$13,$NN$13/$NT$13)),0)</f>
        <v/>
      </c>
      <c r="Z13" s="228">
        <f>IF(AND(22&gt;=$NR$13,22&lt;=$NS$13),IF($NP$13="Single_Point",IF(22=$NR$13,$NN$13,0),IF($NP$13="Bell_Curve",$NN$13*(22-$NR$13+1)*($NS$13-22+1)/$NU$13,$NN$13/$NT$13)),0)</f>
        <v/>
      </c>
      <c r="AA13" s="228">
        <f>IF(AND(23&gt;=$NR$13,23&lt;=$NS$13),IF($NP$13="Single_Point",IF(23=$NR$13,$NN$13,0),IF($NP$13="Bell_Curve",$NN$13*(23-$NR$13+1)*($NS$13-23+1)/$NU$13,$NN$13/$NT$13)),0)</f>
        <v/>
      </c>
      <c r="AB13" s="228">
        <f>IF(AND(24&gt;=$NR$13,24&lt;=$NS$13),IF($NP$13="Single_Point",IF(24=$NR$13,$NN$13,0),IF($NP$13="Bell_Curve",$NN$13*(24-$NR$13+1)*($NS$13-24+1)/$NU$13,$NN$13/$NT$13)),0)</f>
        <v/>
      </c>
      <c r="AC13" s="228">
        <f>IF(AND(25&gt;=$NR$13,25&lt;=$NS$13),IF($NP$13="Single_Point",IF(25=$NR$13,$NN$13,0),IF($NP$13="Bell_Curve",$NN$13*(25-$NR$13+1)*($NS$13-25+1)/$NU$13,$NN$13/$NT$13)),0)</f>
        <v/>
      </c>
      <c r="AD13" s="228">
        <f>IF(AND(26&gt;=$NR$13,26&lt;=$NS$13),IF($NP$13="Single_Point",IF(26=$NR$13,$NN$13,0),IF($NP$13="Bell_Curve",$NN$13*(26-$NR$13+1)*($NS$13-26+1)/$NU$13,$NN$13/$NT$13)),0)</f>
        <v/>
      </c>
      <c r="AE13" s="228">
        <f>IF(AND(27&gt;=$NR$13,27&lt;=$NS$13),IF($NP$13="Single_Point",IF(27=$NR$13,$NN$13,0),IF($NP$13="Bell_Curve",$NN$13*(27-$NR$13+1)*($NS$13-27+1)/$NU$13,$NN$13/$NT$13)),0)</f>
        <v/>
      </c>
      <c r="AF13" s="228">
        <f>IF(AND(28&gt;=$NR$13,28&lt;=$NS$13),IF($NP$13="Single_Point",IF(28=$NR$13,$NN$13,0),IF($NP$13="Bell_Curve",$NN$13*(28-$NR$13+1)*($NS$13-28+1)/$NU$13,$NN$13/$NT$13)),0)</f>
        <v/>
      </c>
      <c r="AG13" s="228">
        <f>IF(AND(29&gt;=$NR$13,29&lt;=$NS$13),IF($NP$13="Single_Point",IF(29=$NR$13,$NN$13,0),IF($NP$13="Bell_Curve",$NN$13*(29-$NR$13+1)*($NS$13-29+1)/$NU$13,$NN$13/$NT$13)),0)</f>
        <v/>
      </c>
      <c r="AH13" s="228">
        <f>IF(AND(30&gt;=$NR$13,30&lt;=$NS$13),IF($NP$13="Single_Point",IF(30=$NR$13,$NN$13,0),IF($NP$13="Bell_Curve",$NN$13*(30-$NR$13+1)*($NS$13-30+1)/$NU$13,$NN$13/$NT$13)),0)</f>
        <v/>
      </c>
      <c r="AI13" s="228">
        <f>IF(AND(31&gt;=$NR$13,31&lt;=$NS$13),IF($NP$13="Single_Point",IF(31=$NR$13,$NN$13,0),IF($NP$13="Bell_Curve",$NN$13*(31-$NR$13+1)*($NS$13-31+1)/$NU$13,$NN$13/$NT$13)),0)</f>
        <v/>
      </c>
      <c r="AJ13" s="228">
        <f>IF(AND(32&gt;=$NR$13,32&lt;=$NS$13),IF($NP$13="Single_Point",IF(32=$NR$13,$NN$13,0),IF($NP$13="Bell_Curve",$NN$13*(32-$NR$13+1)*($NS$13-32+1)/$NU$13,$NN$13/$NT$13)),0)</f>
        <v/>
      </c>
      <c r="AK13" s="228">
        <f>IF(AND(33&gt;=$NR$13,33&lt;=$NS$13),IF($NP$13="Single_Point",IF(33=$NR$13,$NN$13,0),IF($NP$13="Bell_Curve",$NN$13*(33-$NR$13+1)*($NS$13-33+1)/$NU$13,$NN$13/$NT$13)),0)</f>
        <v/>
      </c>
      <c r="AL13" s="228">
        <f>IF(AND(34&gt;=$NR$13,34&lt;=$NS$13),IF($NP$13="Single_Point",IF(34=$NR$13,$NN$13,0),IF($NP$13="Bell_Curve",$NN$13*(34-$NR$13+1)*($NS$13-34+1)/$NU$13,$NN$13/$NT$13)),0)</f>
        <v/>
      </c>
      <c r="AM13" s="228">
        <f>IF(AND(35&gt;=$NR$13,35&lt;=$NS$13),IF($NP$13="Single_Point",IF(35=$NR$13,$NN$13,0),IF($NP$13="Bell_Curve",$NN$13*(35-$NR$13+1)*($NS$13-35+1)/$NU$13,$NN$13/$NT$13)),0)</f>
        <v/>
      </c>
      <c r="AN13" s="228">
        <f>IF(AND(36&gt;=$NR$13,36&lt;=$NS$13),IF($NP$13="Single_Point",IF(36=$NR$13,$NN$13,0),IF($NP$13="Bell_Curve",$NN$13*(36-$NR$13+1)*($NS$13-36+1)/$NU$13,$NN$13/$NT$13)),0)</f>
        <v/>
      </c>
      <c r="AO13" s="228">
        <f>IF(AND(37&gt;=$NR$13,37&lt;=$NS$13),IF($NP$13="Single_Point",IF(37=$NR$13,$NN$13,0),IF($NP$13="Bell_Curve",$NN$13*(37-$NR$13+1)*($NS$13-37+1)/$NU$13,$NN$13/$NT$13)),0)</f>
        <v/>
      </c>
      <c r="AP13" s="228">
        <f>IF(AND(38&gt;=$NR$13,38&lt;=$NS$13),IF($NP$13="Single_Point",IF(38=$NR$13,$NN$13,0),IF($NP$13="Bell_Curve",$NN$13*(38-$NR$13+1)*($NS$13-38+1)/$NU$13,$NN$13/$NT$13)),0)</f>
        <v/>
      </c>
      <c r="AQ13" s="228">
        <f>IF(AND(39&gt;=$NR$13,39&lt;=$NS$13),IF($NP$13="Single_Point",IF(39=$NR$13,$NN$13,0),IF($NP$13="Bell_Curve",$NN$13*(39-$NR$13+1)*($NS$13-39+1)/$NU$13,$NN$13/$NT$13)),0)</f>
        <v/>
      </c>
      <c r="AR13" s="228">
        <f>IF(AND(40&gt;=$NR$13,40&lt;=$NS$13),IF($NP$13="Single_Point",IF(40=$NR$13,$NN$13,0),IF($NP$13="Bell_Curve",$NN$13*(40-$NR$13+1)*($NS$13-40+1)/$NU$13,$NN$13/$NT$13)),0)</f>
        <v/>
      </c>
      <c r="AS13" s="228">
        <f>IF(AND(41&gt;=$NR$13,41&lt;=$NS$13),IF($NP$13="Single_Point",IF(41=$NR$13,$NN$13,0),IF($NP$13="Bell_Curve",$NN$13*(41-$NR$13+1)*($NS$13-41+1)/$NU$13,$NN$13/$NT$13)),0)</f>
        <v/>
      </c>
      <c r="AT13" s="228">
        <f>IF(AND(42&gt;=$NR$13,42&lt;=$NS$13),IF($NP$13="Single_Point",IF(42=$NR$13,$NN$13,0),IF($NP$13="Bell_Curve",$NN$13*(42-$NR$13+1)*($NS$13-42+1)/$NU$13,$NN$13/$NT$13)),0)</f>
        <v/>
      </c>
      <c r="AU13" s="228">
        <f>IF(AND(43&gt;=$NR$13,43&lt;=$NS$13),IF($NP$13="Single_Point",IF(43=$NR$13,$NN$13,0),IF($NP$13="Bell_Curve",$NN$13*(43-$NR$13+1)*($NS$13-43+1)/$NU$13,$NN$13/$NT$13)),0)</f>
        <v/>
      </c>
      <c r="AV13" s="228">
        <f>IF(AND(44&gt;=$NR$13,44&lt;=$NS$13),IF($NP$13="Single_Point",IF(44=$NR$13,$NN$13,0),IF($NP$13="Bell_Curve",$NN$13*(44-$NR$13+1)*($NS$13-44+1)/$NU$13,$NN$13/$NT$13)),0)</f>
        <v/>
      </c>
      <c r="AW13" s="228">
        <f>IF(AND(45&gt;=$NR$13,45&lt;=$NS$13),IF($NP$13="Single_Point",IF(45=$NR$13,$NN$13,0),IF($NP$13="Bell_Curve",$NN$13*(45-$NR$13+1)*($NS$13-45+1)/$NU$13,$NN$13/$NT$13)),0)</f>
        <v/>
      </c>
      <c r="AX13" s="228">
        <f>IF(AND(46&gt;=$NR$13,46&lt;=$NS$13),IF($NP$13="Single_Point",IF(46=$NR$13,$NN$13,0),IF($NP$13="Bell_Curve",$NN$13*(46-$NR$13+1)*($NS$13-46+1)/$NU$13,$NN$13/$NT$13)),0)</f>
        <v/>
      </c>
      <c r="AY13" s="228">
        <f>IF(AND(47&gt;=$NR$13,47&lt;=$NS$13),IF($NP$13="Single_Point",IF(47=$NR$13,$NN$13,0),IF($NP$13="Bell_Curve",$NN$13*(47-$NR$13+1)*($NS$13-47+1)/$NU$13,$NN$13/$NT$13)),0)</f>
        <v/>
      </c>
      <c r="AZ13" s="228">
        <f>IF(AND(48&gt;=$NR$13,48&lt;=$NS$13),IF($NP$13="Single_Point",IF(48=$NR$13,$NN$13,0),IF($NP$13="Bell_Curve",$NN$13*(48-$NR$13+1)*($NS$13-48+1)/$NU$13,$NN$13/$NT$13)),0)</f>
        <v/>
      </c>
      <c r="BA13" s="228">
        <f>IF(AND(49&gt;=$NR$13,49&lt;=$NS$13),IF($NP$13="Single_Point",IF(49=$NR$13,$NN$13,0),IF($NP$13="Bell_Curve",$NN$13*(49-$NR$13+1)*($NS$13-49+1)/$NU$13,$NN$13/$NT$13)),0)</f>
        <v/>
      </c>
      <c r="BB13" s="228">
        <f>IF(AND(50&gt;=$NR$13,50&lt;=$NS$13),IF($NP$13="Single_Point",IF(50=$NR$13,$NN$13,0),IF($NP$13="Bell_Curve",$NN$13*(50-$NR$13+1)*($NS$13-50+1)/$NU$13,$NN$13/$NT$13)),0)</f>
        <v/>
      </c>
      <c r="BC13" s="228">
        <f>IF(AND(51&gt;=$NR$13,51&lt;=$NS$13),IF($NP$13="Single_Point",IF(51=$NR$13,$NN$13,0),IF($NP$13="Bell_Curve",$NN$13*(51-$NR$13+1)*($NS$13-51+1)/$NU$13,$NN$13/$NT$13)),0)</f>
        <v/>
      </c>
      <c r="BD13" s="228">
        <f>IF(AND(52&gt;=$NR$13,52&lt;=$NS$13),IF($NP$13="Single_Point",IF(52=$NR$13,$NN$13,0),IF($NP$13="Bell_Curve",$NN$13*(52-$NR$13+1)*($NS$13-52+1)/$NU$13,$NN$13/$NT$13)),0)</f>
        <v/>
      </c>
      <c r="BE13" s="228">
        <f>IF(AND(53&gt;=$NR$13,53&lt;=$NS$13),IF($NP$13="Single_Point",IF(53=$NR$13,$NN$13,0),IF($NP$13="Bell_Curve",$NN$13*(53-$NR$13+1)*($NS$13-53+1)/$NU$13,$NN$13/$NT$13)),0)</f>
        <v/>
      </c>
      <c r="BF13" s="228">
        <f>IF(AND(54&gt;=$NR$13,54&lt;=$NS$13),IF($NP$13="Single_Point",IF(54=$NR$13,$NN$13,0),IF($NP$13="Bell_Curve",$NN$13*(54-$NR$13+1)*($NS$13-54+1)/$NU$13,$NN$13/$NT$13)),0)</f>
        <v/>
      </c>
      <c r="BG13" s="228">
        <f>IF(AND(55&gt;=$NR$13,55&lt;=$NS$13),IF($NP$13="Single_Point",IF(55=$NR$13,$NN$13,0),IF($NP$13="Bell_Curve",$NN$13*(55-$NR$13+1)*($NS$13-55+1)/$NU$13,$NN$13/$NT$13)),0)</f>
        <v/>
      </c>
      <c r="BH13" s="228">
        <f>IF(AND(56&gt;=$NR$13,56&lt;=$NS$13),IF($NP$13="Single_Point",IF(56=$NR$13,$NN$13,0),IF($NP$13="Bell_Curve",$NN$13*(56-$NR$13+1)*($NS$13-56+1)/$NU$13,$NN$13/$NT$13)),0)</f>
        <v/>
      </c>
      <c r="BI13" s="228">
        <f>IF(AND(57&gt;=$NR$13,57&lt;=$NS$13),IF($NP$13="Single_Point",IF(57=$NR$13,$NN$13,0),IF($NP$13="Bell_Curve",$NN$13*(57-$NR$13+1)*($NS$13-57+1)/$NU$13,$NN$13/$NT$13)),0)</f>
        <v/>
      </c>
      <c r="BJ13" s="228">
        <f>IF(AND(58&gt;=$NR$13,58&lt;=$NS$13),IF($NP$13="Single_Point",IF(58=$NR$13,$NN$13,0),IF($NP$13="Bell_Curve",$NN$13*(58-$NR$13+1)*($NS$13-58+1)/$NU$13,$NN$13/$NT$13)),0)</f>
        <v/>
      </c>
      <c r="BK13" s="228">
        <f>IF(AND(59&gt;=$NR$13,59&lt;=$NS$13),IF($NP$13="Single_Point",IF(59=$NR$13,$NN$13,0),IF($NP$13="Bell_Curve",$NN$13*(59-$NR$13+1)*($NS$13-59+1)/$NU$13,$NN$13/$NT$13)),0)</f>
        <v/>
      </c>
      <c r="BL13" s="228">
        <f>IF(AND(60&gt;=$NR$13,60&lt;=$NS$13),IF($NP$13="Single_Point",IF(60=$NR$13,$NN$13,0),IF($NP$13="Bell_Curve",$NN$13*(60-$NR$13+1)*($NS$13-60+1)/$NU$13,$NN$13/$NT$13)),0)</f>
        <v/>
      </c>
      <c r="BM13" s="228">
        <f>IF(AND(61&gt;=$NR$13,61&lt;=$NS$13),IF($NP$13="Single_Point",IF(61=$NR$13,$NN$13,0),IF($NP$13="Bell_Curve",$NN$13*(61-$NR$13+1)*($NS$13-61+1)/$NU$13,$NN$13/$NT$13)),0)</f>
        <v/>
      </c>
      <c r="BN13" s="228">
        <f>IF(AND(62&gt;=$NR$13,62&lt;=$NS$13),IF($NP$13="Single_Point",IF(62=$NR$13,$NN$13,0),IF($NP$13="Bell_Curve",$NN$13*(62-$NR$13+1)*($NS$13-62+1)/$NU$13,$NN$13/$NT$13)),0)</f>
        <v/>
      </c>
      <c r="BO13" s="228">
        <f>IF(AND(63&gt;=$NR$13,63&lt;=$NS$13),IF($NP$13="Single_Point",IF(63=$NR$13,$NN$13,0),IF($NP$13="Bell_Curve",$NN$13*(63-$NR$13+1)*($NS$13-63+1)/$NU$13,$NN$13/$NT$13)),0)</f>
        <v/>
      </c>
      <c r="BP13" s="228">
        <f>IF(AND(64&gt;=$NR$13,64&lt;=$NS$13),IF($NP$13="Single_Point",IF(64=$NR$13,$NN$13,0),IF($NP$13="Bell_Curve",$NN$13*(64-$NR$13+1)*($NS$13-64+1)/$NU$13,$NN$13/$NT$13)),0)</f>
        <v/>
      </c>
      <c r="BQ13" s="228">
        <f>IF(AND(65&gt;=$NR$13,65&lt;=$NS$13),IF($NP$13="Single_Point",IF(65=$NR$13,$NN$13,0),IF($NP$13="Bell_Curve",$NN$13*(65-$NR$13+1)*($NS$13-65+1)/$NU$13,$NN$13/$NT$13)),0)</f>
        <v/>
      </c>
      <c r="BR13" s="228">
        <f>IF(AND(66&gt;=$NR$13,66&lt;=$NS$13),IF($NP$13="Single_Point",IF(66=$NR$13,$NN$13,0),IF($NP$13="Bell_Curve",$NN$13*(66-$NR$13+1)*($NS$13-66+1)/$NU$13,$NN$13/$NT$13)),0)</f>
        <v/>
      </c>
      <c r="BS13" s="228">
        <f>IF(AND(67&gt;=$NR$13,67&lt;=$NS$13),IF($NP$13="Single_Point",IF(67=$NR$13,$NN$13,0),IF($NP$13="Bell_Curve",$NN$13*(67-$NR$13+1)*($NS$13-67+1)/$NU$13,$NN$13/$NT$13)),0)</f>
        <v/>
      </c>
      <c r="BT13" s="228">
        <f>IF(AND(68&gt;=$NR$13,68&lt;=$NS$13),IF($NP$13="Single_Point",IF(68=$NR$13,$NN$13,0),IF($NP$13="Bell_Curve",$NN$13*(68-$NR$13+1)*($NS$13-68+1)/$NU$13,$NN$13/$NT$13)),0)</f>
        <v/>
      </c>
      <c r="BU13" s="228">
        <f>IF(AND(69&gt;=$NR$13,69&lt;=$NS$13),IF($NP$13="Single_Point",IF(69=$NR$13,$NN$13,0),IF($NP$13="Bell_Curve",$NN$13*(69-$NR$13+1)*($NS$13-69+1)/$NU$13,$NN$13/$NT$13)),0)</f>
        <v/>
      </c>
      <c r="BV13" s="228">
        <f>IF(AND(70&gt;=$NR$13,70&lt;=$NS$13),IF($NP$13="Single_Point",IF(70=$NR$13,$NN$13,0),IF($NP$13="Bell_Curve",$NN$13*(70-$NR$13+1)*($NS$13-70+1)/$NU$13,$NN$13/$NT$13)),0)</f>
        <v/>
      </c>
      <c r="BW13" s="228">
        <f>IF(AND(71&gt;=$NR$13,71&lt;=$NS$13),IF($NP$13="Single_Point",IF(71=$NR$13,$NN$13,0),IF($NP$13="Bell_Curve",$NN$13*(71-$NR$13+1)*($NS$13-71+1)/$NU$13,$NN$13/$NT$13)),0)</f>
        <v/>
      </c>
      <c r="BX13" s="228">
        <f>IF(AND(72&gt;=$NR$13,72&lt;=$NS$13),IF($NP$13="Single_Point",IF(72=$NR$13,$NN$13,0),IF($NP$13="Bell_Curve",$NN$13*(72-$NR$13+1)*($NS$13-72+1)/$NU$13,$NN$13/$NT$13)),0)</f>
        <v/>
      </c>
      <c r="BY13" s="228">
        <f>IF(AND(73&gt;=$NR$13,73&lt;=$NS$13),IF($NP$13="Single_Point",IF(73=$NR$13,$NN$13,0),IF($NP$13="Bell_Curve",$NN$13*(73-$NR$13+1)*($NS$13-73+1)/$NU$13,$NN$13/$NT$13)),0)</f>
        <v/>
      </c>
      <c r="BZ13" s="228">
        <f>IF(AND(74&gt;=$NR$13,74&lt;=$NS$13),IF($NP$13="Single_Point",IF(74=$NR$13,$NN$13,0),IF($NP$13="Bell_Curve",$NN$13*(74-$NR$13+1)*($NS$13-74+1)/$NU$13,$NN$13/$NT$13)),0)</f>
        <v/>
      </c>
      <c r="CA13" s="228">
        <f>IF(AND(75&gt;=$NR$13,75&lt;=$NS$13),IF($NP$13="Single_Point",IF(75=$NR$13,$NN$13,0),IF($NP$13="Bell_Curve",$NN$13*(75-$NR$13+1)*($NS$13-75+1)/$NU$13,$NN$13/$NT$13)),0)</f>
        <v/>
      </c>
      <c r="CB13" s="228">
        <f>IF(AND(76&gt;=$NR$13,76&lt;=$NS$13),IF($NP$13="Single_Point",IF(76=$NR$13,$NN$13,0),IF($NP$13="Bell_Curve",$NN$13*(76-$NR$13+1)*($NS$13-76+1)/$NU$13,$NN$13/$NT$13)),0)</f>
        <v/>
      </c>
      <c r="CC13" s="228">
        <f>IF(AND(77&gt;=$NR$13,77&lt;=$NS$13),IF($NP$13="Single_Point",IF(77=$NR$13,$NN$13,0),IF($NP$13="Bell_Curve",$NN$13*(77-$NR$13+1)*($NS$13-77+1)/$NU$13,$NN$13/$NT$13)),0)</f>
        <v/>
      </c>
      <c r="CD13" s="228">
        <f>IF(AND(78&gt;=$NR$13,78&lt;=$NS$13),IF($NP$13="Single_Point",IF(78=$NR$13,$NN$13,0),IF($NP$13="Bell_Curve",$NN$13*(78-$NR$13+1)*($NS$13-78+1)/$NU$13,$NN$13/$NT$13)),0)</f>
        <v/>
      </c>
      <c r="CE13" s="228">
        <f>IF(AND(79&gt;=$NR$13,79&lt;=$NS$13),IF($NP$13="Single_Point",IF(79=$NR$13,$NN$13,0),IF($NP$13="Bell_Curve",$NN$13*(79-$NR$13+1)*($NS$13-79+1)/$NU$13,$NN$13/$NT$13)),0)</f>
        <v/>
      </c>
      <c r="CF13" s="228">
        <f>IF(AND(80&gt;=$NR$13,80&lt;=$NS$13),IF($NP$13="Single_Point",IF(80=$NR$13,$NN$13,0),IF($NP$13="Bell_Curve",$NN$13*(80-$NR$13+1)*($NS$13-80+1)/$NU$13,$NN$13/$NT$13)),0)</f>
        <v/>
      </c>
      <c r="CG13" s="228">
        <f>IF(AND(81&gt;=$NR$13,81&lt;=$NS$13),IF($NP$13="Single_Point",IF(81=$NR$13,$NN$13,0),IF($NP$13="Bell_Curve",$NN$13*(81-$NR$13+1)*($NS$13-81+1)/$NU$13,$NN$13/$NT$13)),0)</f>
        <v/>
      </c>
      <c r="CH13" s="228">
        <f>IF(AND(82&gt;=$NR$13,82&lt;=$NS$13),IF($NP$13="Single_Point",IF(82=$NR$13,$NN$13,0),IF($NP$13="Bell_Curve",$NN$13*(82-$NR$13+1)*($NS$13-82+1)/$NU$13,$NN$13/$NT$13)),0)</f>
        <v/>
      </c>
      <c r="CI13" s="228">
        <f>IF(AND(83&gt;=$NR$13,83&lt;=$NS$13),IF($NP$13="Single_Point",IF(83=$NR$13,$NN$13,0),IF($NP$13="Bell_Curve",$NN$13*(83-$NR$13+1)*($NS$13-83+1)/$NU$13,$NN$13/$NT$13)),0)</f>
        <v/>
      </c>
      <c r="CJ13" s="228">
        <f>IF(AND(84&gt;=$NR$13,84&lt;=$NS$13),IF($NP$13="Single_Point",IF(84=$NR$13,$NN$13,0),IF($NP$13="Bell_Curve",$NN$13*(84-$NR$13+1)*($NS$13-84+1)/$NU$13,$NN$13/$NT$13)),0)</f>
        <v/>
      </c>
      <c r="CK13" s="228">
        <f>IF(AND(85&gt;=$NR$13,85&lt;=$NS$13),IF($NP$13="Single_Point",IF(85=$NR$13,$NN$13,0),IF($NP$13="Bell_Curve",$NN$13*(85-$NR$13+1)*($NS$13-85+1)/$NU$13,$NN$13/$NT$13)),0)</f>
        <v/>
      </c>
      <c r="CL13" s="228">
        <f>IF(AND(86&gt;=$NR$13,86&lt;=$NS$13),IF($NP$13="Single_Point",IF(86=$NR$13,$NN$13,0),IF($NP$13="Bell_Curve",$NN$13*(86-$NR$13+1)*($NS$13-86+1)/$NU$13,$NN$13/$NT$13)),0)</f>
        <v/>
      </c>
      <c r="CM13" s="228">
        <f>IF(AND(87&gt;=$NR$13,87&lt;=$NS$13),IF($NP$13="Single_Point",IF(87=$NR$13,$NN$13,0),IF($NP$13="Bell_Curve",$NN$13*(87-$NR$13+1)*($NS$13-87+1)/$NU$13,$NN$13/$NT$13)),0)</f>
        <v/>
      </c>
      <c r="CN13" s="228">
        <f>IF(AND(88&gt;=$NR$13,88&lt;=$NS$13),IF($NP$13="Single_Point",IF(88=$NR$13,$NN$13,0),IF($NP$13="Bell_Curve",$NN$13*(88-$NR$13+1)*($NS$13-88+1)/$NU$13,$NN$13/$NT$13)),0)</f>
        <v/>
      </c>
      <c r="CO13" s="228">
        <f>IF(AND(89&gt;=$NR$13,89&lt;=$NS$13),IF($NP$13="Single_Point",IF(89=$NR$13,$NN$13,0),IF($NP$13="Bell_Curve",$NN$13*(89-$NR$13+1)*($NS$13-89+1)/$NU$13,$NN$13/$NT$13)),0)</f>
        <v/>
      </c>
      <c r="CP13" s="228">
        <f>IF(AND(90&gt;=$NR$13,90&lt;=$NS$13),IF($NP$13="Single_Point",IF(90=$NR$13,$NN$13,0),IF($NP$13="Bell_Curve",$NN$13*(90-$NR$13+1)*($NS$13-90+1)/$NU$13,$NN$13/$NT$13)),0)</f>
        <v/>
      </c>
      <c r="CQ13" s="228">
        <f>IF(AND(91&gt;=$NR$13,91&lt;=$NS$13),IF($NP$13="Single_Point",IF(91=$NR$13,$NN$13,0),IF($NP$13="Bell_Curve",$NN$13*(91-$NR$13+1)*($NS$13-91+1)/$NU$13,$NN$13/$NT$13)),0)</f>
        <v/>
      </c>
      <c r="CR13" s="228">
        <f>IF(AND(92&gt;=$NR$13,92&lt;=$NS$13),IF($NP$13="Single_Point",IF(92=$NR$13,$NN$13,0),IF($NP$13="Bell_Curve",$NN$13*(92-$NR$13+1)*($NS$13-92+1)/$NU$13,$NN$13/$NT$13)),0)</f>
        <v/>
      </c>
      <c r="CS13" s="228">
        <f>IF(AND(93&gt;=$NR$13,93&lt;=$NS$13),IF($NP$13="Single_Point",IF(93=$NR$13,$NN$13,0),IF($NP$13="Bell_Curve",$NN$13*(93-$NR$13+1)*($NS$13-93+1)/$NU$13,$NN$13/$NT$13)),0)</f>
        <v/>
      </c>
      <c r="CT13" s="228">
        <f>IF(AND(94&gt;=$NR$13,94&lt;=$NS$13),IF($NP$13="Single_Point",IF(94=$NR$13,$NN$13,0),IF($NP$13="Bell_Curve",$NN$13*(94-$NR$13+1)*($NS$13-94+1)/$NU$13,$NN$13/$NT$13)),0)</f>
        <v/>
      </c>
      <c r="CU13" s="228">
        <f>IF(AND(95&gt;=$NR$13,95&lt;=$NS$13),IF($NP$13="Single_Point",IF(95=$NR$13,$NN$13,0),IF($NP$13="Bell_Curve",$NN$13*(95-$NR$13+1)*($NS$13-95+1)/$NU$13,$NN$13/$NT$13)),0)</f>
        <v/>
      </c>
      <c r="CV13" s="228">
        <f>IF(AND(96&gt;=$NR$13,96&lt;=$NS$13),IF($NP$13="Single_Point",IF(96=$NR$13,$NN$13,0),IF($NP$13="Bell_Curve",$NN$13*(96-$NR$13+1)*($NS$13-96+1)/$NU$13,$NN$13/$NT$13)),0)</f>
        <v/>
      </c>
      <c r="CW13" s="228">
        <f>IF(AND(97&gt;=$NR$13,97&lt;=$NS$13),IF($NP$13="Single_Point",IF(97=$NR$13,$NN$13,0),IF($NP$13="Bell_Curve",$NN$13*(97-$NR$13+1)*($NS$13-97+1)/$NU$13,$NN$13/$NT$13)),0)</f>
        <v/>
      </c>
      <c r="CX13" s="228">
        <f>IF(AND(98&gt;=$NR$13,98&lt;=$NS$13),IF($NP$13="Single_Point",IF(98=$NR$13,$NN$13,0),IF($NP$13="Bell_Curve",$NN$13*(98-$NR$13+1)*($NS$13-98+1)/$NU$13,$NN$13/$NT$13)),0)</f>
        <v/>
      </c>
      <c r="CY13" s="228">
        <f>IF(AND(99&gt;=$NR$13,99&lt;=$NS$13),IF($NP$13="Single_Point",IF(99=$NR$13,$NN$13,0),IF($NP$13="Bell_Curve",$NN$13*(99-$NR$13+1)*($NS$13-99+1)/$NU$13,$NN$13/$NT$13)),0)</f>
        <v/>
      </c>
      <c r="CZ13" s="228">
        <f>IF(AND(100&gt;=$NR$13,100&lt;=$NS$13),IF($NP$13="Single_Point",IF(100=$NR$13,$NN$13,0),IF($NP$13="Bell_Curve",$NN$13*(100-$NR$13+1)*($NS$13-100+1)/$NU$13,$NN$13/$NT$13)),0)</f>
        <v/>
      </c>
      <c r="DA13" s="228">
        <f>IF(AND(101&gt;=$NR$13,101&lt;=$NS$13),IF($NP$13="Single_Point",IF(101=$NR$13,$NN$13,0),IF($NP$13="Bell_Curve",$NN$13*(101-$NR$13+1)*($NS$13-101+1)/$NU$13,$NN$13/$NT$13)),0)</f>
        <v/>
      </c>
      <c r="DB13" s="228">
        <f>IF(AND(102&gt;=$NR$13,102&lt;=$NS$13),IF($NP$13="Single_Point",IF(102=$NR$13,$NN$13,0),IF($NP$13="Bell_Curve",$NN$13*(102-$NR$13+1)*($NS$13-102+1)/$NU$13,$NN$13/$NT$13)),0)</f>
        <v/>
      </c>
      <c r="DC13" s="228">
        <f>IF(AND(103&gt;=$NR$13,103&lt;=$NS$13),IF($NP$13="Single_Point",IF(103=$NR$13,$NN$13,0),IF($NP$13="Bell_Curve",$NN$13*(103-$NR$13+1)*($NS$13-103+1)/$NU$13,$NN$13/$NT$13)),0)</f>
        <v/>
      </c>
      <c r="DD13" s="228">
        <f>IF(AND(104&gt;=$NR$13,104&lt;=$NS$13),IF($NP$13="Single_Point",IF(104=$NR$13,$NN$13,0),IF($NP$13="Bell_Curve",$NN$13*(104-$NR$13+1)*($NS$13-104+1)/$NU$13,$NN$13/$NT$13)),0)</f>
        <v/>
      </c>
      <c r="DE13" s="228">
        <f>IF(AND(105&gt;=$NR$13,105&lt;=$NS$13),IF($NP$13="Single_Point",IF(105=$NR$13,$NN$13,0),IF($NP$13="Bell_Curve",$NN$13*(105-$NR$13+1)*($NS$13-105+1)/$NU$13,$NN$13/$NT$13)),0)</f>
        <v/>
      </c>
      <c r="DF13" s="228">
        <f>IF(AND(106&gt;=$NR$13,106&lt;=$NS$13),IF($NP$13="Single_Point",IF(106=$NR$13,$NN$13,0),IF($NP$13="Bell_Curve",$NN$13*(106-$NR$13+1)*($NS$13-106+1)/$NU$13,$NN$13/$NT$13)),0)</f>
        <v/>
      </c>
      <c r="DG13" s="228">
        <f>IF(AND(107&gt;=$NR$13,107&lt;=$NS$13),IF($NP$13="Single_Point",IF(107=$NR$13,$NN$13,0),IF($NP$13="Bell_Curve",$NN$13*(107-$NR$13+1)*($NS$13-107+1)/$NU$13,$NN$13/$NT$13)),0)</f>
        <v/>
      </c>
      <c r="DH13" s="228">
        <f>IF(AND(108&gt;=$NR$13,108&lt;=$NS$13),IF($NP$13="Single_Point",IF(108=$NR$13,$NN$13,0),IF($NP$13="Bell_Curve",$NN$13*(108-$NR$13+1)*($NS$13-108+1)/$NU$13,$NN$13/$NT$13)),0)</f>
        <v/>
      </c>
      <c r="DI13" s="228">
        <f>IF(AND(109&gt;=$NR$13,109&lt;=$NS$13),IF($NP$13="Single_Point",IF(109=$NR$13,$NN$13,0),IF($NP$13="Bell_Curve",$NN$13*(109-$NR$13+1)*($NS$13-109+1)/$NU$13,$NN$13/$NT$13)),0)</f>
        <v/>
      </c>
      <c r="DJ13" s="228">
        <f>IF(AND(110&gt;=$NR$13,110&lt;=$NS$13),IF($NP$13="Single_Point",IF(110=$NR$13,$NN$13,0),IF($NP$13="Bell_Curve",$NN$13*(110-$NR$13+1)*($NS$13-110+1)/$NU$13,$NN$13/$NT$13)),0)</f>
        <v/>
      </c>
      <c r="DK13" s="228">
        <f>IF(AND(111&gt;=$NR$13,111&lt;=$NS$13),IF($NP$13="Single_Point",IF(111=$NR$13,$NN$13,0),IF($NP$13="Bell_Curve",$NN$13*(111-$NR$13+1)*($NS$13-111+1)/$NU$13,$NN$13/$NT$13)),0)</f>
        <v/>
      </c>
      <c r="DL13" s="228">
        <f>IF(AND(112&gt;=$NR$13,112&lt;=$NS$13),IF($NP$13="Single_Point",IF(112=$NR$13,$NN$13,0),IF($NP$13="Bell_Curve",$NN$13*(112-$NR$13+1)*($NS$13-112+1)/$NU$13,$NN$13/$NT$13)),0)</f>
        <v/>
      </c>
      <c r="DM13" s="228">
        <f>IF(AND(113&gt;=$NR$13,113&lt;=$NS$13),IF($NP$13="Single_Point",IF(113=$NR$13,$NN$13,0),IF($NP$13="Bell_Curve",$NN$13*(113-$NR$13+1)*($NS$13-113+1)/$NU$13,$NN$13/$NT$13)),0)</f>
        <v/>
      </c>
      <c r="DN13" s="228">
        <f>IF(AND(114&gt;=$NR$13,114&lt;=$NS$13),IF($NP$13="Single_Point",IF(114=$NR$13,$NN$13,0),IF($NP$13="Bell_Curve",$NN$13*(114-$NR$13+1)*($NS$13-114+1)/$NU$13,$NN$13/$NT$13)),0)</f>
        <v/>
      </c>
      <c r="DO13" s="228">
        <f>IF(AND(115&gt;=$NR$13,115&lt;=$NS$13),IF($NP$13="Single_Point",IF(115=$NR$13,$NN$13,0),IF($NP$13="Bell_Curve",$NN$13*(115-$NR$13+1)*($NS$13-115+1)/$NU$13,$NN$13/$NT$13)),0)</f>
        <v/>
      </c>
      <c r="DP13" s="228">
        <f>IF(AND(116&gt;=$NR$13,116&lt;=$NS$13),IF($NP$13="Single_Point",IF(116=$NR$13,$NN$13,0),IF($NP$13="Bell_Curve",$NN$13*(116-$NR$13+1)*($NS$13-116+1)/$NU$13,$NN$13/$NT$13)),0)</f>
        <v/>
      </c>
      <c r="DQ13" s="228">
        <f>IF(AND(117&gt;=$NR$13,117&lt;=$NS$13),IF($NP$13="Single_Point",IF(117=$NR$13,$NN$13,0),IF($NP$13="Bell_Curve",$NN$13*(117-$NR$13+1)*($NS$13-117+1)/$NU$13,$NN$13/$NT$13)),0)</f>
        <v/>
      </c>
      <c r="DR13" s="228">
        <f>IF(AND(118&gt;=$NR$13,118&lt;=$NS$13),IF($NP$13="Single_Point",IF(118=$NR$13,$NN$13,0),IF($NP$13="Bell_Curve",$NN$13*(118-$NR$13+1)*($NS$13-118+1)/$NU$13,$NN$13/$NT$13)),0)</f>
        <v/>
      </c>
      <c r="DS13" s="228">
        <f>IF(AND(119&gt;=$NR$13,119&lt;=$NS$13),IF($NP$13="Single_Point",IF(119=$NR$13,$NN$13,0),IF($NP$13="Bell_Curve",$NN$13*(119-$NR$13+1)*($NS$13-119+1)/$NU$13,$NN$13/$NT$13)),0)</f>
        <v/>
      </c>
      <c r="DT13" s="228">
        <f>IF(AND(120&gt;=$NR$13,120&lt;=$NS$13),IF($NP$13="Single_Point",IF(120=$NR$13,$NN$13,0),IF($NP$13="Bell_Curve",$NN$13*(120-$NR$13+1)*($NS$13-120+1)/$NU$13,$NN$13/$NT$13)),0)</f>
        <v/>
      </c>
      <c r="DU13" s="228">
        <f>IF(AND(121&gt;=$NR$13,121&lt;=$NS$13),IF($NP$13="Single_Point",IF(121=$NR$13,$NN$13,0),IF($NP$13="Bell_Curve",$NN$13*(121-$NR$13+1)*($NS$13-121+1)/$NU$13,$NN$13/$NT$13)),0)</f>
        <v/>
      </c>
      <c r="DV13" s="228">
        <f>IF(AND(122&gt;=$NR$13,122&lt;=$NS$13),IF($NP$13="Single_Point",IF(122=$NR$13,$NN$13,0),IF($NP$13="Bell_Curve",$NN$13*(122-$NR$13+1)*($NS$13-122+1)/$NU$13,$NN$13/$NT$13)),0)</f>
        <v/>
      </c>
      <c r="DW13" s="228">
        <f>IF(AND(123&gt;=$NR$13,123&lt;=$NS$13),IF($NP$13="Single_Point",IF(123=$NR$13,$NN$13,0),IF($NP$13="Bell_Curve",$NN$13*(123-$NR$13+1)*($NS$13-123+1)/$NU$13,$NN$13/$NT$13)),0)</f>
        <v/>
      </c>
      <c r="DX13" s="228">
        <f>IF(AND(124&gt;=$NR$13,124&lt;=$NS$13),IF($NP$13="Single_Point",IF(124=$NR$13,$NN$13,0),IF($NP$13="Bell_Curve",$NN$13*(124-$NR$13+1)*($NS$13-124+1)/$NU$13,$NN$13/$NT$13)),0)</f>
        <v/>
      </c>
      <c r="DY13" s="228">
        <f>IF(AND(125&gt;=$NR$13,125&lt;=$NS$13),IF($NP$13="Single_Point",IF(125=$NR$13,$NN$13,0),IF($NP$13="Bell_Curve",$NN$13*(125-$NR$13+1)*($NS$13-125+1)/$NU$13,$NN$13/$NT$13)),0)</f>
        <v/>
      </c>
      <c r="DZ13" s="228">
        <f>IF(AND(126&gt;=$NR$13,126&lt;=$NS$13),IF($NP$13="Single_Point",IF(126=$NR$13,$NN$13,0),IF($NP$13="Bell_Curve",$NN$13*(126-$NR$13+1)*($NS$13-126+1)/$NU$13,$NN$13/$NT$13)),0)</f>
        <v/>
      </c>
      <c r="EA13" s="228">
        <f>IF(AND(127&gt;=$NR$13,127&lt;=$NS$13),IF($NP$13="Single_Point",IF(127=$NR$13,$NN$13,0),IF($NP$13="Bell_Curve",$NN$13*(127-$NR$13+1)*($NS$13-127+1)/$NU$13,$NN$13/$NT$13)),0)</f>
        <v/>
      </c>
      <c r="EB13" s="228">
        <f>IF(AND(128&gt;=$NR$13,128&lt;=$NS$13),IF($NP$13="Single_Point",IF(128=$NR$13,$NN$13,0),IF($NP$13="Bell_Curve",$NN$13*(128-$NR$13+1)*($NS$13-128+1)/$NU$13,$NN$13/$NT$13)),0)</f>
        <v/>
      </c>
      <c r="EC13" s="228">
        <f>IF(AND(129&gt;=$NR$13,129&lt;=$NS$13),IF($NP$13="Single_Point",IF(129=$NR$13,$NN$13,0),IF($NP$13="Bell_Curve",$NN$13*(129-$NR$13+1)*($NS$13-129+1)/$NU$13,$NN$13/$NT$13)),0)</f>
        <v/>
      </c>
      <c r="ED13" s="228">
        <f>IF(AND(130&gt;=$NR$13,130&lt;=$NS$13),IF($NP$13="Single_Point",IF(130=$NR$13,$NN$13,0),IF($NP$13="Bell_Curve",$NN$13*(130-$NR$13+1)*($NS$13-130+1)/$NU$13,$NN$13/$NT$13)),0)</f>
        <v/>
      </c>
      <c r="EE13" s="228">
        <f>IF(AND(131&gt;=$NR$13,131&lt;=$NS$13),IF($NP$13="Single_Point",IF(131=$NR$13,$NN$13,0),IF($NP$13="Bell_Curve",$NN$13*(131-$NR$13+1)*($NS$13-131+1)/$NU$13,$NN$13/$NT$13)),0)</f>
        <v/>
      </c>
      <c r="EF13" s="228">
        <f>IF(AND(132&gt;=$NR$13,132&lt;=$NS$13),IF($NP$13="Single_Point",IF(132=$NR$13,$NN$13,0),IF($NP$13="Bell_Curve",$NN$13*(132-$NR$13+1)*($NS$13-132+1)/$NU$13,$NN$13/$NT$13)),0)</f>
        <v/>
      </c>
      <c r="EG13" s="228">
        <f>IF(AND(133&gt;=$NR$13,133&lt;=$NS$13),IF($NP$13="Single_Point",IF(133=$NR$13,$NN$13,0),IF($NP$13="Bell_Curve",$NN$13*(133-$NR$13+1)*($NS$13-133+1)/$NU$13,$NN$13/$NT$13)),0)</f>
        <v/>
      </c>
      <c r="EH13" s="228">
        <f>IF(AND(134&gt;=$NR$13,134&lt;=$NS$13),IF($NP$13="Single_Point",IF(134=$NR$13,$NN$13,0),IF($NP$13="Bell_Curve",$NN$13*(134-$NR$13+1)*($NS$13-134+1)/$NU$13,$NN$13/$NT$13)),0)</f>
        <v/>
      </c>
      <c r="EI13" s="228">
        <f>IF(AND(135&gt;=$NR$13,135&lt;=$NS$13),IF($NP$13="Single_Point",IF(135=$NR$13,$NN$13,0),IF($NP$13="Bell_Curve",$NN$13*(135-$NR$13+1)*($NS$13-135+1)/$NU$13,$NN$13/$NT$13)),0)</f>
        <v/>
      </c>
      <c r="EJ13" s="228">
        <f>IF(AND(136&gt;=$NR$13,136&lt;=$NS$13),IF($NP$13="Single_Point",IF(136=$NR$13,$NN$13,0),IF($NP$13="Bell_Curve",$NN$13*(136-$NR$13+1)*($NS$13-136+1)/$NU$13,$NN$13/$NT$13)),0)</f>
        <v/>
      </c>
      <c r="EK13" s="228">
        <f>IF(AND(137&gt;=$NR$13,137&lt;=$NS$13),IF($NP$13="Single_Point",IF(137=$NR$13,$NN$13,0),IF($NP$13="Bell_Curve",$NN$13*(137-$NR$13+1)*($NS$13-137+1)/$NU$13,$NN$13/$NT$13)),0)</f>
        <v/>
      </c>
      <c r="EL13" s="228">
        <f>IF(AND(138&gt;=$NR$13,138&lt;=$NS$13),IF($NP$13="Single_Point",IF(138=$NR$13,$NN$13,0),IF($NP$13="Bell_Curve",$NN$13*(138-$NR$13+1)*($NS$13-138+1)/$NU$13,$NN$13/$NT$13)),0)</f>
        <v/>
      </c>
      <c r="EM13" s="228">
        <f>IF(AND(139&gt;=$NR$13,139&lt;=$NS$13),IF($NP$13="Single_Point",IF(139=$NR$13,$NN$13,0),IF($NP$13="Bell_Curve",$NN$13*(139-$NR$13+1)*($NS$13-139+1)/$NU$13,$NN$13/$NT$13)),0)</f>
        <v/>
      </c>
      <c r="EN13" s="228">
        <f>IF(AND(140&gt;=$NR$13,140&lt;=$NS$13),IF($NP$13="Single_Point",IF(140=$NR$13,$NN$13,0),IF($NP$13="Bell_Curve",$NN$13*(140-$NR$13+1)*($NS$13-140+1)/$NU$13,$NN$13/$NT$13)),0)</f>
        <v/>
      </c>
      <c r="EO13" s="228">
        <f>IF(AND(141&gt;=$NR$13,141&lt;=$NS$13),IF($NP$13="Single_Point",IF(141=$NR$13,$NN$13,0),IF($NP$13="Bell_Curve",$NN$13*(141-$NR$13+1)*($NS$13-141+1)/$NU$13,$NN$13/$NT$13)),0)</f>
        <v/>
      </c>
      <c r="EP13" s="228">
        <f>IF(AND(142&gt;=$NR$13,142&lt;=$NS$13),IF($NP$13="Single_Point",IF(142=$NR$13,$NN$13,0),IF($NP$13="Bell_Curve",$NN$13*(142-$NR$13+1)*($NS$13-142+1)/$NU$13,$NN$13/$NT$13)),0)</f>
        <v/>
      </c>
      <c r="EQ13" s="228">
        <f>IF(AND(143&gt;=$NR$13,143&lt;=$NS$13),IF($NP$13="Single_Point",IF(143=$NR$13,$NN$13,0),IF($NP$13="Bell_Curve",$NN$13*(143-$NR$13+1)*($NS$13-143+1)/$NU$13,$NN$13/$NT$13)),0)</f>
        <v/>
      </c>
      <c r="ER13" s="228">
        <f>IF(AND(144&gt;=$NR$13,144&lt;=$NS$13),IF($NP$13="Single_Point",IF(144=$NR$13,$NN$13,0),IF($NP$13="Bell_Curve",$NN$13*(144-$NR$13+1)*($NS$13-144+1)/$NU$13,$NN$13/$NT$13)),0)</f>
        <v/>
      </c>
      <c r="ES13" s="228">
        <f>IF(AND(145&gt;=$NR$13,145&lt;=$NS$13),IF($NP$13="Single_Point",IF(145=$NR$13,$NN$13,0),IF($NP$13="Bell_Curve",$NN$13*(145-$NR$13+1)*($NS$13-145+1)/$NU$13,$NN$13/$NT$13)),0)</f>
        <v/>
      </c>
      <c r="ET13" s="228">
        <f>IF(AND(146&gt;=$NR$13,146&lt;=$NS$13),IF($NP$13="Single_Point",IF(146=$NR$13,$NN$13,0),IF($NP$13="Bell_Curve",$NN$13*(146-$NR$13+1)*($NS$13-146+1)/$NU$13,$NN$13/$NT$13)),0)</f>
        <v/>
      </c>
      <c r="EU13" s="228">
        <f>IF(AND(147&gt;=$NR$13,147&lt;=$NS$13),IF($NP$13="Single_Point",IF(147=$NR$13,$NN$13,0),IF($NP$13="Bell_Curve",$NN$13*(147-$NR$13+1)*($NS$13-147+1)/$NU$13,$NN$13/$NT$13)),0)</f>
        <v/>
      </c>
      <c r="EV13" s="228">
        <f>IF(AND(148&gt;=$NR$13,148&lt;=$NS$13),IF($NP$13="Single_Point",IF(148=$NR$13,$NN$13,0),IF($NP$13="Bell_Curve",$NN$13*(148-$NR$13+1)*($NS$13-148+1)/$NU$13,$NN$13/$NT$13)),0)</f>
        <v/>
      </c>
      <c r="EW13" s="228">
        <f>IF(AND(149&gt;=$NR$13,149&lt;=$NS$13),IF($NP$13="Single_Point",IF(149=$NR$13,$NN$13,0),IF($NP$13="Bell_Curve",$NN$13*(149-$NR$13+1)*($NS$13-149+1)/$NU$13,$NN$13/$NT$13)),0)</f>
        <v/>
      </c>
      <c r="EX13" s="228">
        <f>IF(AND(150&gt;=$NR$13,150&lt;=$NS$13),IF($NP$13="Single_Point",IF(150=$NR$13,$NN$13,0),IF($NP$13="Bell_Curve",$NN$13*(150-$NR$13+1)*($NS$13-150+1)/$NU$13,$NN$13/$NT$13)),0)</f>
        <v/>
      </c>
      <c r="EY13" s="228">
        <f>IF(AND(151&gt;=$NR$13,151&lt;=$NS$13),IF($NP$13="Single_Point",IF(151=$NR$13,$NN$13,0),IF($NP$13="Bell_Curve",$NN$13*(151-$NR$13+1)*($NS$13-151+1)/$NU$13,$NN$13/$NT$13)),0)</f>
        <v/>
      </c>
      <c r="EZ13" s="228">
        <f>IF(AND(152&gt;=$NR$13,152&lt;=$NS$13),IF($NP$13="Single_Point",IF(152=$NR$13,$NN$13,0),IF($NP$13="Bell_Curve",$NN$13*(152-$NR$13+1)*($NS$13-152+1)/$NU$13,$NN$13/$NT$13)),0)</f>
        <v/>
      </c>
      <c r="FA13" s="228">
        <f>IF(AND(153&gt;=$NR$13,153&lt;=$NS$13),IF($NP$13="Single_Point",IF(153=$NR$13,$NN$13,0),IF($NP$13="Bell_Curve",$NN$13*(153-$NR$13+1)*($NS$13-153+1)/$NU$13,$NN$13/$NT$13)),0)</f>
        <v/>
      </c>
      <c r="FB13" s="228">
        <f>IF(AND(154&gt;=$NR$13,154&lt;=$NS$13),IF($NP$13="Single_Point",IF(154=$NR$13,$NN$13,0),IF($NP$13="Bell_Curve",$NN$13*(154-$NR$13+1)*($NS$13-154+1)/$NU$13,$NN$13/$NT$13)),0)</f>
        <v/>
      </c>
      <c r="FC13" s="228">
        <f>IF(AND(155&gt;=$NR$13,155&lt;=$NS$13),IF($NP$13="Single_Point",IF(155=$NR$13,$NN$13,0),IF($NP$13="Bell_Curve",$NN$13*(155-$NR$13+1)*($NS$13-155+1)/$NU$13,$NN$13/$NT$13)),0)</f>
        <v/>
      </c>
      <c r="FD13" s="228">
        <f>IF(AND(156&gt;=$NR$13,156&lt;=$NS$13),IF($NP$13="Single_Point",IF(156=$NR$13,$NN$13,0),IF($NP$13="Bell_Curve",$NN$13*(156-$NR$13+1)*($NS$13-156+1)/$NU$13,$NN$13/$NT$13)),0)</f>
        <v/>
      </c>
      <c r="FE13" s="228">
        <f>IF(AND(157&gt;=$NR$13,157&lt;=$NS$13),IF($NP$13="Single_Point",IF(157=$NR$13,$NN$13,0),IF($NP$13="Bell_Curve",$NN$13*(157-$NR$13+1)*($NS$13-157+1)/$NU$13,$NN$13/$NT$13)),0)</f>
        <v/>
      </c>
      <c r="FF13" s="228">
        <f>IF(AND(158&gt;=$NR$13,158&lt;=$NS$13),IF($NP$13="Single_Point",IF(158=$NR$13,$NN$13,0),IF($NP$13="Bell_Curve",$NN$13*(158-$NR$13+1)*($NS$13-158+1)/$NU$13,$NN$13/$NT$13)),0)</f>
        <v/>
      </c>
      <c r="FG13" s="228">
        <f>IF(AND(159&gt;=$NR$13,159&lt;=$NS$13),IF($NP$13="Single_Point",IF(159=$NR$13,$NN$13,0),IF($NP$13="Bell_Curve",$NN$13*(159-$NR$13+1)*($NS$13-159+1)/$NU$13,$NN$13/$NT$13)),0)</f>
        <v/>
      </c>
      <c r="FH13" s="228">
        <f>IF(AND(160&gt;=$NR$13,160&lt;=$NS$13),IF($NP$13="Single_Point",IF(160=$NR$13,$NN$13,0),IF($NP$13="Bell_Curve",$NN$13*(160-$NR$13+1)*($NS$13-160+1)/$NU$13,$NN$13/$NT$13)),0)</f>
        <v/>
      </c>
      <c r="FI13" s="228">
        <f>IF(AND(161&gt;=$NR$13,161&lt;=$NS$13),IF($NP$13="Single_Point",IF(161=$NR$13,$NN$13,0),IF($NP$13="Bell_Curve",$NN$13*(161-$NR$13+1)*($NS$13-161+1)/$NU$13,$NN$13/$NT$13)),0)</f>
        <v/>
      </c>
      <c r="FJ13" s="228">
        <f>IF(AND(162&gt;=$NR$13,162&lt;=$NS$13),IF($NP$13="Single_Point",IF(162=$NR$13,$NN$13,0),IF($NP$13="Bell_Curve",$NN$13*(162-$NR$13+1)*($NS$13-162+1)/$NU$13,$NN$13/$NT$13)),0)</f>
        <v/>
      </c>
      <c r="FK13" s="228">
        <f>IF(AND(163&gt;=$NR$13,163&lt;=$NS$13),IF($NP$13="Single_Point",IF(163=$NR$13,$NN$13,0),IF($NP$13="Bell_Curve",$NN$13*(163-$NR$13+1)*($NS$13-163+1)/$NU$13,$NN$13/$NT$13)),0)</f>
        <v/>
      </c>
      <c r="FL13" s="228">
        <f>IF(AND(164&gt;=$NR$13,164&lt;=$NS$13),IF($NP$13="Single_Point",IF(164=$NR$13,$NN$13,0),IF($NP$13="Bell_Curve",$NN$13*(164-$NR$13+1)*($NS$13-164+1)/$NU$13,$NN$13/$NT$13)),0)</f>
        <v/>
      </c>
      <c r="FM13" s="228">
        <f>IF(AND(165&gt;=$NR$13,165&lt;=$NS$13),IF($NP$13="Single_Point",IF(165=$NR$13,$NN$13,0),IF($NP$13="Bell_Curve",$NN$13*(165-$NR$13+1)*($NS$13-165+1)/$NU$13,$NN$13/$NT$13)),0)</f>
        <v/>
      </c>
      <c r="FN13" s="228">
        <f>IF(AND(166&gt;=$NR$13,166&lt;=$NS$13),IF($NP$13="Single_Point",IF(166=$NR$13,$NN$13,0),IF($NP$13="Bell_Curve",$NN$13*(166-$NR$13+1)*($NS$13-166+1)/$NU$13,$NN$13/$NT$13)),0)</f>
        <v/>
      </c>
      <c r="FO13" s="228">
        <f>IF(AND(167&gt;=$NR$13,167&lt;=$NS$13),IF($NP$13="Single_Point",IF(167=$NR$13,$NN$13,0),IF($NP$13="Bell_Curve",$NN$13*(167-$NR$13+1)*($NS$13-167+1)/$NU$13,$NN$13/$NT$13)),0)</f>
        <v/>
      </c>
      <c r="FP13" s="228">
        <f>IF(AND(168&gt;=$NR$13,168&lt;=$NS$13),IF($NP$13="Single_Point",IF(168=$NR$13,$NN$13,0),IF($NP$13="Bell_Curve",$NN$13*(168-$NR$13+1)*($NS$13-168+1)/$NU$13,$NN$13/$NT$13)),0)</f>
        <v/>
      </c>
      <c r="FQ13" s="228">
        <f>IF(AND(169&gt;=$NR$13,169&lt;=$NS$13),IF($NP$13="Single_Point",IF(169=$NR$13,$NN$13,0),IF($NP$13="Bell_Curve",$NN$13*(169-$NR$13+1)*($NS$13-169+1)/$NU$13,$NN$13/$NT$13)),0)</f>
        <v/>
      </c>
      <c r="FR13" s="228">
        <f>IF(AND(170&gt;=$NR$13,170&lt;=$NS$13),IF($NP$13="Single_Point",IF(170=$NR$13,$NN$13,0),IF($NP$13="Bell_Curve",$NN$13*(170-$NR$13+1)*($NS$13-170+1)/$NU$13,$NN$13/$NT$13)),0)</f>
        <v/>
      </c>
      <c r="FS13" s="228">
        <f>IF(AND(171&gt;=$NR$13,171&lt;=$NS$13),IF($NP$13="Single_Point",IF(171=$NR$13,$NN$13,0),IF($NP$13="Bell_Curve",$NN$13*(171-$NR$13+1)*($NS$13-171+1)/$NU$13,$NN$13/$NT$13)),0)</f>
        <v/>
      </c>
      <c r="FT13" s="228">
        <f>IF(AND(172&gt;=$NR$13,172&lt;=$NS$13),IF($NP$13="Single_Point",IF(172=$NR$13,$NN$13,0),IF($NP$13="Bell_Curve",$NN$13*(172-$NR$13+1)*($NS$13-172+1)/$NU$13,$NN$13/$NT$13)),0)</f>
        <v/>
      </c>
      <c r="FU13" s="228">
        <f>IF(AND(173&gt;=$NR$13,173&lt;=$NS$13),IF($NP$13="Single_Point",IF(173=$NR$13,$NN$13,0),IF($NP$13="Bell_Curve",$NN$13*(173-$NR$13+1)*($NS$13-173+1)/$NU$13,$NN$13/$NT$13)),0)</f>
        <v/>
      </c>
      <c r="FV13" s="228">
        <f>IF(AND(174&gt;=$NR$13,174&lt;=$NS$13),IF($NP$13="Single_Point",IF(174=$NR$13,$NN$13,0),IF($NP$13="Bell_Curve",$NN$13*(174-$NR$13+1)*($NS$13-174+1)/$NU$13,$NN$13/$NT$13)),0)</f>
        <v/>
      </c>
      <c r="FW13" s="228">
        <f>IF(AND(175&gt;=$NR$13,175&lt;=$NS$13),IF($NP$13="Single_Point",IF(175=$NR$13,$NN$13,0),IF($NP$13="Bell_Curve",$NN$13*(175-$NR$13+1)*($NS$13-175+1)/$NU$13,$NN$13/$NT$13)),0)</f>
        <v/>
      </c>
      <c r="FX13" s="228">
        <f>IF(AND(176&gt;=$NR$13,176&lt;=$NS$13),IF($NP$13="Single_Point",IF(176=$NR$13,$NN$13,0),IF($NP$13="Bell_Curve",$NN$13*(176-$NR$13+1)*($NS$13-176+1)/$NU$13,$NN$13/$NT$13)),0)</f>
        <v/>
      </c>
      <c r="FY13" s="228">
        <f>IF(AND(177&gt;=$NR$13,177&lt;=$NS$13),IF($NP$13="Single_Point",IF(177=$NR$13,$NN$13,0),IF($NP$13="Bell_Curve",$NN$13*(177-$NR$13+1)*($NS$13-177+1)/$NU$13,$NN$13/$NT$13)),0)</f>
        <v/>
      </c>
      <c r="FZ13" s="228">
        <f>IF(AND(178&gt;=$NR$13,178&lt;=$NS$13),IF($NP$13="Single_Point",IF(178=$NR$13,$NN$13,0),IF($NP$13="Bell_Curve",$NN$13*(178-$NR$13+1)*($NS$13-178+1)/$NU$13,$NN$13/$NT$13)),0)</f>
        <v/>
      </c>
      <c r="GA13" s="228">
        <f>IF(AND(179&gt;=$NR$13,179&lt;=$NS$13),IF($NP$13="Single_Point",IF(179=$NR$13,$NN$13,0),IF($NP$13="Bell_Curve",$NN$13*(179-$NR$13+1)*($NS$13-179+1)/$NU$13,$NN$13/$NT$13)),0)</f>
        <v/>
      </c>
      <c r="GB13" s="228">
        <f>IF(AND(180&gt;=$NR$13,180&lt;=$NS$13),IF($NP$13="Single_Point",IF(180=$NR$13,$NN$13,0),IF($NP$13="Bell_Curve",$NN$13*(180-$NR$13+1)*($NS$13-180+1)/$NU$13,$NN$13/$NT$13)),0)</f>
        <v/>
      </c>
      <c r="GC13" s="228">
        <f>IF(AND(181&gt;=$NR$13,181&lt;=$NS$13),IF($NP$13="Single_Point",IF(181=$NR$13,$NN$13,0),IF($NP$13="Bell_Curve",$NN$13*(181-$NR$13+1)*($NS$13-181+1)/$NU$13,$NN$13/$NT$13)),0)</f>
        <v/>
      </c>
      <c r="GD13" s="228">
        <f>IF(AND(182&gt;=$NR$13,182&lt;=$NS$13),IF($NP$13="Single_Point",IF(182=$NR$13,$NN$13,0),IF($NP$13="Bell_Curve",$NN$13*(182-$NR$13+1)*($NS$13-182+1)/$NU$13,$NN$13/$NT$13)),0)</f>
        <v/>
      </c>
      <c r="GE13" s="228">
        <f>IF(AND(183&gt;=$NR$13,183&lt;=$NS$13),IF($NP$13="Single_Point",IF(183=$NR$13,$NN$13,0),IF($NP$13="Bell_Curve",$NN$13*(183-$NR$13+1)*($NS$13-183+1)/$NU$13,$NN$13/$NT$13)),0)</f>
        <v/>
      </c>
      <c r="GF13" s="228">
        <f>IF(AND(184&gt;=$NR$13,184&lt;=$NS$13),IF($NP$13="Single_Point",IF(184=$NR$13,$NN$13,0),IF($NP$13="Bell_Curve",$NN$13*(184-$NR$13+1)*($NS$13-184+1)/$NU$13,$NN$13/$NT$13)),0)</f>
        <v/>
      </c>
      <c r="GG13" s="228">
        <f>IF(AND(185&gt;=$NR$13,185&lt;=$NS$13),IF($NP$13="Single_Point",IF(185=$NR$13,$NN$13,0),IF($NP$13="Bell_Curve",$NN$13*(185-$NR$13+1)*($NS$13-185+1)/$NU$13,$NN$13/$NT$13)),0)</f>
        <v/>
      </c>
      <c r="GH13" s="228">
        <f>IF(AND(186&gt;=$NR$13,186&lt;=$NS$13),IF($NP$13="Single_Point",IF(186=$NR$13,$NN$13,0),IF($NP$13="Bell_Curve",$NN$13*(186-$NR$13+1)*($NS$13-186+1)/$NU$13,$NN$13/$NT$13)),0)</f>
        <v/>
      </c>
      <c r="GI13" s="228">
        <f>IF(AND(187&gt;=$NR$13,187&lt;=$NS$13),IF($NP$13="Single_Point",IF(187=$NR$13,$NN$13,0),IF($NP$13="Bell_Curve",$NN$13*(187-$NR$13+1)*($NS$13-187+1)/$NU$13,$NN$13/$NT$13)),0)</f>
        <v/>
      </c>
      <c r="GJ13" s="228">
        <f>IF(AND(188&gt;=$NR$13,188&lt;=$NS$13),IF($NP$13="Single_Point",IF(188=$NR$13,$NN$13,0),IF($NP$13="Bell_Curve",$NN$13*(188-$NR$13+1)*($NS$13-188+1)/$NU$13,$NN$13/$NT$13)),0)</f>
        <v/>
      </c>
      <c r="GK13" s="228">
        <f>IF(AND(189&gt;=$NR$13,189&lt;=$NS$13),IF($NP$13="Single_Point",IF(189=$NR$13,$NN$13,0),IF($NP$13="Bell_Curve",$NN$13*(189-$NR$13+1)*($NS$13-189+1)/$NU$13,$NN$13/$NT$13)),0)</f>
        <v/>
      </c>
      <c r="GL13" s="228">
        <f>IF(AND(190&gt;=$NR$13,190&lt;=$NS$13),IF($NP$13="Single_Point",IF(190=$NR$13,$NN$13,0),IF($NP$13="Bell_Curve",$NN$13*(190-$NR$13+1)*($NS$13-190+1)/$NU$13,$NN$13/$NT$13)),0)</f>
        <v/>
      </c>
      <c r="GM13" s="228">
        <f>IF(AND(191&gt;=$NR$13,191&lt;=$NS$13),IF($NP$13="Single_Point",IF(191=$NR$13,$NN$13,0),IF($NP$13="Bell_Curve",$NN$13*(191-$NR$13+1)*($NS$13-191+1)/$NU$13,$NN$13/$NT$13)),0)</f>
        <v/>
      </c>
      <c r="GN13" s="228">
        <f>IF(AND(192&gt;=$NR$13,192&lt;=$NS$13),IF($NP$13="Single_Point",IF(192=$NR$13,$NN$13,0),IF($NP$13="Bell_Curve",$NN$13*(192-$NR$13+1)*($NS$13-192+1)/$NU$13,$NN$13/$NT$13)),0)</f>
        <v/>
      </c>
      <c r="GO13" s="228">
        <f>IF(AND(193&gt;=$NR$13,193&lt;=$NS$13),IF($NP$13="Single_Point",IF(193=$NR$13,$NN$13,0),IF($NP$13="Bell_Curve",$NN$13*(193-$NR$13+1)*($NS$13-193+1)/$NU$13,$NN$13/$NT$13)),0)</f>
        <v/>
      </c>
      <c r="GP13" s="228">
        <f>IF(AND(194&gt;=$NR$13,194&lt;=$NS$13),IF($NP$13="Single_Point",IF(194=$NR$13,$NN$13,0),IF($NP$13="Bell_Curve",$NN$13*(194-$NR$13+1)*($NS$13-194+1)/$NU$13,$NN$13/$NT$13)),0)</f>
        <v/>
      </c>
      <c r="GQ13" s="228">
        <f>IF(AND(195&gt;=$NR$13,195&lt;=$NS$13),IF($NP$13="Single_Point",IF(195=$NR$13,$NN$13,0),IF($NP$13="Bell_Curve",$NN$13*(195-$NR$13+1)*($NS$13-195+1)/$NU$13,$NN$13/$NT$13)),0)</f>
        <v/>
      </c>
      <c r="GR13" s="228">
        <f>IF(AND(196&gt;=$NR$13,196&lt;=$NS$13),IF($NP$13="Single_Point",IF(196=$NR$13,$NN$13,0),IF($NP$13="Bell_Curve",$NN$13*(196-$NR$13+1)*($NS$13-196+1)/$NU$13,$NN$13/$NT$13)),0)</f>
        <v/>
      </c>
      <c r="GS13" s="228">
        <f>IF(AND(197&gt;=$NR$13,197&lt;=$NS$13),IF($NP$13="Single_Point",IF(197=$NR$13,$NN$13,0),IF($NP$13="Bell_Curve",$NN$13*(197-$NR$13+1)*($NS$13-197+1)/$NU$13,$NN$13/$NT$13)),0)</f>
        <v/>
      </c>
      <c r="GT13" s="228">
        <f>IF(AND(198&gt;=$NR$13,198&lt;=$NS$13),IF($NP$13="Single_Point",IF(198=$NR$13,$NN$13,0),IF($NP$13="Bell_Curve",$NN$13*(198-$NR$13+1)*($NS$13-198+1)/$NU$13,$NN$13/$NT$13)),0)</f>
        <v/>
      </c>
      <c r="GU13" s="228">
        <f>IF(AND(199&gt;=$NR$13,199&lt;=$NS$13),IF($NP$13="Single_Point",IF(199=$NR$13,$NN$13,0),IF($NP$13="Bell_Curve",$NN$13*(199-$NR$13+1)*($NS$13-199+1)/$NU$13,$NN$13/$NT$13)),0)</f>
        <v/>
      </c>
      <c r="GV13" s="228">
        <f>IF(AND(200&gt;=$NR$13,200&lt;=$NS$13),IF($NP$13="Single_Point",IF(200=$NR$13,$NN$13,0),IF($NP$13="Bell_Curve",$NN$13*(200-$NR$13+1)*($NS$13-200+1)/$NU$13,$NN$13/$NT$13)),0)</f>
        <v/>
      </c>
      <c r="GW13" s="228">
        <f>IF(AND(201&gt;=$NR$13,201&lt;=$NS$13),IF($NP$13="Single_Point",IF(201=$NR$13,$NN$13,0),IF($NP$13="Bell_Curve",$NN$13*(201-$NR$13+1)*($NS$13-201+1)/$NU$13,$NN$13/$NT$13)),0)</f>
        <v/>
      </c>
      <c r="GX13" s="228">
        <f>IF(AND(202&gt;=$NR$13,202&lt;=$NS$13),IF($NP$13="Single_Point",IF(202=$NR$13,$NN$13,0),IF($NP$13="Bell_Curve",$NN$13*(202-$NR$13+1)*($NS$13-202+1)/$NU$13,$NN$13/$NT$13)),0)</f>
        <v/>
      </c>
      <c r="GY13" s="228">
        <f>IF(AND(203&gt;=$NR$13,203&lt;=$NS$13),IF($NP$13="Single_Point",IF(203=$NR$13,$NN$13,0),IF($NP$13="Bell_Curve",$NN$13*(203-$NR$13+1)*($NS$13-203+1)/$NU$13,$NN$13/$NT$13)),0)</f>
        <v/>
      </c>
      <c r="GZ13" s="228">
        <f>IF(AND(204&gt;=$NR$13,204&lt;=$NS$13),IF($NP$13="Single_Point",IF(204=$NR$13,$NN$13,0),IF($NP$13="Bell_Curve",$NN$13*(204-$NR$13+1)*($NS$13-204+1)/$NU$13,$NN$13/$NT$13)),0)</f>
        <v/>
      </c>
      <c r="HA13" s="228">
        <f>IF(AND(205&gt;=$NR$13,205&lt;=$NS$13),IF($NP$13="Single_Point",IF(205=$NR$13,$NN$13,0),IF($NP$13="Bell_Curve",$NN$13*(205-$NR$13+1)*($NS$13-205+1)/$NU$13,$NN$13/$NT$13)),0)</f>
        <v/>
      </c>
      <c r="HB13" s="228">
        <f>IF(AND(206&gt;=$NR$13,206&lt;=$NS$13),IF($NP$13="Single_Point",IF(206=$NR$13,$NN$13,0),IF($NP$13="Bell_Curve",$NN$13*(206-$NR$13+1)*($NS$13-206+1)/$NU$13,$NN$13/$NT$13)),0)</f>
        <v/>
      </c>
      <c r="HC13" s="228">
        <f>IF(AND(207&gt;=$NR$13,207&lt;=$NS$13),IF($NP$13="Single_Point",IF(207=$NR$13,$NN$13,0),IF($NP$13="Bell_Curve",$NN$13*(207-$NR$13+1)*($NS$13-207+1)/$NU$13,$NN$13/$NT$13)),0)</f>
        <v/>
      </c>
      <c r="HD13" s="228">
        <f>IF(AND(208&gt;=$NR$13,208&lt;=$NS$13),IF($NP$13="Single_Point",IF(208=$NR$13,$NN$13,0),IF($NP$13="Bell_Curve",$NN$13*(208-$NR$13+1)*($NS$13-208+1)/$NU$13,$NN$13/$NT$13)),0)</f>
        <v/>
      </c>
      <c r="HE13" s="228">
        <f>IF(AND(209&gt;=$NR$13,209&lt;=$NS$13),IF($NP$13="Single_Point",IF(209=$NR$13,$NN$13,0),IF($NP$13="Bell_Curve",$NN$13*(209-$NR$13+1)*($NS$13-209+1)/$NU$13,$NN$13/$NT$13)),0)</f>
        <v/>
      </c>
      <c r="HF13" s="228">
        <f>IF(AND(210&gt;=$NR$13,210&lt;=$NS$13),IF($NP$13="Single_Point",IF(210=$NR$13,$NN$13,0),IF($NP$13="Bell_Curve",$NN$13*(210-$NR$13+1)*($NS$13-210+1)/$NU$13,$NN$13/$NT$13)),0)</f>
        <v/>
      </c>
      <c r="HG13" s="228">
        <f>IF(AND(211&gt;=$NR$13,211&lt;=$NS$13),IF($NP$13="Single_Point",IF(211=$NR$13,$NN$13,0),IF($NP$13="Bell_Curve",$NN$13*(211-$NR$13+1)*($NS$13-211+1)/$NU$13,$NN$13/$NT$13)),0)</f>
        <v/>
      </c>
      <c r="HH13" s="228">
        <f>IF(AND(212&gt;=$NR$13,212&lt;=$NS$13),IF($NP$13="Single_Point",IF(212=$NR$13,$NN$13,0),IF($NP$13="Bell_Curve",$NN$13*(212-$NR$13+1)*($NS$13-212+1)/$NU$13,$NN$13/$NT$13)),0)</f>
        <v/>
      </c>
      <c r="HI13" s="228">
        <f>IF(AND(213&gt;=$NR$13,213&lt;=$NS$13),IF($NP$13="Single_Point",IF(213=$NR$13,$NN$13,0),IF($NP$13="Bell_Curve",$NN$13*(213-$NR$13+1)*($NS$13-213+1)/$NU$13,$NN$13/$NT$13)),0)</f>
        <v/>
      </c>
      <c r="HJ13" s="228">
        <f>IF(AND(214&gt;=$NR$13,214&lt;=$NS$13),IF($NP$13="Single_Point",IF(214=$NR$13,$NN$13,0),IF($NP$13="Bell_Curve",$NN$13*(214-$NR$13+1)*($NS$13-214+1)/$NU$13,$NN$13/$NT$13)),0)</f>
        <v/>
      </c>
      <c r="HK13" s="228">
        <f>IF(AND(215&gt;=$NR$13,215&lt;=$NS$13),IF($NP$13="Single_Point",IF(215=$NR$13,$NN$13,0),IF($NP$13="Bell_Curve",$NN$13*(215-$NR$13+1)*($NS$13-215+1)/$NU$13,$NN$13/$NT$13)),0)</f>
        <v/>
      </c>
      <c r="HL13" s="228">
        <f>IF(AND(216&gt;=$NR$13,216&lt;=$NS$13),IF($NP$13="Single_Point",IF(216=$NR$13,$NN$13,0),IF($NP$13="Bell_Curve",$NN$13*(216-$NR$13+1)*($NS$13-216+1)/$NU$13,$NN$13/$NT$13)),0)</f>
        <v/>
      </c>
      <c r="HM13" s="228">
        <f>IF(AND(217&gt;=$NR$13,217&lt;=$NS$13),IF($NP$13="Single_Point",IF(217=$NR$13,$NN$13,0),IF($NP$13="Bell_Curve",$NN$13*(217-$NR$13+1)*($NS$13-217+1)/$NU$13,$NN$13/$NT$13)),0)</f>
        <v/>
      </c>
      <c r="HN13" s="228">
        <f>IF(AND(218&gt;=$NR$13,218&lt;=$NS$13),IF($NP$13="Single_Point",IF(218=$NR$13,$NN$13,0),IF($NP$13="Bell_Curve",$NN$13*(218-$NR$13+1)*($NS$13-218+1)/$NU$13,$NN$13/$NT$13)),0)</f>
        <v/>
      </c>
      <c r="HO13" s="228">
        <f>IF(AND(219&gt;=$NR$13,219&lt;=$NS$13),IF($NP$13="Single_Point",IF(219=$NR$13,$NN$13,0),IF($NP$13="Bell_Curve",$NN$13*(219-$NR$13+1)*($NS$13-219+1)/$NU$13,$NN$13/$NT$13)),0)</f>
        <v/>
      </c>
      <c r="HP13" s="228">
        <f>IF(AND(220&gt;=$NR$13,220&lt;=$NS$13),IF($NP$13="Single_Point",IF(220=$NR$13,$NN$13,0),IF($NP$13="Bell_Curve",$NN$13*(220-$NR$13+1)*($NS$13-220+1)/$NU$13,$NN$13/$NT$13)),0)</f>
        <v/>
      </c>
      <c r="HQ13" s="228">
        <f>IF(AND(221&gt;=$NR$13,221&lt;=$NS$13),IF($NP$13="Single_Point",IF(221=$NR$13,$NN$13,0),IF($NP$13="Bell_Curve",$NN$13*(221-$NR$13+1)*($NS$13-221+1)/$NU$13,$NN$13/$NT$13)),0)</f>
        <v/>
      </c>
      <c r="HR13" s="228">
        <f>IF(AND(222&gt;=$NR$13,222&lt;=$NS$13),IF($NP$13="Single_Point",IF(222=$NR$13,$NN$13,0),IF($NP$13="Bell_Curve",$NN$13*(222-$NR$13+1)*($NS$13-222+1)/$NU$13,$NN$13/$NT$13)),0)</f>
        <v/>
      </c>
      <c r="HS13" s="228">
        <f>IF(AND(223&gt;=$NR$13,223&lt;=$NS$13),IF($NP$13="Single_Point",IF(223=$NR$13,$NN$13,0),IF($NP$13="Bell_Curve",$NN$13*(223-$NR$13+1)*($NS$13-223+1)/$NU$13,$NN$13/$NT$13)),0)</f>
        <v/>
      </c>
      <c r="HT13" s="228">
        <f>IF(AND(224&gt;=$NR$13,224&lt;=$NS$13),IF($NP$13="Single_Point",IF(224=$NR$13,$NN$13,0),IF($NP$13="Bell_Curve",$NN$13*(224-$NR$13+1)*($NS$13-224+1)/$NU$13,$NN$13/$NT$13)),0)</f>
        <v/>
      </c>
      <c r="HU13" s="228">
        <f>IF(AND(225&gt;=$NR$13,225&lt;=$NS$13),IF($NP$13="Single_Point",IF(225=$NR$13,$NN$13,0),IF($NP$13="Bell_Curve",$NN$13*(225-$NR$13+1)*($NS$13-225+1)/$NU$13,$NN$13/$NT$13)),0)</f>
        <v/>
      </c>
      <c r="HV13" s="228">
        <f>IF(AND(226&gt;=$NR$13,226&lt;=$NS$13),IF($NP$13="Single_Point",IF(226=$NR$13,$NN$13,0),IF($NP$13="Bell_Curve",$NN$13*(226-$NR$13+1)*($NS$13-226+1)/$NU$13,$NN$13/$NT$13)),0)</f>
        <v/>
      </c>
      <c r="HW13" s="228">
        <f>IF(AND(227&gt;=$NR$13,227&lt;=$NS$13),IF($NP$13="Single_Point",IF(227=$NR$13,$NN$13,0),IF($NP$13="Bell_Curve",$NN$13*(227-$NR$13+1)*($NS$13-227+1)/$NU$13,$NN$13/$NT$13)),0)</f>
        <v/>
      </c>
      <c r="HX13" s="228">
        <f>IF(AND(228&gt;=$NR$13,228&lt;=$NS$13),IF($NP$13="Single_Point",IF(228=$NR$13,$NN$13,0),IF($NP$13="Bell_Curve",$NN$13*(228-$NR$13+1)*($NS$13-228+1)/$NU$13,$NN$13/$NT$13)),0)</f>
        <v/>
      </c>
      <c r="HY13" s="228">
        <f>IF(AND(229&gt;=$NR$13,229&lt;=$NS$13),IF($NP$13="Single_Point",IF(229=$NR$13,$NN$13,0),IF($NP$13="Bell_Curve",$NN$13*(229-$NR$13+1)*($NS$13-229+1)/$NU$13,$NN$13/$NT$13)),0)</f>
        <v/>
      </c>
      <c r="HZ13" s="228">
        <f>IF(AND(230&gt;=$NR$13,230&lt;=$NS$13),IF($NP$13="Single_Point",IF(230=$NR$13,$NN$13,0),IF($NP$13="Bell_Curve",$NN$13*(230-$NR$13+1)*($NS$13-230+1)/$NU$13,$NN$13/$NT$13)),0)</f>
        <v/>
      </c>
      <c r="IA13" s="228">
        <f>IF(AND(231&gt;=$NR$13,231&lt;=$NS$13),IF($NP$13="Single_Point",IF(231=$NR$13,$NN$13,0),IF($NP$13="Bell_Curve",$NN$13*(231-$NR$13+1)*($NS$13-231+1)/$NU$13,$NN$13/$NT$13)),0)</f>
        <v/>
      </c>
      <c r="IB13" s="228">
        <f>IF(AND(232&gt;=$NR$13,232&lt;=$NS$13),IF($NP$13="Single_Point",IF(232=$NR$13,$NN$13,0),IF($NP$13="Bell_Curve",$NN$13*(232-$NR$13+1)*($NS$13-232+1)/$NU$13,$NN$13/$NT$13)),0)</f>
        <v/>
      </c>
      <c r="IC13" s="228">
        <f>IF(AND(233&gt;=$NR$13,233&lt;=$NS$13),IF($NP$13="Single_Point",IF(233=$NR$13,$NN$13,0),IF($NP$13="Bell_Curve",$NN$13*(233-$NR$13+1)*($NS$13-233+1)/$NU$13,$NN$13/$NT$13)),0)</f>
        <v/>
      </c>
      <c r="ID13" s="228">
        <f>IF(AND(234&gt;=$NR$13,234&lt;=$NS$13),IF($NP$13="Single_Point",IF(234=$NR$13,$NN$13,0),IF($NP$13="Bell_Curve",$NN$13*(234-$NR$13+1)*($NS$13-234+1)/$NU$13,$NN$13/$NT$13)),0)</f>
        <v/>
      </c>
      <c r="IE13" s="228">
        <f>IF(AND(235&gt;=$NR$13,235&lt;=$NS$13),IF($NP$13="Single_Point",IF(235=$NR$13,$NN$13,0),IF($NP$13="Bell_Curve",$NN$13*(235-$NR$13+1)*($NS$13-235+1)/$NU$13,$NN$13/$NT$13)),0)</f>
        <v/>
      </c>
      <c r="IF13" s="228">
        <f>IF(AND(236&gt;=$NR$13,236&lt;=$NS$13),IF($NP$13="Single_Point",IF(236=$NR$13,$NN$13,0),IF($NP$13="Bell_Curve",$NN$13*(236-$NR$13+1)*($NS$13-236+1)/$NU$13,$NN$13/$NT$13)),0)</f>
        <v/>
      </c>
      <c r="IG13" s="228">
        <f>IF(AND(237&gt;=$NR$13,237&lt;=$NS$13),IF($NP$13="Single_Point",IF(237=$NR$13,$NN$13,0),IF($NP$13="Bell_Curve",$NN$13*(237-$NR$13+1)*($NS$13-237+1)/$NU$13,$NN$13/$NT$13)),0)</f>
        <v/>
      </c>
      <c r="IH13" s="228">
        <f>IF(AND(238&gt;=$NR$13,238&lt;=$NS$13),IF($NP$13="Single_Point",IF(238=$NR$13,$NN$13,0),IF($NP$13="Bell_Curve",$NN$13*(238-$NR$13+1)*($NS$13-238+1)/$NU$13,$NN$13/$NT$13)),0)</f>
        <v/>
      </c>
      <c r="II13" s="228">
        <f>IF(AND(239&gt;=$NR$13,239&lt;=$NS$13),IF($NP$13="Single_Point",IF(239=$NR$13,$NN$13,0),IF($NP$13="Bell_Curve",$NN$13*(239-$NR$13+1)*($NS$13-239+1)/$NU$13,$NN$13/$NT$13)),0)</f>
        <v/>
      </c>
      <c r="IJ13" s="228">
        <f>IF(AND(240&gt;=$NR$13,240&lt;=$NS$13),IF($NP$13="Single_Point",IF(240=$NR$13,$NN$13,0),IF($NP$13="Bell_Curve",$NN$13*(240-$NR$13+1)*($NS$13-240+1)/$NU$13,$NN$13/$NT$13)),0)</f>
        <v/>
      </c>
      <c r="IK13" s="228">
        <f>IF(AND(241&gt;=$NR$13,241&lt;=$NS$13),IF($NP$13="Single_Point",IF(241=$NR$13,$NN$13,0),IF($NP$13="Bell_Curve",$NN$13*(241-$NR$13+1)*($NS$13-241+1)/$NU$13,$NN$13/$NT$13)),0)</f>
        <v/>
      </c>
      <c r="IL13" s="228">
        <f>IF(AND(242&gt;=$NR$13,242&lt;=$NS$13),IF($NP$13="Single_Point",IF(242=$NR$13,$NN$13,0),IF($NP$13="Bell_Curve",$NN$13*(242-$NR$13+1)*($NS$13-242+1)/$NU$13,$NN$13/$NT$13)),0)</f>
        <v/>
      </c>
      <c r="IM13" s="228">
        <f>IF(AND(243&gt;=$NR$13,243&lt;=$NS$13),IF($NP$13="Single_Point",IF(243=$NR$13,$NN$13,0),IF($NP$13="Bell_Curve",$NN$13*(243-$NR$13+1)*($NS$13-243+1)/$NU$13,$NN$13/$NT$13)),0)</f>
        <v/>
      </c>
      <c r="IN13" s="228">
        <f>IF(AND(244&gt;=$NR$13,244&lt;=$NS$13),IF($NP$13="Single_Point",IF(244=$NR$13,$NN$13,0),IF($NP$13="Bell_Curve",$NN$13*(244-$NR$13+1)*($NS$13-244+1)/$NU$13,$NN$13/$NT$13)),0)</f>
        <v/>
      </c>
      <c r="IO13" s="228">
        <f>IF(AND(245&gt;=$NR$13,245&lt;=$NS$13),IF($NP$13="Single_Point",IF(245=$NR$13,$NN$13,0),IF($NP$13="Bell_Curve",$NN$13*(245-$NR$13+1)*($NS$13-245+1)/$NU$13,$NN$13/$NT$13)),0)</f>
        <v/>
      </c>
      <c r="IP13" s="228">
        <f>IF(AND(246&gt;=$NR$13,246&lt;=$NS$13),IF($NP$13="Single_Point",IF(246=$NR$13,$NN$13,0),IF($NP$13="Bell_Curve",$NN$13*(246-$NR$13+1)*($NS$13-246+1)/$NU$13,$NN$13/$NT$13)),0)</f>
        <v/>
      </c>
      <c r="IQ13" s="228">
        <f>IF(AND(247&gt;=$NR$13,247&lt;=$NS$13),IF($NP$13="Single_Point",IF(247=$NR$13,$NN$13,0),IF($NP$13="Bell_Curve",$NN$13*(247-$NR$13+1)*($NS$13-247+1)/$NU$13,$NN$13/$NT$13)),0)</f>
        <v/>
      </c>
      <c r="IR13" s="228">
        <f>IF(AND(248&gt;=$NR$13,248&lt;=$NS$13),IF($NP$13="Single_Point",IF(248=$NR$13,$NN$13,0),IF($NP$13="Bell_Curve",$NN$13*(248-$NR$13+1)*($NS$13-248+1)/$NU$13,$NN$13/$NT$13)),0)</f>
        <v/>
      </c>
      <c r="IS13" s="228">
        <f>IF(AND(249&gt;=$NR$13,249&lt;=$NS$13),IF($NP$13="Single_Point",IF(249=$NR$13,$NN$13,0),IF($NP$13="Bell_Curve",$NN$13*(249-$NR$13+1)*($NS$13-249+1)/$NU$13,$NN$13/$NT$13)),0)</f>
        <v/>
      </c>
      <c r="IT13" s="228">
        <f>IF(AND(250&gt;=$NR$13,250&lt;=$NS$13),IF($NP$13="Single_Point",IF(250=$NR$13,$NN$13,0),IF($NP$13="Bell_Curve",$NN$13*(250-$NR$13+1)*($NS$13-250+1)/$NU$13,$NN$13/$NT$13)),0)</f>
        <v/>
      </c>
      <c r="IU13" s="228">
        <f>IF(AND(251&gt;=$NR$13,251&lt;=$NS$13),IF($NP$13="Single_Point",IF(251=$NR$13,$NN$13,0),IF($NP$13="Bell_Curve",$NN$13*(251-$NR$13+1)*($NS$13-251+1)/$NU$13,$NN$13/$NT$13)),0)</f>
        <v/>
      </c>
      <c r="IV13" s="228">
        <f>IF(AND(252&gt;=$NR$13,252&lt;=$NS$13),IF($NP$13="Single_Point",IF(252=$NR$13,$NN$13,0),IF($NP$13="Bell_Curve",$NN$13*(252-$NR$13+1)*($NS$13-252+1)/$NU$13,$NN$13/$NT$13)),0)</f>
        <v/>
      </c>
      <c r="IW13" s="228">
        <f>IF(AND(253&gt;=$NR$13,253&lt;=$NS$13),IF($NP$13="Single_Point",IF(253=$NR$13,$NN$13,0),IF($NP$13="Bell_Curve",$NN$13*(253-$NR$13+1)*($NS$13-253+1)/$NU$13,$NN$13/$NT$13)),0)</f>
        <v/>
      </c>
      <c r="IX13" s="228">
        <f>IF(AND(254&gt;=$NR$13,254&lt;=$NS$13),IF($NP$13="Single_Point",IF(254=$NR$13,$NN$13,0),IF($NP$13="Bell_Curve",$NN$13*(254-$NR$13+1)*($NS$13-254+1)/$NU$13,$NN$13/$NT$13)),0)</f>
        <v/>
      </c>
      <c r="IY13" s="228">
        <f>IF(AND(255&gt;=$NR$13,255&lt;=$NS$13),IF($NP$13="Single_Point",IF(255=$NR$13,$NN$13,0),IF($NP$13="Bell_Curve",$NN$13*(255-$NR$13+1)*($NS$13-255+1)/$NU$13,$NN$13/$NT$13)),0)</f>
        <v/>
      </c>
      <c r="IZ13" s="228">
        <f>IF(AND(256&gt;=$NR$13,256&lt;=$NS$13),IF($NP$13="Single_Point",IF(256=$NR$13,$NN$13,0),IF($NP$13="Bell_Curve",$NN$13*(256-$NR$13+1)*($NS$13-256+1)/$NU$13,$NN$13/$NT$13)),0)</f>
        <v/>
      </c>
      <c r="JA13" s="228">
        <f>IF(AND(257&gt;=$NR$13,257&lt;=$NS$13),IF($NP$13="Single_Point",IF(257=$NR$13,$NN$13,0),IF($NP$13="Bell_Curve",$NN$13*(257-$NR$13+1)*($NS$13-257+1)/$NU$13,$NN$13/$NT$13)),0)</f>
        <v/>
      </c>
      <c r="JB13" s="228">
        <f>IF(AND(258&gt;=$NR$13,258&lt;=$NS$13),IF($NP$13="Single_Point",IF(258=$NR$13,$NN$13,0),IF($NP$13="Bell_Curve",$NN$13*(258-$NR$13+1)*($NS$13-258+1)/$NU$13,$NN$13/$NT$13)),0)</f>
        <v/>
      </c>
      <c r="JC13" s="228">
        <f>IF(AND(259&gt;=$NR$13,259&lt;=$NS$13),IF($NP$13="Single_Point",IF(259=$NR$13,$NN$13,0),IF($NP$13="Bell_Curve",$NN$13*(259-$NR$13+1)*($NS$13-259+1)/$NU$13,$NN$13/$NT$13)),0)</f>
        <v/>
      </c>
      <c r="JD13" s="228">
        <f>IF(AND(260&gt;=$NR$13,260&lt;=$NS$13),IF($NP$13="Single_Point",IF(260=$NR$13,$NN$13,0),IF($NP$13="Bell_Curve",$NN$13*(260-$NR$13+1)*($NS$13-260+1)/$NU$13,$NN$13/$NT$13)),0)</f>
        <v/>
      </c>
      <c r="JE13" s="228">
        <f>IF(AND(261&gt;=$NR$13,261&lt;=$NS$13),IF($NP$13="Single_Point",IF(261=$NR$13,$NN$13,0),IF($NP$13="Bell_Curve",$NN$13*(261-$NR$13+1)*($NS$13-261+1)/$NU$13,$NN$13/$NT$13)),0)</f>
        <v/>
      </c>
      <c r="JF13" s="228">
        <f>IF(AND(262&gt;=$NR$13,262&lt;=$NS$13),IF($NP$13="Single_Point",IF(262=$NR$13,$NN$13,0),IF($NP$13="Bell_Curve",$NN$13*(262-$NR$13+1)*($NS$13-262+1)/$NU$13,$NN$13/$NT$13)),0)</f>
        <v/>
      </c>
      <c r="JG13" s="228">
        <f>IF(AND(263&gt;=$NR$13,263&lt;=$NS$13),IF($NP$13="Single_Point",IF(263=$NR$13,$NN$13,0),IF($NP$13="Bell_Curve",$NN$13*(263-$NR$13+1)*($NS$13-263+1)/$NU$13,$NN$13/$NT$13)),0)</f>
        <v/>
      </c>
      <c r="JH13" s="228">
        <f>IF(AND(264&gt;=$NR$13,264&lt;=$NS$13),IF($NP$13="Single_Point",IF(264=$NR$13,$NN$13,0),IF($NP$13="Bell_Curve",$NN$13*(264-$NR$13+1)*($NS$13-264+1)/$NU$13,$NN$13/$NT$13)),0)</f>
        <v/>
      </c>
      <c r="JI13" s="228">
        <f>IF(AND(265&gt;=$NR$13,265&lt;=$NS$13),IF($NP$13="Single_Point",IF(265=$NR$13,$NN$13,0),IF($NP$13="Bell_Curve",$NN$13*(265-$NR$13+1)*($NS$13-265+1)/$NU$13,$NN$13/$NT$13)),0)</f>
        <v/>
      </c>
      <c r="JJ13" s="228">
        <f>IF(AND(266&gt;=$NR$13,266&lt;=$NS$13),IF($NP$13="Single_Point",IF(266=$NR$13,$NN$13,0),IF($NP$13="Bell_Curve",$NN$13*(266-$NR$13+1)*($NS$13-266+1)/$NU$13,$NN$13/$NT$13)),0)</f>
        <v/>
      </c>
      <c r="JK13" s="228">
        <f>IF(AND(267&gt;=$NR$13,267&lt;=$NS$13),IF($NP$13="Single_Point",IF(267=$NR$13,$NN$13,0),IF($NP$13="Bell_Curve",$NN$13*(267-$NR$13+1)*($NS$13-267+1)/$NU$13,$NN$13/$NT$13)),0)</f>
        <v/>
      </c>
      <c r="JL13" s="228">
        <f>IF(AND(268&gt;=$NR$13,268&lt;=$NS$13),IF($NP$13="Single_Point",IF(268=$NR$13,$NN$13,0),IF($NP$13="Bell_Curve",$NN$13*(268-$NR$13+1)*($NS$13-268+1)/$NU$13,$NN$13/$NT$13)),0)</f>
        <v/>
      </c>
      <c r="JM13" s="228">
        <f>IF(AND(269&gt;=$NR$13,269&lt;=$NS$13),IF($NP$13="Single_Point",IF(269=$NR$13,$NN$13,0),IF($NP$13="Bell_Curve",$NN$13*(269-$NR$13+1)*($NS$13-269+1)/$NU$13,$NN$13/$NT$13)),0)</f>
        <v/>
      </c>
      <c r="JN13" s="228">
        <f>IF(AND(270&gt;=$NR$13,270&lt;=$NS$13),IF($NP$13="Single_Point",IF(270=$NR$13,$NN$13,0),IF($NP$13="Bell_Curve",$NN$13*(270-$NR$13+1)*($NS$13-270+1)/$NU$13,$NN$13/$NT$13)),0)</f>
        <v/>
      </c>
      <c r="JO13" s="228">
        <f>IF(AND(271&gt;=$NR$13,271&lt;=$NS$13),IF($NP$13="Single_Point",IF(271=$NR$13,$NN$13,0),IF($NP$13="Bell_Curve",$NN$13*(271-$NR$13+1)*($NS$13-271+1)/$NU$13,$NN$13/$NT$13)),0)</f>
        <v/>
      </c>
      <c r="JP13" s="228">
        <f>IF(AND(272&gt;=$NR$13,272&lt;=$NS$13),IF($NP$13="Single_Point",IF(272=$NR$13,$NN$13,0),IF($NP$13="Bell_Curve",$NN$13*(272-$NR$13+1)*($NS$13-272+1)/$NU$13,$NN$13/$NT$13)),0)</f>
        <v/>
      </c>
      <c r="JQ13" s="228">
        <f>IF(AND(273&gt;=$NR$13,273&lt;=$NS$13),IF($NP$13="Single_Point",IF(273=$NR$13,$NN$13,0),IF($NP$13="Bell_Curve",$NN$13*(273-$NR$13+1)*($NS$13-273+1)/$NU$13,$NN$13/$NT$13)),0)</f>
        <v/>
      </c>
      <c r="JR13" s="228">
        <f>IF(AND(274&gt;=$NR$13,274&lt;=$NS$13),IF($NP$13="Single_Point",IF(274=$NR$13,$NN$13,0),IF($NP$13="Bell_Curve",$NN$13*(274-$NR$13+1)*($NS$13-274+1)/$NU$13,$NN$13/$NT$13)),0)</f>
        <v/>
      </c>
      <c r="JS13" s="228">
        <f>IF(AND(275&gt;=$NR$13,275&lt;=$NS$13),IF($NP$13="Single_Point",IF(275=$NR$13,$NN$13,0),IF($NP$13="Bell_Curve",$NN$13*(275-$NR$13+1)*($NS$13-275+1)/$NU$13,$NN$13/$NT$13)),0)</f>
        <v/>
      </c>
      <c r="JT13" s="228">
        <f>IF(AND(276&gt;=$NR$13,276&lt;=$NS$13),IF($NP$13="Single_Point",IF(276=$NR$13,$NN$13,0),IF($NP$13="Bell_Curve",$NN$13*(276-$NR$13+1)*($NS$13-276+1)/$NU$13,$NN$13/$NT$13)),0)</f>
        <v/>
      </c>
      <c r="JU13" s="228">
        <f>IF(AND(277&gt;=$NR$13,277&lt;=$NS$13),IF($NP$13="Single_Point",IF(277=$NR$13,$NN$13,0),IF($NP$13="Bell_Curve",$NN$13*(277-$NR$13+1)*($NS$13-277+1)/$NU$13,$NN$13/$NT$13)),0)</f>
        <v/>
      </c>
      <c r="JV13" s="228">
        <f>IF(AND(278&gt;=$NR$13,278&lt;=$NS$13),IF($NP$13="Single_Point",IF(278=$NR$13,$NN$13,0),IF($NP$13="Bell_Curve",$NN$13*(278-$NR$13+1)*($NS$13-278+1)/$NU$13,$NN$13/$NT$13)),0)</f>
        <v/>
      </c>
      <c r="JW13" s="228">
        <f>IF(AND(279&gt;=$NR$13,279&lt;=$NS$13),IF($NP$13="Single_Point",IF(279=$NR$13,$NN$13,0),IF($NP$13="Bell_Curve",$NN$13*(279-$NR$13+1)*($NS$13-279+1)/$NU$13,$NN$13/$NT$13)),0)</f>
        <v/>
      </c>
      <c r="JX13" s="228">
        <f>IF(AND(280&gt;=$NR$13,280&lt;=$NS$13),IF($NP$13="Single_Point",IF(280=$NR$13,$NN$13,0),IF($NP$13="Bell_Curve",$NN$13*(280-$NR$13+1)*($NS$13-280+1)/$NU$13,$NN$13/$NT$13)),0)</f>
        <v/>
      </c>
      <c r="JY13" s="228">
        <f>IF(AND(281&gt;=$NR$13,281&lt;=$NS$13),IF($NP$13="Single_Point",IF(281=$NR$13,$NN$13,0),IF($NP$13="Bell_Curve",$NN$13*(281-$NR$13+1)*($NS$13-281+1)/$NU$13,$NN$13/$NT$13)),0)</f>
        <v/>
      </c>
      <c r="JZ13" s="228">
        <f>IF(AND(282&gt;=$NR$13,282&lt;=$NS$13),IF($NP$13="Single_Point",IF(282=$NR$13,$NN$13,0),IF($NP$13="Bell_Curve",$NN$13*(282-$NR$13+1)*($NS$13-282+1)/$NU$13,$NN$13/$NT$13)),0)</f>
        <v/>
      </c>
      <c r="KA13" s="228">
        <f>IF(AND(283&gt;=$NR$13,283&lt;=$NS$13),IF($NP$13="Single_Point",IF(283=$NR$13,$NN$13,0),IF($NP$13="Bell_Curve",$NN$13*(283-$NR$13+1)*($NS$13-283+1)/$NU$13,$NN$13/$NT$13)),0)</f>
        <v/>
      </c>
      <c r="KB13" s="228">
        <f>IF(AND(284&gt;=$NR$13,284&lt;=$NS$13),IF($NP$13="Single_Point",IF(284=$NR$13,$NN$13,0),IF($NP$13="Bell_Curve",$NN$13*(284-$NR$13+1)*($NS$13-284+1)/$NU$13,$NN$13/$NT$13)),0)</f>
        <v/>
      </c>
      <c r="KC13" s="228">
        <f>IF(AND(285&gt;=$NR$13,285&lt;=$NS$13),IF($NP$13="Single_Point",IF(285=$NR$13,$NN$13,0),IF($NP$13="Bell_Curve",$NN$13*(285-$NR$13+1)*($NS$13-285+1)/$NU$13,$NN$13/$NT$13)),0)</f>
        <v/>
      </c>
      <c r="KD13" s="228">
        <f>IF(AND(286&gt;=$NR$13,286&lt;=$NS$13),IF($NP$13="Single_Point",IF(286=$NR$13,$NN$13,0),IF($NP$13="Bell_Curve",$NN$13*(286-$NR$13+1)*($NS$13-286+1)/$NU$13,$NN$13/$NT$13)),0)</f>
        <v/>
      </c>
      <c r="KE13" s="228">
        <f>IF(AND(287&gt;=$NR$13,287&lt;=$NS$13),IF($NP$13="Single_Point",IF(287=$NR$13,$NN$13,0),IF($NP$13="Bell_Curve",$NN$13*(287-$NR$13+1)*($NS$13-287+1)/$NU$13,$NN$13/$NT$13)),0)</f>
        <v/>
      </c>
      <c r="KF13" s="228">
        <f>IF(AND(288&gt;=$NR$13,288&lt;=$NS$13),IF($NP$13="Single_Point",IF(288=$NR$13,$NN$13,0),IF($NP$13="Bell_Curve",$NN$13*(288-$NR$13+1)*($NS$13-288+1)/$NU$13,$NN$13/$NT$13)),0)</f>
        <v/>
      </c>
      <c r="KG13" s="228">
        <f>IF(AND(289&gt;=$NR$13,289&lt;=$NS$13),IF($NP$13="Single_Point",IF(289=$NR$13,$NN$13,0),IF($NP$13="Bell_Curve",$NN$13*(289-$NR$13+1)*($NS$13-289+1)/$NU$13,$NN$13/$NT$13)),0)</f>
        <v/>
      </c>
      <c r="KH13" s="228">
        <f>IF(AND(290&gt;=$NR$13,290&lt;=$NS$13),IF($NP$13="Single_Point",IF(290=$NR$13,$NN$13,0),IF($NP$13="Bell_Curve",$NN$13*(290-$NR$13+1)*($NS$13-290+1)/$NU$13,$NN$13/$NT$13)),0)</f>
        <v/>
      </c>
      <c r="KI13" s="228">
        <f>IF(AND(291&gt;=$NR$13,291&lt;=$NS$13),IF($NP$13="Single_Point",IF(291=$NR$13,$NN$13,0),IF($NP$13="Bell_Curve",$NN$13*(291-$NR$13+1)*($NS$13-291+1)/$NU$13,$NN$13/$NT$13)),0)</f>
        <v/>
      </c>
      <c r="KJ13" s="228">
        <f>IF(AND(292&gt;=$NR$13,292&lt;=$NS$13),IF($NP$13="Single_Point",IF(292=$NR$13,$NN$13,0),IF($NP$13="Bell_Curve",$NN$13*(292-$NR$13+1)*($NS$13-292+1)/$NU$13,$NN$13/$NT$13)),0)</f>
        <v/>
      </c>
      <c r="KK13" s="228">
        <f>IF(AND(293&gt;=$NR$13,293&lt;=$NS$13),IF($NP$13="Single_Point",IF(293=$NR$13,$NN$13,0),IF($NP$13="Bell_Curve",$NN$13*(293-$NR$13+1)*($NS$13-293+1)/$NU$13,$NN$13/$NT$13)),0)</f>
        <v/>
      </c>
      <c r="KL13" s="228">
        <f>IF(AND(294&gt;=$NR$13,294&lt;=$NS$13),IF($NP$13="Single_Point",IF(294=$NR$13,$NN$13,0),IF($NP$13="Bell_Curve",$NN$13*(294-$NR$13+1)*($NS$13-294+1)/$NU$13,$NN$13/$NT$13)),0)</f>
        <v/>
      </c>
      <c r="KM13" s="228">
        <f>IF(AND(295&gt;=$NR$13,295&lt;=$NS$13),IF($NP$13="Single_Point",IF(295=$NR$13,$NN$13,0),IF($NP$13="Bell_Curve",$NN$13*(295-$NR$13+1)*($NS$13-295+1)/$NU$13,$NN$13/$NT$13)),0)</f>
        <v/>
      </c>
      <c r="KN13" s="228">
        <f>IF(AND(296&gt;=$NR$13,296&lt;=$NS$13),IF($NP$13="Single_Point",IF(296=$NR$13,$NN$13,0),IF($NP$13="Bell_Curve",$NN$13*(296-$NR$13+1)*($NS$13-296+1)/$NU$13,$NN$13/$NT$13)),0)</f>
        <v/>
      </c>
      <c r="KO13" s="228">
        <f>IF(AND(297&gt;=$NR$13,297&lt;=$NS$13),IF($NP$13="Single_Point",IF(297=$NR$13,$NN$13,0),IF($NP$13="Bell_Curve",$NN$13*(297-$NR$13+1)*($NS$13-297+1)/$NU$13,$NN$13/$NT$13)),0)</f>
        <v/>
      </c>
      <c r="KP13" s="228">
        <f>IF(AND(298&gt;=$NR$13,298&lt;=$NS$13),IF($NP$13="Single_Point",IF(298=$NR$13,$NN$13,0),IF($NP$13="Bell_Curve",$NN$13*(298-$NR$13+1)*($NS$13-298+1)/$NU$13,$NN$13/$NT$13)),0)</f>
        <v/>
      </c>
      <c r="KQ13" s="228">
        <f>IF(AND(299&gt;=$NR$13,299&lt;=$NS$13),IF($NP$13="Single_Point",IF(299=$NR$13,$NN$13,0),IF($NP$13="Bell_Curve",$NN$13*(299-$NR$13+1)*($NS$13-299+1)/$NU$13,$NN$13/$NT$13)),0)</f>
        <v/>
      </c>
      <c r="KR13" s="228">
        <f>IF(AND(300&gt;=$NR$13,300&lt;=$NS$13),IF($NP$13="Single_Point",IF(300=$NR$13,$NN$13,0),IF($NP$13="Bell_Curve",$NN$13*(300-$NR$13+1)*($NS$13-300+1)/$NU$13,$NN$13/$NT$13)),0)</f>
        <v/>
      </c>
      <c r="KS13" s="228">
        <f>IF(AND(301&gt;=$NR$13,301&lt;=$NS$13),IF($NP$13="Single_Point",IF(301=$NR$13,$NN$13,0),IF($NP$13="Bell_Curve",$NN$13*(301-$NR$13+1)*($NS$13-301+1)/$NU$13,$NN$13/$NT$13)),0)</f>
        <v/>
      </c>
      <c r="KT13" s="228">
        <f>IF(AND(302&gt;=$NR$13,302&lt;=$NS$13),IF($NP$13="Single_Point",IF(302=$NR$13,$NN$13,0),IF($NP$13="Bell_Curve",$NN$13*(302-$NR$13+1)*($NS$13-302+1)/$NU$13,$NN$13/$NT$13)),0)</f>
        <v/>
      </c>
      <c r="KU13" s="228">
        <f>IF(AND(303&gt;=$NR$13,303&lt;=$NS$13),IF($NP$13="Single_Point",IF(303=$NR$13,$NN$13,0),IF($NP$13="Bell_Curve",$NN$13*(303-$NR$13+1)*($NS$13-303+1)/$NU$13,$NN$13/$NT$13)),0)</f>
        <v/>
      </c>
      <c r="KV13" s="228">
        <f>IF(AND(304&gt;=$NR$13,304&lt;=$NS$13),IF($NP$13="Single_Point",IF(304=$NR$13,$NN$13,0),IF($NP$13="Bell_Curve",$NN$13*(304-$NR$13+1)*($NS$13-304+1)/$NU$13,$NN$13/$NT$13)),0)</f>
        <v/>
      </c>
      <c r="KW13" s="228">
        <f>IF(AND(305&gt;=$NR$13,305&lt;=$NS$13),IF($NP$13="Single_Point",IF(305=$NR$13,$NN$13,0),IF($NP$13="Bell_Curve",$NN$13*(305-$NR$13+1)*($NS$13-305+1)/$NU$13,$NN$13/$NT$13)),0)</f>
        <v/>
      </c>
      <c r="KX13" s="228">
        <f>IF(AND(306&gt;=$NR$13,306&lt;=$NS$13),IF($NP$13="Single_Point",IF(306=$NR$13,$NN$13,0),IF($NP$13="Bell_Curve",$NN$13*(306-$NR$13+1)*($NS$13-306+1)/$NU$13,$NN$13/$NT$13)),0)</f>
        <v/>
      </c>
      <c r="KY13" s="228">
        <f>IF(AND(307&gt;=$NR$13,307&lt;=$NS$13),IF($NP$13="Single_Point",IF(307=$NR$13,$NN$13,0),IF($NP$13="Bell_Curve",$NN$13*(307-$NR$13+1)*($NS$13-307+1)/$NU$13,$NN$13/$NT$13)),0)</f>
        <v/>
      </c>
      <c r="KZ13" s="228">
        <f>IF(AND(308&gt;=$NR$13,308&lt;=$NS$13),IF($NP$13="Single_Point",IF(308=$NR$13,$NN$13,0),IF($NP$13="Bell_Curve",$NN$13*(308-$NR$13+1)*($NS$13-308+1)/$NU$13,$NN$13/$NT$13)),0)</f>
        <v/>
      </c>
      <c r="LA13" s="228">
        <f>IF(AND(309&gt;=$NR$13,309&lt;=$NS$13),IF($NP$13="Single_Point",IF(309=$NR$13,$NN$13,0),IF($NP$13="Bell_Curve",$NN$13*(309-$NR$13+1)*($NS$13-309+1)/$NU$13,$NN$13/$NT$13)),0)</f>
        <v/>
      </c>
      <c r="LB13" s="228">
        <f>IF(AND(310&gt;=$NR$13,310&lt;=$NS$13),IF($NP$13="Single_Point",IF(310=$NR$13,$NN$13,0),IF($NP$13="Bell_Curve",$NN$13*(310-$NR$13+1)*($NS$13-310+1)/$NU$13,$NN$13/$NT$13)),0)</f>
        <v/>
      </c>
      <c r="LC13" s="228">
        <f>IF(AND(311&gt;=$NR$13,311&lt;=$NS$13),IF($NP$13="Single_Point",IF(311=$NR$13,$NN$13,0),IF($NP$13="Bell_Curve",$NN$13*(311-$NR$13+1)*($NS$13-311+1)/$NU$13,$NN$13/$NT$13)),0)</f>
        <v/>
      </c>
      <c r="LD13" s="228">
        <f>IF(AND(312&gt;=$NR$13,312&lt;=$NS$13),IF($NP$13="Single_Point",IF(312=$NR$13,$NN$13,0),IF($NP$13="Bell_Curve",$NN$13*(312-$NR$13+1)*($NS$13-312+1)/$NU$13,$NN$13/$NT$13)),0)</f>
        <v/>
      </c>
      <c r="LE13" s="228">
        <f>IF(AND(313&gt;=$NR$13,313&lt;=$NS$13),IF($NP$13="Single_Point",IF(313=$NR$13,$NN$13,0),IF($NP$13="Bell_Curve",$NN$13*(313-$NR$13+1)*($NS$13-313+1)/$NU$13,$NN$13/$NT$13)),0)</f>
        <v/>
      </c>
      <c r="LF13" s="228">
        <f>IF(AND(314&gt;=$NR$13,314&lt;=$NS$13),IF($NP$13="Single_Point",IF(314=$NR$13,$NN$13,0),IF($NP$13="Bell_Curve",$NN$13*(314-$NR$13+1)*($NS$13-314+1)/$NU$13,$NN$13/$NT$13)),0)</f>
        <v/>
      </c>
      <c r="LG13" s="228">
        <f>IF(AND(315&gt;=$NR$13,315&lt;=$NS$13),IF($NP$13="Single_Point",IF(315=$NR$13,$NN$13,0),IF($NP$13="Bell_Curve",$NN$13*(315-$NR$13+1)*($NS$13-315+1)/$NU$13,$NN$13/$NT$13)),0)</f>
        <v/>
      </c>
      <c r="LH13" s="228">
        <f>IF(AND(316&gt;=$NR$13,316&lt;=$NS$13),IF($NP$13="Single_Point",IF(316=$NR$13,$NN$13,0),IF($NP$13="Bell_Curve",$NN$13*(316-$NR$13+1)*($NS$13-316+1)/$NU$13,$NN$13/$NT$13)),0)</f>
        <v/>
      </c>
      <c r="LI13" s="228">
        <f>IF(AND(317&gt;=$NR$13,317&lt;=$NS$13),IF($NP$13="Single_Point",IF(317=$NR$13,$NN$13,0),IF($NP$13="Bell_Curve",$NN$13*(317-$NR$13+1)*($NS$13-317+1)/$NU$13,$NN$13/$NT$13)),0)</f>
        <v/>
      </c>
      <c r="LJ13" s="228">
        <f>IF(AND(318&gt;=$NR$13,318&lt;=$NS$13),IF($NP$13="Single_Point",IF(318=$NR$13,$NN$13,0),IF($NP$13="Bell_Curve",$NN$13*(318-$NR$13+1)*($NS$13-318+1)/$NU$13,$NN$13/$NT$13)),0)</f>
        <v/>
      </c>
      <c r="LK13" s="228">
        <f>IF(AND(319&gt;=$NR$13,319&lt;=$NS$13),IF($NP$13="Single_Point",IF(319=$NR$13,$NN$13,0),IF($NP$13="Bell_Curve",$NN$13*(319-$NR$13+1)*($NS$13-319+1)/$NU$13,$NN$13/$NT$13)),0)</f>
        <v/>
      </c>
      <c r="LL13" s="228">
        <f>IF(AND(320&gt;=$NR$13,320&lt;=$NS$13),IF($NP$13="Single_Point",IF(320=$NR$13,$NN$13,0),IF($NP$13="Bell_Curve",$NN$13*(320-$NR$13+1)*($NS$13-320+1)/$NU$13,$NN$13/$NT$13)),0)</f>
        <v/>
      </c>
      <c r="LM13" s="228">
        <f>IF(AND(321&gt;=$NR$13,321&lt;=$NS$13),IF($NP$13="Single_Point",IF(321=$NR$13,$NN$13,0),IF($NP$13="Bell_Curve",$NN$13*(321-$NR$13+1)*($NS$13-321+1)/$NU$13,$NN$13/$NT$13)),0)</f>
        <v/>
      </c>
      <c r="LN13" s="228">
        <f>IF(AND(322&gt;=$NR$13,322&lt;=$NS$13),IF($NP$13="Single_Point",IF(322=$NR$13,$NN$13,0),IF($NP$13="Bell_Curve",$NN$13*(322-$NR$13+1)*($NS$13-322+1)/$NU$13,$NN$13/$NT$13)),0)</f>
        <v/>
      </c>
      <c r="LO13" s="228">
        <f>IF(AND(323&gt;=$NR$13,323&lt;=$NS$13),IF($NP$13="Single_Point",IF(323=$NR$13,$NN$13,0),IF($NP$13="Bell_Curve",$NN$13*(323-$NR$13+1)*($NS$13-323+1)/$NU$13,$NN$13/$NT$13)),0)</f>
        <v/>
      </c>
      <c r="LP13" s="228">
        <f>IF(AND(324&gt;=$NR$13,324&lt;=$NS$13),IF($NP$13="Single_Point",IF(324=$NR$13,$NN$13,0),IF($NP$13="Bell_Curve",$NN$13*(324-$NR$13+1)*($NS$13-324+1)/$NU$13,$NN$13/$NT$13)),0)</f>
        <v/>
      </c>
      <c r="LQ13" s="228">
        <f>IF(AND(325&gt;=$NR$13,325&lt;=$NS$13),IF($NP$13="Single_Point",IF(325=$NR$13,$NN$13,0),IF($NP$13="Bell_Curve",$NN$13*(325-$NR$13+1)*($NS$13-325+1)/$NU$13,$NN$13/$NT$13)),0)</f>
        <v/>
      </c>
      <c r="LR13" s="228">
        <f>IF(AND(326&gt;=$NR$13,326&lt;=$NS$13),IF($NP$13="Single_Point",IF(326=$NR$13,$NN$13,0),IF($NP$13="Bell_Curve",$NN$13*(326-$NR$13+1)*($NS$13-326+1)/$NU$13,$NN$13/$NT$13)),0)</f>
        <v/>
      </c>
      <c r="LS13" s="228">
        <f>IF(AND(327&gt;=$NR$13,327&lt;=$NS$13),IF($NP$13="Single_Point",IF(327=$NR$13,$NN$13,0),IF($NP$13="Bell_Curve",$NN$13*(327-$NR$13+1)*($NS$13-327+1)/$NU$13,$NN$13/$NT$13)),0)</f>
        <v/>
      </c>
      <c r="LT13" s="228">
        <f>IF(AND(328&gt;=$NR$13,328&lt;=$NS$13),IF($NP$13="Single_Point",IF(328=$NR$13,$NN$13,0),IF($NP$13="Bell_Curve",$NN$13*(328-$NR$13+1)*($NS$13-328+1)/$NU$13,$NN$13/$NT$13)),0)</f>
        <v/>
      </c>
      <c r="LU13" s="228">
        <f>IF(AND(329&gt;=$NR$13,329&lt;=$NS$13),IF($NP$13="Single_Point",IF(329=$NR$13,$NN$13,0),IF($NP$13="Bell_Curve",$NN$13*(329-$NR$13+1)*($NS$13-329+1)/$NU$13,$NN$13/$NT$13)),0)</f>
        <v/>
      </c>
      <c r="LV13" s="228">
        <f>IF(AND(330&gt;=$NR$13,330&lt;=$NS$13),IF($NP$13="Single_Point",IF(330=$NR$13,$NN$13,0),IF($NP$13="Bell_Curve",$NN$13*(330-$NR$13+1)*($NS$13-330+1)/$NU$13,$NN$13/$NT$13)),0)</f>
        <v/>
      </c>
      <c r="LW13" s="228">
        <f>IF(AND(331&gt;=$NR$13,331&lt;=$NS$13),IF($NP$13="Single_Point",IF(331=$NR$13,$NN$13,0),IF($NP$13="Bell_Curve",$NN$13*(331-$NR$13+1)*($NS$13-331+1)/$NU$13,$NN$13/$NT$13)),0)</f>
        <v/>
      </c>
      <c r="LX13" s="228">
        <f>IF(AND(332&gt;=$NR$13,332&lt;=$NS$13),IF($NP$13="Single_Point",IF(332=$NR$13,$NN$13,0),IF($NP$13="Bell_Curve",$NN$13*(332-$NR$13+1)*($NS$13-332+1)/$NU$13,$NN$13/$NT$13)),0)</f>
        <v/>
      </c>
      <c r="LY13" s="228">
        <f>IF(AND(333&gt;=$NR$13,333&lt;=$NS$13),IF($NP$13="Single_Point",IF(333=$NR$13,$NN$13,0),IF($NP$13="Bell_Curve",$NN$13*(333-$NR$13+1)*($NS$13-333+1)/$NU$13,$NN$13/$NT$13)),0)</f>
        <v/>
      </c>
      <c r="LZ13" s="228">
        <f>IF(AND(334&gt;=$NR$13,334&lt;=$NS$13),IF($NP$13="Single_Point",IF(334=$NR$13,$NN$13,0),IF($NP$13="Bell_Curve",$NN$13*(334-$NR$13+1)*($NS$13-334+1)/$NU$13,$NN$13/$NT$13)),0)</f>
        <v/>
      </c>
      <c r="MA13" s="228">
        <f>IF(AND(335&gt;=$NR$13,335&lt;=$NS$13),IF($NP$13="Single_Point",IF(335=$NR$13,$NN$13,0),IF($NP$13="Bell_Curve",$NN$13*(335-$NR$13+1)*($NS$13-335+1)/$NU$13,$NN$13/$NT$13)),0)</f>
        <v/>
      </c>
      <c r="MB13" s="228">
        <f>IF(AND(336&gt;=$NR$13,336&lt;=$NS$13),IF($NP$13="Single_Point",IF(336=$NR$13,$NN$13,0),IF($NP$13="Bell_Curve",$NN$13*(336-$NR$13+1)*($NS$13-336+1)/$NU$13,$NN$13/$NT$13)),0)</f>
        <v/>
      </c>
      <c r="MC13" s="228">
        <f>IF(AND(337&gt;=$NR$13,337&lt;=$NS$13),IF($NP$13="Single_Point",IF(337=$NR$13,$NN$13,0),IF($NP$13="Bell_Curve",$NN$13*(337-$NR$13+1)*($NS$13-337+1)/$NU$13,$NN$13/$NT$13)),0)</f>
        <v/>
      </c>
      <c r="MD13" s="228">
        <f>IF(AND(338&gt;=$NR$13,338&lt;=$NS$13),IF($NP$13="Single_Point",IF(338=$NR$13,$NN$13,0),IF($NP$13="Bell_Curve",$NN$13*(338-$NR$13+1)*($NS$13-338+1)/$NU$13,$NN$13/$NT$13)),0)</f>
        <v/>
      </c>
      <c r="ME13" s="228">
        <f>IF(AND(339&gt;=$NR$13,339&lt;=$NS$13),IF($NP$13="Single_Point",IF(339=$NR$13,$NN$13,0),IF($NP$13="Bell_Curve",$NN$13*(339-$NR$13+1)*($NS$13-339+1)/$NU$13,$NN$13/$NT$13)),0)</f>
        <v/>
      </c>
      <c r="MF13" s="228">
        <f>IF(AND(340&gt;=$NR$13,340&lt;=$NS$13),IF($NP$13="Single_Point",IF(340=$NR$13,$NN$13,0),IF($NP$13="Bell_Curve",$NN$13*(340-$NR$13+1)*($NS$13-340+1)/$NU$13,$NN$13/$NT$13)),0)</f>
        <v/>
      </c>
      <c r="MG13" s="228">
        <f>IF(AND(341&gt;=$NR$13,341&lt;=$NS$13),IF($NP$13="Single_Point",IF(341=$NR$13,$NN$13,0),IF($NP$13="Bell_Curve",$NN$13*(341-$NR$13+1)*($NS$13-341+1)/$NU$13,$NN$13/$NT$13)),0)</f>
        <v/>
      </c>
      <c r="MH13" s="228">
        <f>IF(AND(342&gt;=$NR$13,342&lt;=$NS$13),IF($NP$13="Single_Point",IF(342=$NR$13,$NN$13,0),IF($NP$13="Bell_Curve",$NN$13*(342-$NR$13+1)*($NS$13-342+1)/$NU$13,$NN$13/$NT$13)),0)</f>
        <v/>
      </c>
      <c r="MI13" s="228">
        <f>IF(AND(343&gt;=$NR$13,343&lt;=$NS$13),IF($NP$13="Single_Point",IF(343=$NR$13,$NN$13,0),IF($NP$13="Bell_Curve",$NN$13*(343-$NR$13+1)*($NS$13-343+1)/$NU$13,$NN$13/$NT$13)),0)</f>
        <v/>
      </c>
      <c r="MJ13" s="228">
        <f>IF(AND(344&gt;=$NR$13,344&lt;=$NS$13),IF($NP$13="Single_Point",IF(344=$NR$13,$NN$13,0),IF($NP$13="Bell_Curve",$NN$13*(344-$NR$13+1)*($NS$13-344+1)/$NU$13,$NN$13/$NT$13)),0)</f>
        <v/>
      </c>
      <c r="MK13" s="228">
        <f>IF(AND(345&gt;=$NR$13,345&lt;=$NS$13),IF($NP$13="Single_Point",IF(345=$NR$13,$NN$13,0),IF($NP$13="Bell_Curve",$NN$13*(345-$NR$13+1)*($NS$13-345+1)/$NU$13,$NN$13/$NT$13)),0)</f>
        <v/>
      </c>
      <c r="ML13" s="228">
        <f>IF(AND(346&gt;=$NR$13,346&lt;=$NS$13),IF($NP$13="Single_Point",IF(346=$NR$13,$NN$13,0),IF($NP$13="Bell_Curve",$NN$13*(346-$NR$13+1)*($NS$13-346+1)/$NU$13,$NN$13/$NT$13)),0)</f>
        <v/>
      </c>
      <c r="MM13" s="228">
        <f>IF(AND(347&gt;=$NR$13,347&lt;=$NS$13),IF($NP$13="Single_Point",IF(347=$NR$13,$NN$13,0),IF($NP$13="Bell_Curve",$NN$13*(347-$NR$13+1)*($NS$13-347+1)/$NU$13,$NN$13/$NT$13)),0)</f>
        <v/>
      </c>
      <c r="MN13" s="228">
        <f>IF(AND(348&gt;=$NR$13,348&lt;=$NS$13),IF($NP$13="Single_Point",IF(348=$NR$13,$NN$13,0),IF($NP$13="Bell_Curve",$NN$13*(348-$NR$13+1)*($NS$13-348+1)/$NU$13,$NN$13/$NT$13)),0)</f>
        <v/>
      </c>
      <c r="MO13" s="228">
        <f>IF(AND(349&gt;=$NR$13,349&lt;=$NS$13),IF($NP$13="Single_Point",IF(349=$NR$13,$NN$13,0),IF($NP$13="Bell_Curve",$NN$13*(349-$NR$13+1)*($NS$13-349+1)/$NU$13,$NN$13/$NT$13)),0)</f>
        <v/>
      </c>
      <c r="MP13" s="228">
        <f>IF(AND(350&gt;=$NR$13,350&lt;=$NS$13),IF($NP$13="Single_Point",IF(350=$NR$13,$NN$13,0),IF($NP$13="Bell_Curve",$NN$13*(350-$NR$13+1)*($NS$13-350+1)/$NU$13,$NN$13/$NT$13)),0)</f>
        <v/>
      </c>
      <c r="MQ13" s="228">
        <f>IF(AND(351&gt;=$NR$13,351&lt;=$NS$13),IF($NP$13="Single_Point",IF(351=$NR$13,$NN$13,0),IF($NP$13="Bell_Curve",$NN$13*(351-$NR$13+1)*($NS$13-351+1)/$NU$13,$NN$13/$NT$13)),0)</f>
        <v/>
      </c>
      <c r="MR13" s="228">
        <f>IF(AND(352&gt;=$NR$13,352&lt;=$NS$13),IF($NP$13="Single_Point",IF(352=$NR$13,$NN$13,0),IF($NP$13="Bell_Curve",$NN$13*(352-$NR$13+1)*($NS$13-352+1)/$NU$13,$NN$13/$NT$13)),0)</f>
        <v/>
      </c>
      <c r="MS13" s="228">
        <f>IF(AND(353&gt;=$NR$13,353&lt;=$NS$13),IF($NP$13="Single_Point",IF(353=$NR$13,$NN$13,0),IF($NP$13="Bell_Curve",$NN$13*(353-$NR$13+1)*($NS$13-353+1)/$NU$13,$NN$13/$NT$13)),0)</f>
        <v/>
      </c>
      <c r="MT13" s="228">
        <f>IF(AND(354&gt;=$NR$13,354&lt;=$NS$13),IF($NP$13="Single_Point",IF(354=$NR$13,$NN$13,0),IF($NP$13="Bell_Curve",$NN$13*(354-$NR$13+1)*($NS$13-354+1)/$NU$13,$NN$13/$NT$13)),0)</f>
        <v/>
      </c>
      <c r="MU13" s="228">
        <f>IF(AND(355&gt;=$NR$13,355&lt;=$NS$13),IF($NP$13="Single_Point",IF(355=$NR$13,$NN$13,0),IF($NP$13="Bell_Curve",$NN$13*(355-$NR$13+1)*($NS$13-355+1)/$NU$13,$NN$13/$NT$13)),0)</f>
        <v/>
      </c>
      <c r="MV13" s="228">
        <f>IF(AND(356&gt;=$NR$13,356&lt;=$NS$13),IF($NP$13="Single_Point",IF(356=$NR$13,$NN$13,0),IF($NP$13="Bell_Curve",$NN$13*(356-$NR$13+1)*($NS$13-356+1)/$NU$13,$NN$13/$NT$13)),0)</f>
        <v/>
      </c>
      <c r="MW13" s="228">
        <f>IF(AND(357&gt;=$NR$13,357&lt;=$NS$13),IF($NP$13="Single_Point",IF(357=$NR$13,$NN$13,0),IF($NP$13="Bell_Curve",$NN$13*(357-$NR$13+1)*($NS$13-357+1)/$NU$13,$NN$13/$NT$13)),0)</f>
        <v/>
      </c>
      <c r="MX13" s="228">
        <f>IF(AND(358&gt;=$NR$13,358&lt;=$NS$13),IF($NP$13="Single_Point",IF(358=$NR$13,$NN$13,0),IF($NP$13="Bell_Curve",$NN$13*(358-$NR$13+1)*($NS$13-358+1)/$NU$13,$NN$13/$NT$13)),0)</f>
        <v/>
      </c>
      <c r="MY13" s="228">
        <f>IF(AND(359&gt;=$NR$13,359&lt;=$NS$13),IF($NP$13="Single_Point",IF(359=$NR$13,$NN$13,0),IF($NP$13="Bell_Curve",$NN$13*(359-$NR$13+1)*($NS$13-359+1)/$NU$13,$NN$13/$NT$13)),0)</f>
        <v/>
      </c>
      <c r="MZ13" s="228">
        <f>IF(AND(360&gt;=$NR$13,360&lt;=$NS$13),IF($NP$13="Single_Point",IF(360=$NR$13,$NN$13,0),IF($NP$13="Bell_Curve",$NN$13*(360-$NR$13+1)*($NS$13-360+1)/$NU$13,$NN$13/$NT$13)),0)</f>
        <v/>
      </c>
      <c r="NA13" s="228">
        <f>IF(AND(361&gt;=$NR$13,361&lt;=$NS$13),IF($NP$13="Single_Point",IF(361=$NR$13,$NN$13,0),IF($NP$13="Bell_Curve",$NN$13*(361-$NR$13+1)*($NS$13-361+1)/$NU$13,$NN$13/$NT$13)),0)</f>
        <v/>
      </c>
      <c r="NB13" s="228">
        <f>IF(AND(362&gt;=$NR$13,362&lt;=$NS$13),IF($NP$13="Single_Point",IF(362=$NR$13,$NN$13,0),IF($NP$13="Bell_Curve",$NN$13*(362-$NR$13+1)*($NS$13-362+1)/$NU$13,$NN$13/$NT$13)),0)</f>
        <v/>
      </c>
      <c r="NC13" s="228">
        <f>IF(AND(363&gt;=$NR$13,363&lt;=$NS$13),IF($NP$13="Single_Point",IF(363=$NR$13,$NN$13,0),IF($NP$13="Bell_Curve",$NN$13*(363-$NR$13+1)*($NS$13-363+1)/$NU$13,$NN$13/$NT$13)),0)</f>
        <v/>
      </c>
      <c r="ND13" s="228">
        <f>IF(AND(364&gt;=$NR$13,364&lt;=$NS$13),IF($NP$13="Single_Point",IF(364=$NR$13,$NN$13,0),IF($NP$13="Bell_Curve",$NN$13*(364-$NR$13+1)*($NS$13-364+1)/$NU$13,$NN$13/$NT$13)),0)</f>
        <v/>
      </c>
      <c r="NE13" s="228">
        <f>IF(AND(365&gt;=$NR$13,365&lt;=$NS$13),IF($NP$13="Single_Point",IF(365=$NR$13,$NN$13,0),IF($NP$13="Bell_Curve",$NN$13*(365-$NR$13+1)*($NS$13-365+1)/$NU$13,$NN$13/$NT$13)),0)</f>
        <v/>
      </c>
      <c r="NF13" s="228">
        <f>IF(AND(366&gt;=$NR$13,366&lt;=$NS$13),IF($NP$13="Single_Point",IF(366=$NR$13,$NN$13,0),IF($NP$13="Bell_Curve",$NN$13*(366-$NR$13+1)*($NS$13-366+1)/$NU$13,$NN$13/$NT$13)),0)</f>
        <v/>
      </c>
      <c r="NG13" s="228">
        <f>IF(AND(367&gt;=$NR$13,367&lt;=$NS$13),IF($NP$13="Single_Point",IF(367=$NR$13,$NN$13,0),IF($NP$13="Bell_Curve",$NN$13*(367-$NR$13+1)*($NS$13-367+1)/$NU$13,$NN$13/$NT$13)),0)</f>
        <v/>
      </c>
      <c r="NH13" s="228">
        <f>IF(AND(368&gt;=$NR$13,368&lt;=$NS$13),IF($NP$13="Single_Point",IF(368=$NR$13,$NN$13,0),IF($NP$13="Bell_Curve",$NN$13*(368-$NR$13+1)*($NS$13-368+1)/$NU$13,$NN$13/$NT$13)),0)</f>
        <v/>
      </c>
      <c r="NI13" s="228">
        <f>IF(AND(369&gt;=$NR$13,369&lt;=$NS$13),IF($NP$13="Single_Point",IF(369=$NR$13,$NN$13,0),IF($NP$13="Bell_Curve",$NN$13*(369-$NR$13+1)*($NS$13-369+1)/$NU$13,$NN$13/$NT$13)),0)</f>
        <v/>
      </c>
      <c r="NJ13" s="228">
        <f>IF(AND(370&gt;=$NR$13,370&lt;=$NS$13),IF($NP$13="Single_Point",IF(370=$NR$13,$NN$13,0),IF($NP$13="Bell_Curve",$NN$13*(370-$NR$13+1)*($NS$13-370+1)/$NU$13,$NN$13/$NT$13)),0)</f>
        <v/>
      </c>
      <c r="NK13" s="228">
        <f>IF(AND(371&gt;=$NR$13,371&lt;=$NS$13),IF($NP$13="Single_Point",IF(371=$NR$13,$NN$13,0),IF($NP$13="Bell_Curve",$NN$13*(371-$NR$13+1)*($NS$13-371+1)/$NU$13,$NN$13/$NT$13)),0)</f>
        <v/>
      </c>
      <c r="NL13" s="247">
        <f>IF(AND(372&gt;=$NR$13,372&lt;=$NS$13),IF($NP$13="Single_Point",IF(372=$NR$13,$NN$13,0),IF($NP$13="Bell_Curve",$NN$13*(372-$NR$13+1)*($NS$13-372+1)/$NU$13,$NN$13/$NT$13)),0)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36" t="inlineStr">
        <is>
          <t>Insurance (Dev)</t>
        </is>
      </c>
      <c r="D14" s="246">
        <f>SUM(E14:NL14)</f>
        <v/>
      </c>
      <c r="E14" s="228">
        <f>IF(AND(1&gt;=$NR$14,1&lt;=$NS$14),IF($NP$14="Single_Point",IF(1=$NR$14,$NN$14,0),IF($NP$14="Bell_Curve",$NN$14*(1-$NR$14+1)*($NS$14-1+1)/$NU$14,$NN$14/$NT$14)),0)</f>
        <v/>
      </c>
      <c r="F14" s="228">
        <f>IF(AND(2&gt;=$NR$14,2&lt;=$NS$14),IF($NP$14="Single_Point",IF(2=$NR$14,$NN$14,0),IF($NP$14="Bell_Curve",$NN$14*(2-$NR$14+1)*($NS$14-2+1)/$NU$14,$NN$14/$NT$14)),0)</f>
        <v/>
      </c>
      <c r="G14" s="228">
        <f>IF(AND(3&gt;=$NR$14,3&lt;=$NS$14),IF($NP$14="Single_Point",IF(3=$NR$14,$NN$14,0),IF($NP$14="Bell_Curve",$NN$14*(3-$NR$14+1)*($NS$14-3+1)/$NU$14,$NN$14/$NT$14)),0)</f>
        <v/>
      </c>
      <c r="H14" s="228">
        <f>IF(AND(4&gt;=$NR$14,4&lt;=$NS$14),IF($NP$14="Single_Point",IF(4=$NR$14,$NN$14,0),IF($NP$14="Bell_Curve",$NN$14*(4-$NR$14+1)*($NS$14-4+1)/$NU$14,$NN$14/$NT$14)),0)</f>
        <v/>
      </c>
      <c r="I14" s="228">
        <f>IF(AND(5&gt;=$NR$14,5&lt;=$NS$14),IF($NP$14="Single_Point",IF(5=$NR$14,$NN$14,0),IF($NP$14="Bell_Curve",$NN$14*(5-$NR$14+1)*($NS$14-5+1)/$NU$14,$NN$14/$NT$14)),0)</f>
        <v/>
      </c>
      <c r="J14" s="228">
        <f>IF(AND(6&gt;=$NR$14,6&lt;=$NS$14),IF($NP$14="Single_Point",IF(6=$NR$14,$NN$14,0),IF($NP$14="Bell_Curve",$NN$14*(6-$NR$14+1)*($NS$14-6+1)/$NU$14,$NN$14/$NT$14)),0)</f>
        <v/>
      </c>
      <c r="K14" s="228">
        <f>IF(AND(7&gt;=$NR$14,7&lt;=$NS$14),IF($NP$14="Single_Point",IF(7=$NR$14,$NN$14,0),IF($NP$14="Bell_Curve",$NN$14*(7-$NR$14+1)*($NS$14-7+1)/$NU$14,$NN$14/$NT$14)),0)</f>
        <v/>
      </c>
      <c r="L14" s="228">
        <f>IF(AND(8&gt;=$NR$14,8&lt;=$NS$14),IF($NP$14="Single_Point",IF(8=$NR$14,$NN$14,0),IF($NP$14="Bell_Curve",$NN$14*(8-$NR$14+1)*($NS$14-8+1)/$NU$14,$NN$14/$NT$14)),0)</f>
        <v/>
      </c>
      <c r="M14" s="228">
        <f>IF(AND(9&gt;=$NR$14,9&lt;=$NS$14),IF($NP$14="Single_Point",IF(9=$NR$14,$NN$14,0),IF($NP$14="Bell_Curve",$NN$14*(9-$NR$14+1)*($NS$14-9+1)/$NU$14,$NN$14/$NT$14)),0)</f>
        <v/>
      </c>
      <c r="N14" s="228">
        <f>IF(AND(10&gt;=$NR$14,10&lt;=$NS$14),IF($NP$14="Single_Point",IF(10=$NR$14,$NN$14,0),IF($NP$14="Bell_Curve",$NN$14*(10-$NR$14+1)*($NS$14-10+1)/$NU$14,$NN$14/$NT$14)),0)</f>
        <v/>
      </c>
      <c r="O14" s="228">
        <f>IF(AND(11&gt;=$NR$14,11&lt;=$NS$14),IF($NP$14="Single_Point",IF(11=$NR$14,$NN$14,0),IF($NP$14="Bell_Curve",$NN$14*(11-$NR$14+1)*($NS$14-11+1)/$NU$14,$NN$14/$NT$14)),0)</f>
        <v/>
      </c>
      <c r="P14" s="228">
        <f>IF(AND(12&gt;=$NR$14,12&lt;=$NS$14),IF($NP$14="Single_Point",IF(12=$NR$14,$NN$14,0),IF($NP$14="Bell_Curve",$NN$14*(12-$NR$14+1)*($NS$14-12+1)/$NU$14,$NN$14/$NT$14)),0)</f>
        <v/>
      </c>
      <c r="Q14" s="228">
        <f>IF(AND(13&gt;=$NR$14,13&lt;=$NS$14),IF($NP$14="Single_Point",IF(13=$NR$14,$NN$14,0),IF($NP$14="Bell_Curve",$NN$14*(13-$NR$14+1)*($NS$14-13+1)/$NU$14,$NN$14/$NT$14)),0)</f>
        <v/>
      </c>
      <c r="R14" s="228">
        <f>IF(AND(14&gt;=$NR$14,14&lt;=$NS$14),IF($NP$14="Single_Point",IF(14=$NR$14,$NN$14,0),IF($NP$14="Bell_Curve",$NN$14*(14-$NR$14+1)*($NS$14-14+1)/$NU$14,$NN$14/$NT$14)),0)</f>
        <v/>
      </c>
      <c r="S14" s="228">
        <f>IF(AND(15&gt;=$NR$14,15&lt;=$NS$14),IF($NP$14="Single_Point",IF(15=$NR$14,$NN$14,0),IF($NP$14="Bell_Curve",$NN$14*(15-$NR$14+1)*($NS$14-15+1)/$NU$14,$NN$14/$NT$14)),0)</f>
        <v/>
      </c>
      <c r="T14" s="228">
        <f>IF(AND(16&gt;=$NR$14,16&lt;=$NS$14),IF($NP$14="Single_Point",IF(16=$NR$14,$NN$14,0),IF($NP$14="Bell_Curve",$NN$14*(16-$NR$14+1)*($NS$14-16+1)/$NU$14,$NN$14/$NT$14)),0)</f>
        <v/>
      </c>
      <c r="U14" s="228">
        <f>IF(AND(17&gt;=$NR$14,17&lt;=$NS$14),IF($NP$14="Single_Point",IF(17=$NR$14,$NN$14,0),IF($NP$14="Bell_Curve",$NN$14*(17-$NR$14+1)*($NS$14-17+1)/$NU$14,$NN$14/$NT$14)),0)</f>
        <v/>
      </c>
      <c r="V14" s="228">
        <f>IF(AND(18&gt;=$NR$14,18&lt;=$NS$14),IF($NP$14="Single_Point",IF(18=$NR$14,$NN$14,0),IF($NP$14="Bell_Curve",$NN$14*(18-$NR$14+1)*($NS$14-18+1)/$NU$14,$NN$14/$NT$14)),0)</f>
        <v/>
      </c>
      <c r="W14" s="228">
        <f>IF(AND(19&gt;=$NR$14,19&lt;=$NS$14),IF($NP$14="Single_Point",IF(19=$NR$14,$NN$14,0),IF($NP$14="Bell_Curve",$NN$14*(19-$NR$14+1)*($NS$14-19+1)/$NU$14,$NN$14/$NT$14)),0)</f>
        <v/>
      </c>
      <c r="X14" s="228">
        <f>IF(AND(20&gt;=$NR$14,20&lt;=$NS$14),IF($NP$14="Single_Point",IF(20=$NR$14,$NN$14,0),IF($NP$14="Bell_Curve",$NN$14*(20-$NR$14+1)*($NS$14-20+1)/$NU$14,$NN$14/$NT$14)),0)</f>
        <v/>
      </c>
      <c r="Y14" s="228">
        <f>IF(AND(21&gt;=$NR$14,21&lt;=$NS$14),IF($NP$14="Single_Point",IF(21=$NR$14,$NN$14,0),IF($NP$14="Bell_Curve",$NN$14*(21-$NR$14+1)*($NS$14-21+1)/$NU$14,$NN$14/$NT$14)),0)</f>
        <v/>
      </c>
      <c r="Z14" s="228">
        <f>IF(AND(22&gt;=$NR$14,22&lt;=$NS$14),IF($NP$14="Single_Point",IF(22=$NR$14,$NN$14,0),IF($NP$14="Bell_Curve",$NN$14*(22-$NR$14+1)*($NS$14-22+1)/$NU$14,$NN$14/$NT$14)),0)</f>
        <v/>
      </c>
      <c r="AA14" s="228">
        <f>IF(AND(23&gt;=$NR$14,23&lt;=$NS$14),IF($NP$14="Single_Point",IF(23=$NR$14,$NN$14,0),IF($NP$14="Bell_Curve",$NN$14*(23-$NR$14+1)*($NS$14-23+1)/$NU$14,$NN$14/$NT$14)),0)</f>
        <v/>
      </c>
      <c r="AB14" s="228">
        <f>IF(AND(24&gt;=$NR$14,24&lt;=$NS$14),IF($NP$14="Single_Point",IF(24=$NR$14,$NN$14,0),IF($NP$14="Bell_Curve",$NN$14*(24-$NR$14+1)*($NS$14-24+1)/$NU$14,$NN$14/$NT$14)),0)</f>
        <v/>
      </c>
      <c r="AC14" s="228">
        <f>IF(AND(25&gt;=$NR$14,25&lt;=$NS$14),IF($NP$14="Single_Point",IF(25=$NR$14,$NN$14,0),IF($NP$14="Bell_Curve",$NN$14*(25-$NR$14+1)*($NS$14-25+1)/$NU$14,$NN$14/$NT$14)),0)</f>
        <v/>
      </c>
      <c r="AD14" s="228">
        <f>IF(AND(26&gt;=$NR$14,26&lt;=$NS$14),IF($NP$14="Single_Point",IF(26=$NR$14,$NN$14,0),IF($NP$14="Bell_Curve",$NN$14*(26-$NR$14+1)*($NS$14-26+1)/$NU$14,$NN$14/$NT$14)),0)</f>
        <v/>
      </c>
      <c r="AE14" s="228">
        <f>IF(AND(27&gt;=$NR$14,27&lt;=$NS$14),IF($NP$14="Single_Point",IF(27=$NR$14,$NN$14,0),IF($NP$14="Bell_Curve",$NN$14*(27-$NR$14+1)*($NS$14-27+1)/$NU$14,$NN$14/$NT$14)),0)</f>
        <v/>
      </c>
      <c r="AF14" s="228">
        <f>IF(AND(28&gt;=$NR$14,28&lt;=$NS$14),IF($NP$14="Single_Point",IF(28=$NR$14,$NN$14,0),IF($NP$14="Bell_Curve",$NN$14*(28-$NR$14+1)*($NS$14-28+1)/$NU$14,$NN$14/$NT$14)),0)</f>
        <v/>
      </c>
      <c r="AG14" s="228">
        <f>IF(AND(29&gt;=$NR$14,29&lt;=$NS$14),IF($NP$14="Single_Point",IF(29=$NR$14,$NN$14,0),IF($NP$14="Bell_Curve",$NN$14*(29-$NR$14+1)*($NS$14-29+1)/$NU$14,$NN$14/$NT$14)),0)</f>
        <v/>
      </c>
      <c r="AH14" s="228">
        <f>IF(AND(30&gt;=$NR$14,30&lt;=$NS$14),IF($NP$14="Single_Point",IF(30=$NR$14,$NN$14,0),IF($NP$14="Bell_Curve",$NN$14*(30-$NR$14+1)*($NS$14-30+1)/$NU$14,$NN$14/$NT$14)),0)</f>
        <v/>
      </c>
      <c r="AI14" s="228">
        <f>IF(AND(31&gt;=$NR$14,31&lt;=$NS$14),IF($NP$14="Single_Point",IF(31=$NR$14,$NN$14,0),IF($NP$14="Bell_Curve",$NN$14*(31-$NR$14+1)*($NS$14-31+1)/$NU$14,$NN$14/$NT$14)),0)</f>
        <v/>
      </c>
      <c r="AJ14" s="228">
        <f>IF(AND(32&gt;=$NR$14,32&lt;=$NS$14),IF($NP$14="Single_Point",IF(32=$NR$14,$NN$14,0),IF($NP$14="Bell_Curve",$NN$14*(32-$NR$14+1)*($NS$14-32+1)/$NU$14,$NN$14/$NT$14)),0)</f>
        <v/>
      </c>
      <c r="AK14" s="228">
        <f>IF(AND(33&gt;=$NR$14,33&lt;=$NS$14),IF($NP$14="Single_Point",IF(33=$NR$14,$NN$14,0),IF($NP$14="Bell_Curve",$NN$14*(33-$NR$14+1)*($NS$14-33+1)/$NU$14,$NN$14/$NT$14)),0)</f>
        <v/>
      </c>
      <c r="AL14" s="228">
        <f>IF(AND(34&gt;=$NR$14,34&lt;=$NS$14),IF($NP$14="Single_Point",IF(34=$NR$14,$NN$14,0),IF($NP$14="Bell_Curve",$NN$14*(34-$NR$14+1)*($NS$14-34+1)/$NU$14,$NN$14/$NT$14)),0)</f>
        <v/>
      </c>
      <c r="AM14" s="228">
        <f>IF(AND(35&gt;=$NR$14,35&lt;=$NS$14),IF($NP$14="Single_Point",IF(35=$NR$14,$NN$14,0),IF($NP$14="Bell_Curve",$NN$14*(35-$NR$14+1)*($NS$14-35+1)/$NU$14,$NN$14/$NT$14)),0)</f>
        <v/>
      </c>
      <c r="AN14" s="228">
        <f>IF(AND(36&gt;=$NR$14,36&lt;=$NS$14),IF($NP$14="Single_Point",IF(36=$NR$14,$NN$14,0),IF($NP$14="Bell_Curve",$NN$14*(36-$NR$14+1)*($NS$14-36+1)/$NU$14,$NN$14/$NT$14)),0)</f>
        <v/>
      </c>
      <c r="AO14" s="228">
        <f>IF(AND(37&gt;=$NR$14,37&lt;=$NS$14),IF($NP$14="Single_Point",IF(37=$NR$14,$NN$14,0),IF($NP$14="Bell_Curve",$NN$14*(37-$NR$14+1)*($NS$14-37+1)/$NU$14,$NN$14/$NT$14)),0)</f>
        <v/>
      </c>
      <c r="AP14" s="228">
        <f>IF(AND(38&gt;=$NR$14,38&lt;=$NS$14),IF($NP$14="Single_Point",IF(38=$NR$14,$NN$14,0),IF($NP$14="Bell_Curve",$NN$14*(38-$NR$14+1)*($NS$14-38+1)/$NU$14,$NN$14/$NT$14)),0)</f>
        <v/>
      </c>
      <c r="AQ14" s="228">
        <f>IF(AND(39&gt;=$NR$14,39&lt;=$NS$14),IF($NP$14="Single_Point",IF(39=$NR$14,$NN$14,0),IF($NP$14="Bell_Curve",$NN$14*(39-$NR$14+1)*($NS$14-39+1)/$NU$14,$NN$14/$NT$14)),0)</f>
        <v/>
      </c>
      <c r="AR14" s="228">
        <f>IF(AND(40&gt;=$NR$14,40&lt;=$NS$14),IF($NP$14="Single_Point",IF(40=$NR$14,$NN$14,0),IF($NP$14="Bell_Curve",$NN$14*(40-$NR$14+1)*($NS$14-40+1)/$NU$14,$NN$14/$NT$14)),0)</f>
        <v/>
      </c>
      <c r="AS14" s="228">
        <f>IF(AND(41&gt;=$NR$14,41&lt;=$NS$14),IF($NP$14="Single_Point",IF(41=$NR$14,$NN$14,0),IF($NP$14="Bell_Curve",$NN$14*(41-$NR$14+1)*($NS$14-41+1)/$NU$14,$NN$14/$NT$14)),0)</f>
        <v/>
      </c>
      <c r="AT14" s="228">
        <f>IF(AND(42&gt;=$NR$14,42&lt;=$NS$14),IF($NP$14="Single_Point",IF(42=$NR$14,$NN$14,0),IF($NP$14="Bell_Curve",$NN$14*(42-$NR$14+1)*($NS$14-42+1)/$NU$14,$NN$14/$NT$14)),0)</f>
        <v/>
      </c>
      <c r="AU14" s="228">
        <f>IF(AND(43&gt;=$NR$14,43&lt;=$NS$14),IF($NP$14="Single_Point",IF(43=$NR$14,$NN$14,0),IF($NP$14="Bell_Curve",$NN$14*(43-$NR$14+1)*($NS$14-43+1)/$NU$14,$NN$14/$NT$14)),0)</f>
        <v/>
      </c>
      <c r="AV14" s="228">
        <f>IF(AND(44&gt;=$NR$14,44&lt;=$NS$14),IF($NP$14="Single_Point",IF(44=$NR$14,$NN$14,0),IF($NP$14="Bell_Curve",$NN$14*(44-$NR$14+1)*($NS$14-44+1)/$NU$14,$NN$14/$NT$14)),0)</f>
        <v/>
      </c>
      <c r="AW14" s="228">
        <f>IF(AND(45&gt;=$NR$14,45&lt;=$NS$14),IF($NP$14="Single_Point",IF(45=$NR$14,$NN$14,0),IF($NP$14="Bell_Curve",$NN$14*(45-$NR$14+1)*($NS$14-45+1)/$NU$14,$NN$14/$NT$14)),0)</f>
        <v/>
      </c>
      <c r="AX14" s="228">
        <f>IF(AND(46&gt;=$NR$14,46&lt;=$NS$14),IF($NP$14="Single_Point",IF(46=$NR$14,$NN$14,0),IF($NP$14="Bell_Curve",$NN$14*(46-$NR$14+1)*($NS$14-46+1)/$NU$14,$NN$14/$NT$14)),0)</f>
        <v/>
      </c>
      <c r="AY14" s="228">
        <f>IF(AND(47&gt;=$NR$14,47&lt;=$NS$14),IF($NP$14="Single_Point",IF(47=$NR$14,$NN$14,0),IF($NP$14="Bell_Curve",$NN$14*(47-$NR$14+1)*($NS$14-47+1)/$NU$14,$NN$14/$NT$14)),0)</f>
        <v/>
      </c>
      <c r="AZ14" s="228">
        <f>IF(AND(48&gt;=$NR$14,48&lt;=$NS$14),IF($NP$14="Single_Point",IF(48=$NR$14,$NN$14,0),IF($NP$14="Bell_Curve",$NN$14*(48-$NR$14+1)*($NS$14-48+1)/$NU$14,$NN$14/$NT$14)),0)</f>
        <v/>
      </c>
      <c r="BA14" s="228">
        <f>IF(AND(49&gt;=$NR$14,49&lt;=$NS$14),IF($NP$14="Single_Point",IF(49=$NR$14,$NN$14,0),IF($NP$14="Bell_Curve",$NN$14*(49-$NR$14+1)*($NS$14-49+1)/$NU$14,$NN$14/$NT$14)),0)</f>
        <v/>
      </c>
      <c r="BB14" s="228">
        <f>IF(AND(50&gt;=$NR$14,50&lt;=$NS$14),IF($NP$14="Single_Point",IF(50=$NR$14,$NN$14,0),IF($NP$14="Bell_Curve",$NN$14*(50-$NR$14+1)*($NS$14-50+1)/$NU$14,$NN$14/$NT$14)),0)</f>
        <v/>
      </c>
      <c r="BC14" s="228">
        <f>IF(AND(51&gt;=$NR$14,51&lt;=$NS$14),IF($NP$14="Single_Point",IF(51=$NR$14,$NN$14,0),IF($NP$14="Bell_Curve",$NN$14*(51-$NR$14+1)*($NS$14-51+1)/$NU$14,$NN$14/$NT$14)),0)</f>
        <v/>
      </c>
      <c r="BD14" s="228">
        <f>IF(AND(52&gt;=$NR$14,52&lt;=$NS$14),IF($NP$14="Single_Point",IF(52=$NR$14,$NN$14,0),IF($NP$14="Bell_Curve",$NN$14*(52-$NR$14+1)*($NS$14-52+1)/$NU$14,$NN$14/$NT$14)),0)</f>
        <v/>
      </c>
      <c r="BE14" s="228">
        <f>IF(AND(53&gt;=$NR$14,53&lt;=$NS$14),IF($NP$14="Single_Point",IF(53=$NR$14,$NN$14,0),IF($NP$14="Bell_Curve",$NN$14*(53-$NR$14+1)*($NS$14-53+1)/$NU$14,$NN$14/$NT$14)),0)</f>
        <v/>
      </c>
      <c r="BF14" s="228">
        <f>IF(AND(54&gt;=$NR$14,54&lt;=$NS$14),IF($NP$14="Single_Point",IF(54=$NR$14,$NN$14,0),IF($NP$14="Bell_Curve",$NN$14*(54-$NR$14+1)*($NS$14-54+1)/$NU$14,$NN$14/$NT$14)),0)</f>
        <v/>
      </c>
      <c r="BG14" s="228">
        <f>IF(AND(55&gt;=$NR$14,55&lt;=$NS$14),IF($NP$14="Single_Point",IF(55=$NR$14,$NN$14,0),IF($NP$14="Bell_Curve",$NN$14*(55-$NR$14+1)*($NS$14-55+1)/$NU$14,$NN$14/$NT$14)),0)</f>
        <v/>
      </c>
      <c r="BH14" s="228">
        <f>IF(AND(56&gt;=$NR$14,56&lt;=$NS$14),IF($NP$14="Single_Point",IF(56=$NR$14,$NN$14,0),IF($NP$14="Bell_Curve",$NN$14*(56-$NR$14+1)*($NS$14-56+1)/$NU$14,$NN$14/$NT$14)),0)</f>
        <v/>
      </c>
      <c r="BI14" s="228">
        <f>IF(AND(57&gt;=$NR$14,57&lt;=$NS$14),IF($NP$14="Single_Point",IF(57=$NR$14,$NN$14,0),IF($NP$14="Bell_Curve",$NN$14*(57-$NR$14+1)*($NS$14-57+1)/$NU$14,$NN$14/$NT$14)),0)</f>
        <v/>
      </c>
      <c r="BJ14" s="228">
        <f>IF(AND(58&gt;=$NR$14,58&lt;=$NS$14),IF($NP$14="Single_Point",IF(58=$NR$14,$NN$14,0),IF($NP$14="Bell_Curve",$NN$14*(58-$NR$14+1)*($NS$14-58+1)/$NU$14,$NN$14/$NT$14)),0)</f>
        <v/>
      </c>
      <c r="BK14" s="228">
        <f>IF(AND(59&gt;=$NR$14,59&lt;=$NS$14),IF($NP$14="Single_Point",IF(59=$NR$14,$NN$14,0),IF($NP$14="Bell_Curve",$NN$14*(59-$NR$14+1)*($NS$14-59+1)/$NU$14,$NN$14/$NT$14)),0)</f>
        <v/>
      </c>
      <c r="BL14" s="228">
        <f>IF(AND(60&gt;=$NR$14,60&lt;=$NS$14),IF($NP$14="Single_Point",IF(60=$NR$14,$NN$14,0),IF($NP$14="Bell_Curve",$NN$14*(60-$NR$14+1)*($NS$14-60+1)/$NU$14,$NN$14/$NT$14)),0)</f>
        <v/>
      </c>
      <c r="BM14" s="228">
        <f>IF(AND(61&gt;=$NR$14,61&lt;=$NS$14),IF($NP$14="Single_Point",IF(61=$NR$14,$NN$14,0),IF($NP$14="Bell_Curve",$NN$14*(61-$NR$14+1)*($NS$14-61+1)/$NU$14,$NN$14/$NT$14)),0)</f>
        <v/>
      </c>
      <c r="BN14" s="228">
        <f>IF(AND(62&gt;=$NR$14,62&lt;=$NS$14),IF($NP$14="Single_Point",IF(62=$NR$14,$NN$14,0),IF($NP$14="Bell_Curve",$NN$14*(62-$NR$14+1)*($NS$14-62+1)/$NU$14,$NN$14/$NT$14)),0)</f>
        <v/>
      </c>
      <c r="BO14" s="228">
        <f>IF(AND(63&gt;=$NR$14,63&lt;=$NS$14),IF($NP$14="Single_Point",IF(63=$NR$14,$NN$14,0),IF($NP$14="Bell_Curve",$NN$14*(63-$NR$14+1)*($NS$14-63+1)/$NU$14,$NN$14/$NT$14)),0)</f>
        <v/>
      </c>
      <c r="BP14" s="228">
        <f>IF(AND(64&gt;=$NR$14,64&lt;=$NS$14),IF($NP$14="Single_Point",IF(64=$NR$14,$NN$14,0),IF($NP$14="Bell_Curve",$NN$14*(64-$NR$14+1)*($NS$14-64+1)/$NU$14,$NN$14/$NT$14)),0)</f>
        <v/>
      </c>
      <c r="BQ14" s="228">
        <f>IF(AND(65&gt;=$NR$14,65&lt;=$NS$14),IF($NP$14="Single_Point",IF(65=$NR$14,$NN$14,0),IF($NP$14="Bell_Curve",$NN$14*(65-$NR$14+1)*($NS$14-65+1)/$NU$14,$NN$14/$NT$14)),0)</f>
        <v/>
      </c>
      <c r="BR14" s="228">
        <f>IF(AND(66&gt;=$NR$14,66&lt;=$NS$14),IF($NP$14="Single_Point",IF(66=$NR$14,$NN$14,0),IF($NP$14="Bell_Curve",$NN$14*(66-$NR$14+1)*($NS$14-66+1)/$NU$14,$NN$14/$NT$14)),0)</f>
        <v/>
      </c>
      <c r="BS14" s="228">
        <f>IF(AND(67&gt;=$NR$14,67&lt;=$NS$14),IF($NP$14="Single_Point",IF(67=$NR$14,$NN$14,0),IF($NP$14="Bell_Curve",$NN$14*(67-$NR$14+1)*($NS$14-67+1)/$NU$14,$NN$14/$NT$14)),0)</f>
        <v/>
      </c>
      <c r="BT14" s="228">
        <f>IF(AND(68&gt;=$NR$14,68&lt;=$NS$14),IF($NP$14="Single_Point",IF(68=$NR$14,$NN$14,0),IF($NP$14="Bell_Curve",$NN$14*(68-$NR$14+1)*($NS$14-68+1)/$NU$14,$NN$14/$NT$14)),0)</f>
        <v/>
      </c>
      <c r="BU14" s="228">
        <f>IF(AND(69&gt;=$NR$14,69&lt;=$NS$14),IF($NP$14="Single_Point",IF(69=$NR$14,$NN$14,0),IF($NP$14="Bell_Curve",$NN$14*(69-$NR$14+1)*($NS$14-69+1)/$NU$14,$NN$14/$NT$14)),0)</f>
        <v/>
      </c>
      <c r="BV14" s="228">
        <f>IF(AND(70&gt;=$NR$14,70&lt;=$NS$14),IF($NP$14="Single_Point",IF(70=$NR$14,$NN$14,0),IF($NP$14="Bell_Curve",$NN$14*(70-$NR$14+1)*($NS$14-70+1)/$NU$14,$NN$14/$NT$14)),0)</f>
        <v/>
      </c>
      <c r="BW14" s="228">
        <f>IF(AND(71&gt;=$NR$14,71&lt;=$NS$14),IF($NP$14="Single_Point",IF(71=$NR$14,$NN$14,0),IF($NP$14="Bell_Curve",$NN$14*(71-$NR$14+1)*($NS$14-71+1)/$NU$14,$NN$14/$NT$14)),0)</f>
        <v/>
      </c>
      <c r="BX14" s="228">
        <f>IF(AND(72&gt;=$NR$14,72&lt;=$NS$14),IF($NP$14="Single_Point",IF(72=$NR$14,$NN$14,0),IF($NP$14="Bell_Curve",$NN$14*(72-$NR$14+1)*($NS$14-72+1)/$NU$14,$NN$14/$NT$14)),0)</f>
        <v/>
      </c>
      <c r="BY14" s="228">
        <f>IF(AND(73&gt;=$NR$14,73&lt;=$NS$14),IF($NP$14="Single_Point",IF(73=$NR$14,$NN$14,0),IF($NP$14="Bell_Curve",$NN$14*(73-$NR$14+1)*($NS$14-73+1)/$NU$14,$NN$14/$NT$14)),0)</f>
        <v/>
      </c>
      <c r="BZ14" s="228">
        <f>IF(AND(74&gt;=$NR$14,74&lt;=$NS$14),IF($NP$14="Single_Point",IF(74=$NR$14,$NN$14,0),IF($NP$14="Bell_Curve",$NN$14*(74-$NR$14+1)*($NS$14-74+1)/$NU$14,$NN$14/$NT$14)),0)</f>
        <v/>
      </c>
      <c r="CA14" s="228">
        <f>IF(AND(75&gt;=$NR$14,75&lt;=$NS$14),IF($NP$14="Single_Point",IF(75=$NR$14,$NN$14,0),IF($NP$14="Bell_Curve",$NN$14*(75-$NR$14+1)*($NS$14-75+1)/$NU$14,$NN$14/$NT$14)),0)</f>
        <v/>
      </c>
      <c r="CB14" s="228">
        <f>IF(AND(76&gt;=$NR$14,76&lt;=$NS$14),IF($NP$14="Single_Point",IF(76=$NR$14,$NN$14,0),IF($NP$14="Bell_Curve",$NN$14*(76-$NR$14+1)*($NS$14-76+1)/$NU$14,$NN$14/$NT$14)),0)</f>
        <v/>
      </c>
      <c r="CC14" s="228">
        <f>IF(AND(77&gt;=$NR$14,77&lt;=$NS$14),IF($NP$14="Single_Point",IF(77=$NR$14,$NN$14,0),IF($NP$14="Bell_Curve",$NN$14*(77-$NR$14+1)*($NS$14-77+1)/$NU$14,$NN$14/$NT$14)),0)</f>
        <v/>
      </c>
      <c r="CD14" s="228">
        <f>IF(AND(78&gt;=$NR$14,78&lt;=$NS$14),IF($NP$14="Single_Point",IF(78=$NR$14,$NN$14,0),IF($NP$14="Bell_Curve",$NN$14*(78-$NR$14+1)*($NS$14-78+1)/$NU$14,$NN$14/$NT$14)),0)</f>
        <v/>
      </c>
      <c r="CE14" s="228">
        <f>IF(AND(79&gt;=$NR$14,79&lt;=$NS$14),IF($NP$14="Single_Point",IF(79=$NR$14,$NN$14,0),IF($NP$14="Bell_Curve",$NN$14*(79-$NR$14+1)*($NS$14-79+1)/$NU$14,$NN$14/$NT$14)),0)</f>
        <v/>
      </c>
      <c r="CF14" s="228">
        <f>IF(AND(80&gt;=$NR$14,80&lt;=$NS$14),IF($NP$14="Single_Point",IF(80=$NR$14,$NN$14,0),IF($NP$14="Bell_Curve",$NN$14*(80-$NR$14+1)*($NS$14-80+1)/$NU$14,$NN$14/$NT$14)),0)</f>
        <v/>
      </c>
      <c r="CG14" s="228">
        <f>IF(AND(81&gt;=$NR$14,81&lt;=$NS$14),IF($NP$14="Single_Point",IF(81=$NR$14,$NN$14,0),IF($NP$14="Bell_Curve",$NN$14*(81-$NR$14+1)*($NS$14-81+1)/$NU$14,$NN$14/$NT$14)),0)</f>
        <v/>
      </c>
      <c r="CH14" s="228">
        <f>IF(AND(82&gt;=$NR$14,82&lt;=$NS$14),IF($NP$14="Single_Point",IF(82=$NR$14,$NN$14,0),IF($NP$14="Bell_Curve",$NN$14*(82-$NR$14+1)*($NS$14-82+1)/$NU$14,$NN$14/$NT$14)),0)</f>
        <v/>
      </c>
      <c r="CI14" s="228">
        <f>IF(AND(83&gt;=$NR$14,83&lt;=$NS$14),IF($NP$14="Single_Point",IF(83=$NR$14,$NN$14,0),IF($NP$14="Bell_Curve",$NN$14*(83-$NR$14+1)*($NS$14-83+1)/$NU$14,$NN$14/$NT$14)),0)</f>
        <v/>
      </c>
      <c r="CJ14" s="228">
        <f>IF(AND(84&gt;=$NR$14,84&lt;=$NS$14),IF($NP$14="Single_Point",IF(84=$NR$14,$NN$14,0),IF($NP$14="Bell_Curve",$NN$14*(84-$NR$14+1)*($NS$14-84+1)/$NU$14,$NN$14/$NT$14)),0)</f>
        <v/>
      </c>
      <c r="CK14" s="228">
        <f>IF(AND(85&gt;=$NR$14,85&lt;=$NS$14),IF($NP$14="Single_Point",IF(85=$NR$14,$NN$14,0),IF($NP$14="Bell_Curve",$NN$14*(85-$NR$14+1)*($NS$14-85+1)/$NU$14,$NN$14/$NT$14)),0)</f>
        <v/>
      </c>
      <c r="CL14" s="228">
        <f>IF(AND(86&gt;=$NR$14,86&lt;=$NS$14),IF($NP$14="Single_Point",IF(86=$NR$14,$NN$14,0),IF($NP$14="Bell_Curve",$NN$14*(86-$NR$14+1)*($NS$14-86+1)/$NU$14,$NN$14/$NT$14)),0)</f>
        <v/>
      </c>
      <c r="CM14" s="228">
        <f>IF(AND(87&gt;=$NR$14,87&lt;=$NS$14),IF($NP$14="Single_Point",IF(87=$NR$14,$NN$14,0),IF($NP$14="Bell_Curve",$NN$14*(87-$NR$14+1)*($NS$14-87+1)/$NU$14,$NN$14/$NT$14)),0)</f>
        <v/>
      </c>
      <c r="CN14" s="228">
        <f>IF(AND(88&gt;=$NR$14,88&lt;=$NS$14),IF($NP$14="Single_Point",IF(88=$NR$14,$NN$14,0),IF($NP$14="Bell_Curve",$NN$14*(88-$NR$14+1)*($NS$14-88+1)/$NU$14,$NN$14/$NT$14)),0)</f>
        <v/>
      </c>
      <c r="CO14" s="228">
        <f>IF(AND(89&gt;=$NR$14,89&lt;=$NS$14),IF($NP$14="Single_Point",IF(89=$NR$14,$NN$14,0),IF($NP$14="Bell_Curve",$NN$14*(89-$NR$14+1)*($NS$14-89+1)/$NU$14,$NN$14/$NT$14)),0)</f>
        <v/>
      </c>
      <c r="CP14" s="228">
        <f>IF(AND(90&gt;=$NR$14,90&lt;=$NS$14),IF($NP$14="Single_Point",IF(90=$NR$14,$NN$14,0),IF($NP$14="Bell_Curve",$NN$14*(90-$NR$14+1)*($NS$14-90+1)/$NU$14,$NN$14/$NT$14)),0)</f>
        <v/>
      </c>
      <c r="CQ14" s="228">
        <f>IF(AND(91&gt;=$NR$14,91&lt;=$NS$14),IF($NP$14="Single_Point",IF(91=$NR$14,$NN$14,0),IF($NP$14="Bell_Curve",$NN$14*(91-$NR$14+1)*($NS$14-91+1)/$NU$14,$NN$14/$NT$14)),0)</f>
        <v/>
      </c>
      <c r="CR14" s="228">
        <f>IF(AND(92&gt;=$NR$14,92&lt;=$NS$14),IF($NP$14="Single_Point",IF(92=$NR$14,$NN$14,0),IF($NP$14="Bell_Curve",$NN$14*(92-$NR$14+1)*($NS$14-92+1)/$NU$14,$NN$14/$NT$14)),0)</f>
        <v/>
      </c>
      <c r="CS14" s="228">
        <f>IF(AND(93&gt;=$NR$14,93&lt;=$NS$14),IF($NP$14="Single_Point",IF(93=$NR$14,$NN$14,0),IF($NP$14="Bell_Curve",$NN$14*(93-$NR$14+1)*($NS$14-93+1)/$NU$14,$NN$14/$NT$14)),0)</f>
        <v/>
      </c>
      <c r="CT14" s="228">
        <f>IF(AND(94&gt;=$NR$14,94&lt;=$NS$14),IF($NP$14="Single_Point",IF(94=$NR$14,$NN$14,0),IF($NP$14="Bell_Curve",$NN$14*(94-$NR$14+1)*($NS$14-94+1)/$NU$14,$NN$14/$NT$14)),0)</f>
        <v/>
      </c>
      <c r="CU14" s="228">
        <f>IF(AND(95&gt;=$NR$14,95&lt;=$NS$14),IF($NP$14="Single_Point",IF(95=$NR$14,$NN$14,0),IF($NP$14="Bell_Curve",$NN$14*(95-$NR$14+1)*($NS$14-95+1)/$NU$14,$NN$14/$NT$14)),0)</f>
        <v/>
      </c>
      <c r="CV14" s="228">
        <f>IF(AND(96&gt;=$NR$14,96&lt;=$NS$14),IF($NP$14="Single_Point",IF(96=$NR$14,$NN$14,0),IF($NP$14="Bell_Curve",$NN$14*(96-$NR$14+1)*($NS$14-96+1)/$NU$14,$NN$14/$NT$14)),0)</f>
        <v/>
      </c>
      <c r="CW14" s="228">
        <f>IF(AND(97&gt;=$NR$14,97&lt;=$NS$14),IF($NP$14="Single_Point",IF(97=$NR$14,$NN$14,0),IF($NP$14="Bell_Curve",$NN$14*(97-$NR$14+1)*($NS$14-97+1)/$NU$14,$NN$14/$NT$14)),0)</f>
        <v/>
      </c>
      <c r="CX14" s="228">
        <f>IF(AND(98&gt;=$NR$14,98&lt;=$NS$14),IF($NP$14="Single_Point",IF(98=$NR$14,$NN$14,0),IF($NP$14="Bell_Curve",$NN$14*(98-$NR$14+1)*($NS$14-98+1)/$NU$14,$NN$14/$NT$14)),0)</f>
        <v/>
      </c>
      <c r="CY14" s="228">
        <f>IF(AND(99&gt;=$NR$14,99&lt;=$NS$14),IF($NP$14="Single_Point",IF(99=$NR$14,$NN$14,0),IF($NP$14="Bell_Curve",$NN$14*(99-$NR$14+1)*($NS$14-99+1)/$NU$14,$NN$14/$NT$14)),0)</f>
        <v/>
      </c>
      <c r="CZ14" s="228">
        <f>IF(AND(100&gt;=$NR$14,100&lt;=$NS$14),IF($NP$14="Single_Point",IF(100=$NR$14,$NN$14,0),IF($NP$14="Bell_Curve",$NN$14*(100-$NR$14+1)*($NS$14-100+1)/$NU$14,$NN$14/$NT$14)),0)</f>
        <v/>
      </c>
      <c r="DA14" s="228">
        <f>IF(AND(101&gt;=$NR$14,101&lt;=$NS$14),IF($NP$14="Single_Point",IF(101=$NR$14,$NN$14,0),IF($NP$14="Bell_Curve",$NN$14*(101-$NR$14+1)*($NS$14-101+1)/$NU$14,$NN$14/$NT$14)),0)</f>
        <v/>
      </c>
      <c r="DB14" s="228">
        <f>IF(AND(102&gt;=$NR$14,102&lt;=$NS$14),IF($NP$14="Single_Point",IF(102=$NR$14,$NN$14,0),IF($NP$14="Bell_Curve",$NN$14*(102-$NR$14+1)*($NS$14-102+1)/$NU$14,$NN$14/$NT$14)),0)</f>
        <v/>
      </c>
      <c r="DC14" s="228">
        <f>IF(AND(103&gt;=$NR$14,103&lt;=$NS$14),IF($NP$14="Single_Point",IF(103=$NR$14,$NN$14,0),IF($NP$14="Bell_Curve",$NN$14*(103-$NR$14+1)*($NS$14-103+1)/$NU$14,$NN$14/$NT$14)),0)</f>
        <v/>
      </c>
      <c r="DD14" s="228">
        <f>IF(AND(104&gt;=$NR$14,104&lt;=$NS$14),IF($NP$14="Single_Point",IF(104=$NR$14,$NN$14,0),IF($NP$14="Bell_Curve",$NN$14*(104-$NR$14+1)*($NS$14-104+1)/$NU$14,$NN$14/$NT$14)),0)</f>
        <v/>
      </c>
      <c r="DE14" s="228">
        <f>IF(AND(105&gt;=$NR$14,105&lt;=$NS$14),IF($NP$14="Single_Point",IF(105=$NR$14,$NN$14,0),IF($NP$14="Bell_Curve",$NN$14*(105-$NR$14+1)*($NS$14-105+1)/$NU$14,$NN$14/$NT$14)),0)</f>
        <v/>
      </c>
      <c r="DF14" s="228">
        <f>IF(AND(106&gt;=$NR$14,106&lt;=$NS$14),IF($NP$14="Single_Point",IF(106=$NR$14,$NN$14,0),IF($NP$14="Bell_Curve",$NN$14*(106-$NR$14+1)*($NS$14-106+1)/$NU$14,$NN$14/$NT$14)),0)</f>
        <v/>
      </c>
      <c r="DG14" s="228">
        <f>IF(AND(107&gt;=$NR$14,107&lt;=$NS$14),IF($NP$14="Single_Point",IF(107=$NR$14,$NN$14,0),IF($NP$14="Bell_Curve",$NN$14*(107-$NR$14+1)*($NS$14-107+1)/$NU$14,$NN$14/$NT$14)),0)</f>
        <v/>
      </c>
      <c r="DH14" s="228">
        <f>IF(AND(108&gt;=$NR$14,108&lt;=$NS$14),IF($NP$14="Single_Point",IF(108=$NR$14,$NN$14,0),IF($NP$14="Bell_Curve",$NN$14*(108-$NR$14+1)*($NS$14-108+1)/$NU$14,$NN$14/$NT$14)),0)</f>
        <v/>
      </c>
      <c r="DI14" s="228">
        <f>IF(AND(109&gt;=$NR$14,109&lt;=$NS$14),IF($NP$14="Single_Point",IF(109=$NR$14,$NN$14,0),IF($NP$14="Bell_Curve",$NN$14*(109-$NR$14+1)*($NS$14-109+1)/$NU$14,$NN$14/$NT$14)),0)</f>
        <v/>
      </c>
      <c r="DJ14" s="228">
        <f>IF(AND(110&gt;=$NR$14,110&lt;=$NS$14),IF($NP$14="Single_Point",IF(110=$NR$14,$NN$14,0),IF($NP$14="Bell_Curve",$NN$14*(110-$NR$14+1)*($NS$14-110+1)/$NU$14,$NN$14/$NT$14)),0)</f>
        <v/>
      </c>
      <c r="DK14" s="228">
        <f>IF(AND(111&gt;=$NR$14,111&lt;=$NS$14),IF($NP$14="Single_Point",IF(111=$NR$14,$NN$14,0),IF($NP$14="Bell_Curve",$NN$14*(111-$NR$14+1)*($NS$14-111+1)/$NU$14,$NN$14/$NT$14)),0)</f>
        <v/>
      </c>
      <c r="DL14" s="228">
        <f>IF(AND(112&gt;=$NR$14,112&lt;=$NS$14),IF($NP$14="Single_Point",IF(112=$NR$14,$NN$14,0),IF($NP$14="Bell_Curve",$NN$14*(112-$NR$14+1)*($NS$14-112+1)/$NU$14,$NN$14/$NT$14)),0)</f>
        <v/>
      </c>
      <c r="DM14" s="228">
        <f>IF(AND(113&gt;=$NR$14,113&lt;=$NS$14),IF($NP$14="Single_Point",IF(113=$NR$14,$NN$14,0),IF($NP$14="Bell_Curve",$NN$14*(113-$NR$14+1)*($NS$14-113+1)/$NU$14,$NN$14/$NT$14)),0)</f>
        <v/>
      </c>
      <c r="DN14" s="228">
        <f>IF(AND(114&gt;=$NR$14,114&lt;=$NS$14),IF($NP$14="Single_Point",IF(114=$NR$14,$NN$14,0),IF($NP$14="Bell_Curve",$NN$14*(114-$NR$14+1)*($NS$14-114+1)/$NU$14,$NN$14/$NT$14)),0)</f>
        <v/>
      </c>
      <c r="DO14" s="228">
        <f>IF(AND(115&gt;=$NR$14,115&lt;=$NS$14),IF($NP$14="Single_Point",IF(115=$NR$14,$NN$14,0),IF($NP$14="Bell_Curve",$NN$14*(115-$NR$14+1)*($NS$14-115+1)/$NU$14,$NN$14/$NT$14)),0)</f>
        <v/>
      </c>
      <c r="DP14" s="228">
        <f>IF(AND(116&gt;=$NR$14,116&lt;=$NS$14),IF($NP$14="Single_Point",IF(116=$NR$14,$NN$14,0),IF($NP$14="Bell_Curve",$NN$14*(116-$NR$14+1)*($NS$14-116+1)/$NU$14,$NN$14/$NT$14)),0)</f>
        <v/>
      </c>
      <c r="DQ14" s="228">
        <f>IF(AND(117&gt;=$NR$14,117&lt;=$NS$14),IF($NP$14="Single_Point",IF(117=$NR$14,$NN$14,0),IF($NP$14="Bell_Curve",$NN$14*(117-$NR$14+1)*($NS$14-117+1)/$NU$14,$NN$14/$NT$14)),0)</f>
        <v/>
      </c>
      <c r="DR14" s="228">
        <f>IF(AND(118&gt;=$NR$14,118&lt;=$NS$14),IF($NP$14="Single_Point",IF(118=$NR$14,$NN$14,0),IF($NP$14="Bell_Curve",$NN$14*(118-$NR$14+1)*($NS$14-118+1)/$NU$14,$NN$14/$NT$14)),0)</f>
        <v/>
      </c>
      <c r="DS14" s="228">
        <f>IF(AND(119&gt;=$NR$14,119&lt;=$NS$14),IF($NP$14="Single_Point",IF(119=$NR$14,$NN$14,0),IF($NP$14="Bell_Curve",$NN$14*(119-$NR$14+1)*($NS$14-119+1)/$NU$14,$NN$14/$NT$14)),0)</f>
        <v/>
      </c>
      <c r="DT14" s="228">
        <f>IF(AND(120&gt;=$NR$14,120&lt;=$NS$14),IF($NP$14="Single_Point",IF(120=$NR$14,$NN$14,0),IF($NP$14="Bell_Curve",$NN$14*(120-$NR$14+1)*($NS$14-120+1)/$NU$14,$NN$14/$NT$14)),0)</f>
        <v/>
      </c>
      <c r="DU14" s="228">
        <f>IF(AND(121&gt;=$NR$14,121&lt;=$NS$14),IF($NP$14="Single_Point",IF(121=$NR$14,$NN$14,0),IF($NP$14="Bell_Curve",$NN$14*(121-$NR$14+1)*($NS$14-121+1)/$NU$14,$NN$14/$NT$14)),0)</f>
        <v/>
      </c>
      <c r="DV14" s="228">
        <f>IF(AND(122&gt;=$NR$14,122&lt;=$NS$14),IF($NP$14="Single_Point",IF(122=$NR$14,$NN$14,0),IF($NP$14="Bell_Curve",$NN$14*(122-$NR$14+1)*($NS$14-122+1)/$NU$14,$NN$14/$NT$14)),0)</f>
        <v/>
      </c>
      <c r="DW14" s="228">
        <f>IF(AND(123&gt;=$NR$14,123&lt;=$NS$14),IF($NP$14="Single_Point",IF(123=$NR$14,$NN$14,0),IF($NP$14="Bell_Curve",$NN$14*(123-$NR$14+1)*($NS$14-123+1)/$NU$14,$NN$14/$NT$14)),0)</f>
        <v/>
      </c>
      <c r="DX14" s="228">
        <f>IF(AND(124&gt;=$NR$14,124&lt;=$NS$14),IF($NP$14="Single_Point",IF(124=$NR$14,$NN$14,0),IF($NP$14="Bell_Curve",$NN$14*(124-$NR$14+1)*($NS$14-124+1)/$NU$14,$NN$14/$NT$14)),0)</f>
        <v/>
      </c>
      <c r="DY14" s="228">
        <f>IF(AND(125&gt;=$NR$14,125&lt;=$NS$14),IF($NP$14="Single_Point",IF(125=$NR$14,$NN$14,0),IF($NP$14="Bell_Curve",$NN$14*(125-$NR$14+1)*($NS$14-125+1)/$NU$14,$NN$14/$NT$14)),0)</f>
        <v/>
      </c>
      <c r="DZ14" s="228">
        <f>IF(AND(126&gt;=$NR$14,126&lt;=$NS$14),IF($NP$14="Single_Point",IF(126=$NR$14,$NN$14,0),IF($NP$14="Bell_Curve",$NN$14*(126-$NR$14+1)*($NS$14-126+1)/$NU$14,$NN$14/$NT$14)),0)</f>
        <v/>
      </c>
      <c r="EA14" s="228">
        <f>IF(AND(127&gt;=$NR$14,127&lt;=$NS$14),IF($NP$14="Single_Point",IF(127=$NR$14,$NN$14,0),IF($NP$14="Bell_Curve",$NN$14*(127-$NR$14+1)*($NS$14-127+1)/$NU$14,$NN$14/$NT$14)),0)</f>
        <v/>
      </c>
      <c r="EB14" s="228">
        <f>IF(AND(128&gt;=$NR$14,128&lt;=$NS$14),IF($NP$14="Single_Point",IF(128=$NR$14,$NN$14,0),IF($NP$14="Bell_Curve",$NN$14*(128-$NR$14+1)*($NS$14-128+1)/$NU$14,$NN$14/$NT$14)),0)</f>
        <v/>
      </c>
      <c r="EC14" s="228">
        <f>IF(AND(129&gt;=$NR$14,129&lt;=$NS$14),IF($NP$14="Single_Point",IF(129=$NR$14,$NN$14,0),IF($NP$14="Bell_Curve",$NN$14*(129-$NR$14+1)*($NS$14-129+1)/$NU$14,$NN$14/$NT$14)),0)</f>
        <v/>
      </c>
      <c r="ED14" s="228">
        <f>IF(AND(130&gt;=$NR$14,130&lt;=$NS$14),IF($NP$14="Single_Point",IF(130=$NR$14,$NN$14,0),IF($NP$14="Bell_Curve",$NN$14*(130-$NR$14+1)*($NS$14-130+1)/$NU$14,$NN$14/$NT$14)),0)</f>
        <v/>
      </c>
      <c r="EE14" s="228">
        <f>IF(AND(131&gt;=$NR$14,131&lt;=$NS$14),IF($NP$14="Single_Point",IF(131=$NR$14,$NN$14,0),IF($NP$14="Bell_Curve",$NN$14*(131-$NR$14+1)*($NS$14-131+1)/$NU$14,$NN$14/$NT$14)),0)</f>
        <v/>
      </c>
      <c r="EF14" s="228">
        <f>IF(AND(132&gt;=$NR$14,132&lt;=$NS$14),IF($NP$14="Single_Point",IF(132=$NR$14,$NN$14,0),IF($NP$14="Bell_Curve",$NN$14*(132-$NR$14+1)*($NS$14-132+1)/$NU$14,$NN$14/$NT$14)),0)</f>
        <v/>
      </c>
      <c r="EG14" s="228">
        <f>IF(AND(133&gt;=$NR$14,133&lt;=$NS$14),IF($NP$14="Single_Point",IF(133=$NR$14,$NN$14,0),IF($NP$14="Bell_Curve",$NN$14*(133-$NR$14+1)*($NS$14-133+1)/$NU$14,$NN$14/$NT$14)),0)</f>
        <v/>
      </c>
      <c r="EH14" s="228">
        <f>IF(AND(134&gt;=$NR$14,134&lt;=$NS$14),IF($NP$14="Single_Point",IF(134=$NR$14,$NN$14,0),IF($NP$14="Bell_Curve",$NN$14*(134-$NR$14+1)*($NS$14-134+1)/$NU$14,$NN$14/$NT$14)),0)</f>
        <v/>
      </c>
      <c r="EI14" s="228">
        <f>IF(AND(135&gt;=$NR$14,135&lt;=$NS$14),IF($NP$14="Single_Point",IF(135=$NR$14,$NN$14,0),IF($NP$14="Bell_Curve",$NN$14*(135-$NR$14+1)*($NS$14-135+1)/$NU$14,$NN$14/$NT$14)),0)</f>
        <v/>
      </c>
      <c r="EJ14" s="228">
        <f>IF(AND(136&gt;=$NR$14,136&lt;=$NS$14),IF($NP$14="Single_Point",IF(136=$NR$14,$NN$14,0),IF($NP$14="Bell_Curve",$NN$14*(136-$NR$14+1)*($NS$14-136+1)/$NU$14,$NN$14/$NT$14)),0)</f>
        <v/>
      </c>
      <c r="EK14" s="228">
        <f>IF(AND(137&gt;=$NR$14,137&lt;=$NS$14),IF($NP$14="Single_Point",IF(137=$NR$14,$NN$14,0),IF($NP$14="Bell_Curve",$NN$14*(137-$NR$14+1)*($NS$14-137+1)/$NU$14,$NN$14/$NT$14)),0)</f>
        <v/>
      </c>
      <c r="EL14" s="228">
        <f>IF(AND(138&gt;=$NR$14,138&lt;=$NS$14),IF($NP$14="Single_Point",IF(138=$NR$14,$NN$14,0),IF($NP$14="Bell_Curve",$NN$14*(138-$NR$14+1)*($NS$14-138+1)/$NU$14,$NN$14/$NT$14)),0)</f>
        <v/>
      </c>
      <c r="EM14" s="228">
        <f>IF(AND(139&gt;=$NR$14,139&lt;=$NS$14),IF($NP$14="Single_Point",IF(139=$NR$14,$NN$14,0),IF($NP$14="Bell_Curve",$NN$14*(139-$NR$14+1)*($NS$14-139+1)/$NU$14,$NN$14/$NT$14)),0)</f>
        <v/>
      </c>
      <c r="EN14" s="228">
        <f>IF(AND(140&gt;=$NR$14,140&lt;=$NS$14),IF($NP$14="Single_Point",IF(140=$NR$14,$NN$14,0),IF($NP$14="Bell_Curve",$NN$14*(140-$NR$14+1)*($NS$14-140+1)/$NU$14,$NN$14/$NT$14)),0)</f>
        <v/>
      </c>
      <c r="EO14" s="228">
        <f>IF(AND(141&gt;=$NR$14,141&lt;=$NS$14),IF($NP$14="Single_Point",IF(141=$NR$14,$NN$14,0),IF($NP$14="Bell_Curve",$NN$14*(141-$NR$14+1)*($NS$14-141+1)/$NU$14,$NN$14/$NT$14)),0)</f>
        <v/>
      </c>
      <c r="EP14" s="228">
        <f>IF(AND(142&gt;=$NR$14,142&lt;=$NS$14),IF($NP$14="Single_Point",IF(142=$NR$14,$NN$14,0),IF($NP$14="Bell_Curve",$NN$14*(142-$NR$14+1)*($NS$14-142+1)/$NU$14,$NN$14/$NT$14)),0)</f>
        <v/>
      </c>
      <c r="EQ14" s="228">
        <f>IF(AND(143&gt;=$NR$14,143&lt;=$NS$14),IF($NP$14="Single_Point",IF(143=$NR$14,$NN$14,0),IF($NP$14="Bell_Curve",$NN$14*(143-$NR$14+1)*($NS$14-143+1)/$NU$14,$NN$14/$NT$14)),0)</f>
        <v/>
      </c>
      <c r="ER14" s="228">
        <f>IF(AND(144&gt;=$NR$14,144&lt;=$NS$14),IF($NP$14="Single_Point",IF(144=$NR$14,$NN$14,0),IF($NP$14="Bell_Curve",$NN$14*(144-$NR$14+1)*($NS$14-144+1)/$NU$14,$NN$14/$NT$14)),0)</f>
        <v/>
      </c>
      <c r="ES14" s="228">
        <f>IF(AND(145&gt;=$NR$14,145&lt;=$NS$14),IF($NP$14="Single_Point",IF(145=$NR$14,$NN$14,0),IF($NP$14="Bell_Curve",$NN$14*(145-$NR$14+1)*($NS$14-145+1)/$NU$14,$NN$14/$NT$14)),0)</f>
        <v/>
      </c>
      <c r="ET14" s="228">
        <f>IF(AND(146&gt;=$NR$14,146&lt;=$NS$14),IF($NP$14="Single_Point",IF(146=$NR$14,$NN$14,0),IF($NP$14="Bell_Curve",$NN$14*(146-$NR$14+1)*($NS$14-146+1)/$NU$14,$NN$14/$NT$14)),0)</f>
        <v/>
      </c>
      <c r="EU14" s="228">
        <f>IF(AND(147&gt;=$NR$14,147&lt;=$NS$14),IF($NP$14="Single_Point",IF(147=$NR$14,$NN$14,0),IF($NP$14="Bell_Curve",$NN$14*(147-$NR$14+1)*($NS$14-147+1)/$NU$14,$NN$14/$NT$14)),0)</f>
        <v/>
      </c>
      <c r="EV14" s="228">
        <f>IF(AND(148&gt;=$NR$14,148&lt;=$NS$14),IF($NP$14="Single_Point",IF(148=$NR$14,$NN$14,0),IF($NP$14="Bell_Curve",$NN$14*(148-$NR$14+1)*($NS$14-148+1)/$NU$14,$NN$14/$NT$14)),0)</f>
        <v/>
      </c>
      <c r="EW14" s="228">
        <f>IF(AND(149&gt;=$NR$14,149&lt;=$NS$14),IF($NP$14="Single_Point",IF(149=$NR$14,$NN$14,0),IF($NP$14="Bell_Curve",$NN$14*(149-$NR$14+1)*($NS$14-149+1)/$NU$14,$NN$14/$NT$14)),0)</f>
        <v/>
      </c>
      <c r="EX14" s="228">
        <f>IF(AND(150&gt;=$NR$14,150&lt;=$NS$14),IF($NP$14="Single_Point",IF(150=$NR$14,$NN$14,0),IF($NP$14="Bell_Curve",$NN$14*(150-$NR$14+1)*($NS$14-150+1)/$NU$14,$NN$14/$NT$14)),0)</f>
        <v/>
      </c>
      <c r="EY14" s="228">
        <f>IF(AND(151&gt;=$NR$14,151&lt;=$NS$14),IF($NP$14="Single_Point",IF(151=$NR$14,$NN$14,0),IF($NP$14="Bell_Curve",$NN$14*(151-$NR$14+1)*($NS$14-151+1)/$NU$14,$NN$14/$NT$14)),0)</f>
        <v/>
      </c>
      <c r="EZ14" s="228">
        <f>IF(AND(152&gt;=$NR$14,152&lt;=$NS$14),IF($NP$14="Single_Point",IF(152=$NR$14,$NN$14,0),IF($NP$14="Bell_Curve",$NN$14*(152-$NR$14+1)*($NS$14-152+1)/$NU$14,$NN$14/$NT$14)),0)</f>
        <v/>
      </c>
      <c r="FA14" s="228">
        <f>IF(AND(153&gt;=$NR$14,153&lt;=$NS$14),IF($NP$14="Single_Point",IF(153=$NR$14,$NN$14,0),IF($NP$14="Bell_Curve",$NN$14*(153-$NR$14+1)*($NS$14-153+1)/$NU$14,$NN$14/$NT$14)),0)</f>
        <v/>
      </c>
      <c r="FB14" s="228">
        <f>IF(AND(154&gt;=$NR$14,154&lt;=$NS$14),IF($NP$14="Single_Point",IF(154=$NR$14,$NN$14,0),IF($NP$14="Bell_Curve",$NN$14*(154-$NR$14+1)*($NS$14-154+1)/$NU$14,$NN$14/$NT$14)),0)</f>
        <v/>
      </c>
      <c r="FC14" s="228">
        <f>IF(AND(155&gt;=$NR$14,155&lt;=$NS$14),IF($NP$14="Single_Point",IF(155=$NR$14,$NN$14,0),IF($NP$14="Bell_Curve",$NN$14*(155-$NR$14+1)*($NS$14-155+1)/$NU$14,$NN$14/$NT$14)),0)</f>
        <v/>
      </c>
      <c r="FD14" s="228">
        <f>IF(AND(156&gt;=$NR$14,156&lt;=$NS$14),IF($NP$14="Single_Point",IF(156=$NR$14,$NN$14,0),IF($NP$14="Bell_Curve",$NN$14*(156-$NR$14+1)*($NS$14-156+1)/$NU$14,$NN$14/$NT$14)),0)</f>
        <v/>
      </c>
      <c r="FE14" s="228">
        <f>IF(AND(157&gt;=$NR$14,157&lt;=$NS$14),IF($NP$14="Single_Point",IF(157=$NR$14,$NN$14,0),IF($NP$14="Bell_Curve",$NN$14*(157-$NR$14+1)*($NS$14-157+1)/$NU$14,$NN$14/$NT$14)),0)</f>
        <v/>
      </c>
      <c r="FF14" s="228">
        <f>IF(AND(158&gt;=$NR$14,158&lt;=$NS$14),IF($NP$14="Single_Point",IF(158=$NR$14,$NN$14,0),IF($NP$14="Bell_Curve",$NN$14*(158-$NR$14+1)*($NS$14-158+1)/$NU$14,$NN$14/$NT$14)),0)</f>
        <v/>
      </c>
      <c r="FG14" s="228">
        <f>IF(AND(159&gt;=$NR$14,159&lt;=$NS$14),IF($NP$14="Single_Point",IF(159=$NR$14,$NN$14,0),IF($NP$14="Bell_Curve",$NN$14*(159-$NR$14+1)*($NS$14-159+1)/$NU$14,$NN$14/$NT$14)),0)</f>
        <v/>
      </c>
      <c r="FH14" s="228">
        <f>IF(AND(160&gt;=$NR$14,160&lt;=$NS$14),IF($NP$14="Single_Point",IF(160=$NR$14,$NN$14,0),IF($NP$14="Bell_Curve",$NN$14*(160-$NR$14+1)*($NS$14-160+1)/$NU$14,$NN$14/$NT$14)),0)</f>
        <v/>
      </c>
      <c r="FI14" s="228">
        <f>IF(AND(161&gt;=$NR$14,161&lt;=$NS$14),IF($NP$14="Single_Point",IF(161=$NR$14,$NN$14,0),IF($NP$14="Bell_Curve",$NN$14*(161-$NR$14+1)*($NS$14-161+1)/$NU$14,$NN$14/$NT$14)),0)</f>
        <v/>
      </c>
      <c r="FJ14" s="228">
        <f>IF(AND(162&gt;=$NR$14,162&lt;=$NS$14),IF($NP$14="Single_Point",IF(162=$NR$14,$NN$14,0),IF($NP$14="Bell_Curve",$NN$14*(162-$NR$14+1)*($NS$14-162+1)/$NU$14,$NN$14/$NT$14)),0)</f>
        <v/>
      </c>
      <c r="FK14" s="228">
        <f>IF(AND(163&gt;=$NR$14,163&lt;=$NS$14),IF($NP$14="Single_Point",IF(163=$NR$14,$NN$14,0),IF($NP$14="Bell_Curve",$NN$14*(163-$NR$14+1)*($NS$14-163+1)/$NU$14,$NN$14/$NT$14)),0)</f>
        <v/>
      </c>
      <c r="FL14" s="228">
        <f>IF(AND(164&gt;=$NR$14,164&lt;=$NS$14),IF($NP$14="Single_Point",IF(164=$NR$14,$NN$14,0),IF($NP$14="Bell_Curve",$NN$14*(164-$NR$14+1)*($NS$14-164+1)/$NU$14,$NN$14/$NT$14)),0)</f>
        <v/>
      </c>
      <c r="FM14" s="228">
        <f>IF(AND(165&gt;=$NR$14,165&lt;=$NS$14),IF($NP$14="Single_Point",IF(165=$NR$14,$NN$14,0),IF($NP$14="Bell_Curve",$NN$14*(165-$NR$14+1)*($NS$14-165+1)/$NU$14,$NN$14/$NT$14)),0)</f>
        <v/>
      </c>
      <c r="FN14" s="228">
        <f>IF(AND(166&gt;=$NR$14,166&lt;=$NS$14),IF($NP$14="Single_Point",IF(166=$NR$14,$NN$14,0),IF($NP$14="Bell_Curve",$NN$14*(166-$NR$14+1)*($NS$14-166+1)/$NU$14,$NN$14/$NT$14)),0)</f>
        <v/>
      </c>
      <c r="FO14" s="228">
        <f>IF(AND(167&gt;=$NR$14,167&lt;=$NS$14),IF($NP$14="Single_Point",IF(167=$NR$14,$NN$14,0),IF($NP$14="Bell_Curve",$NN$14*(167-$NR$14+1)*($NS$14-167+1)/$NU$14,$NN$14/$NT$14)),0)</f>
        <v/>
      </c>
      <c r="FP14" s="228">
        <f>IF(AND(168&gt;=$NR$14,168&lt;=$NS$14),IF($NP$14="Single_Point",IF(168=$NR$14,$NN$14,0),IF($NP$14="Bell_Curve",$NN$14*(168-$NR$14+1)*($NS$14-168+1)/$NU$14,$NN$14/$NT$14)),0)</f>
        <v/>
      </c>
      <c r="FQ14" s="228">
        <f>IF(AND(169&gt;=$NR$14,169&lt;=$NS$14),IF($NP$14="Single_Point",IF(169=$NR$14,$NN$14,0),IF($NP$14="Bell_Curve",$NN$14*(169-$NR$14+1)*($NS$14-169+1)/$NU$14,$NN$14/$NT$14)),0)</f>
        <v/>
      </c>
      <c r="FR14" s="228">
        <f>IF(AND(170&gt;=$NR$14,170&lt;=$NS$14),IF($NP$14="Single_Point",IF(170=$NR$14,$NN$14,0),IF($NP$14="Bell_Curve",$NN$14*(170-$NR$14+1)*($NS$14-170+1)/$NU$14,$NN$14/$NT$14)),0)</f>
        <v/>
      </c>
      <c r="FS14" s="228">
        <f>IF(AND(171&gt;=$NR$14,171&lt;=$NS$14),IF($NP$14="Single_Point",IF(171=$NR$14,$NN$14,0),IF($NP$14="Bell_Curve",$NN$14*(171-$NR$14+1)*($NS$14-171+1)/$NU$14,$NN$14/$NT$14)),0)</f>
        <v/>
      </c>
      <c r="FT14" s="228">
        <f>IF(AND(172&gt;=$NR$14,172&lt;=$NS$14),IF($NP$14="Single_Point",IF(172=$NR$14,$NN$14,0),IF($NP$14="Bell_Curve",$NN$14*(172-$NR$14+1)*($NS$14-172+1)/$NU$14,$NN$14/$NT$14)),0)</f>
        <v/>
      </c>
      <c r="FU14" s="228">
        <f>IF(AND(173&gt;=$NR$14,173&lt;=$NS$14),IF($NP$14="Single_Point",IF(173=$NR$14,$NN$14,0),IF($NP$14="Bell_Curve",$NN$14*(173-$NR$14+1)*($NS$14-173+1)/$NU$14,$NN$14/$NT$14)),0)</f>
        <v/>
      </c>
      <c r="FV14" s="228">
        <f>IF(AND(174&gt;=$NR$14,174&lt;=$NS$14),IF($NP$14="Single_Point",IF(174=$NR$14,$NN$14,0),IF($NP$14="Bell_Curve",$NN$14*(174-$NR$14+1)*($NS$14-174+1)/$NU$14,$NN$14/$NT$14)),0)</f>
        <v/>
      </c>
      <c r="FW14" s="228">
        <f>IF(AND(175&gt;=$NR$14,175&lt;=$NS$14),IF($NP$14="Single_Point",IF(175=$NR$14,$NN$14,0),IF($NP$14="Bell_Curve",$NN$14*(175-$NR$14+1)*($NS$14-175+1)/$NU$14,$NN$14/$NT$14)),0)</f>
        <v/>
      </c>
      <c r="FX14" s="228">
        <f>IF(AND(176&gt;=$NR$14,176&lt;=$NS$14),IF($NP$14="Single_Point",IF(176=$NR$14,$NN$14,0),IF($NP$14="Bell_Curve",$NN$14*(176-$NR$14+1)*($NS$14-176+1)/$NU$14,$NN$14/$NT$14)),0)</f>
        <v/>
      </c>
      <c r="FY14" s="228">
        <f>IF(AND(177&gt;=$NR$14,177&lt;=$NS$14),IF($NP$14="Single_Point",IF(177=$NR$14,$NN$14,0),IF($NP$14="Bell_Curve",$NN$14*(177-$NR$14+1)*($NS$14-177+1)/$NU$14,$NN$14/$NT$14)),0)</f>
        <v/>
      </c>
      <c r="FZ14" s="228">
        <f>IF(AND(178&gt;=$NR$14,178&lt;=$NS$14),IF($NP$14="Single_Point",IF(178=$NR$14,$NN$14,0),IF($NP$14="Bell_Curve",$NN$14*(178-$NR$14+1)*($NS$14-178+1)/$NU$14,$NN$14/$NT$14)),0)</f>
        <v/>
      </c>
      <c r="GA14" s="228">
        <f>IF(AND(179&gt;=$NR$14,179&lt;=$NS$14),IF($NP$14="Single_Point",IF(179=$NR$14,$NN$14,0),IF($NP$14="Bell_Curve",$NN$14*(179-$NR$14+1)*($NS$14-179+1)/$NU$14,$NN$14/$NT$14)),0)</f>
        <v/>
      </c>
      <c r="GB14" s="228">
        <f>IF(AND(180&gt;=$NR$14,180&lt;=$NS$14),IF($NP$14="Single_Point",IF(180=$NR$14,$NN$14,0),IF($NP$14="Bell_Curve",$NN$14*(180-$NR$14+1)*($NS$14-180+1)/$NU$14,$NN$14/$NT$14)),0)</f>
        <v/>
      </c>
      <c r="GC14" s="228">
        <f>IF(AND(181&gt;=$NR$14,181&lt;=$NS$14),IF($NP$14="Single_Point",IF(181=$NR$14,$NN$14,0),IF($NP$14="Bell_Curve",$NN$14*(181-$NR$14+1)*($NS$14-181+1)/$NU$14,$NN$14/$NT$14)),0)</f>
        <v/>
      </c>
      <c r="GD14" s="228">
        <f>IF(AND(182&gt;=$NR$14,182&lt;=$NS$14),IF($NP$14="Single_Point",IF(182=$NR$14,$NN$14,0),IF($NP$14="Bell_Curve",$NN$14*(182-$NR$14+1)*($NS$14-182+1)/$NU$14,$NN$14/$NT$14)),0)</f>
        <v/>
      </c>
      <c r="GE14" s="228">
        <f>IF(AND(183&gt;=$NR$14,183&lt;=$NS$14),IF($NP$14="Single_Point",IF(183=$NR$14,$NN$14,0),IF($NP$14="Bell_Curve",$NN$14*(183-$NR$14+1)*($NS$14-183+1)/$NU$14,$NN$14/$NT$14)),0)</f>
        <v/>
      </c>
      <c r="GF14" s="228">
        <f>IF(AND(184&gt;=$NR$14,184&lt;=$NS$14),IF($NP$14="Single_Point",IF(184=$NR$14,$NN$14,0),IF($NP$14="Bell_Curve",$NN$14*(184-$NR$14+1)*($NS$14-184+1)/$NU$14,$NN$14/$NT$14)),0)</f>
        <v/>
      </c>
      <c r="GG14" s="228">
        <f>IF(AND(185&gt;=$NR$14,185&lt;=$NS$14),IF($NP$14="Single_Point",IF(185=$NR$14,$NN$14,0),IF($NP$14="Bell_Curve",$NN$14*(185-$NR$14+1)*($NS$14-185+1)/$NU$14,$NN$14/$NT$14)),0)</f>
        <v/>
      </c>
      <c r="GH14" s="228">
        <f>IF(AND(186&gt;=$NR$14,186&lt;=$NS$14),IF($NP$14="Single_Point",IF(186=$NR$14,$NN$14,0),IF($NP$14="Bell_Curve",$NN$14*(186-$NR$14+1)*($NS$14-186+1)/$NU$14,$NN$14/$NT$14)),0)</f>
        <v/>
      </c>
      <c r="GI14" s="228">
        <f>IF(AND(187&gt;=$NR$14,187&lt;=$NS$14),IF($NP$14="Single_Point",IF(187=$NR$14,$NN$14,0),IF($NP$14="Bell_Curve",$NN$14*(187-$NR$14+1)*($NS$14-187+1)/$NU$14,$NN$14/$NT$14)),0)</f>
        <v/>
      </c>
      <c r="GJ14" s="228">
        <f>IF(AND(188&gt;=$NR$14,188&lt;=$NS$14),IF($NP$14="Single_Point",IF(188=$NR$14,$NN$14,0),IF($NP$14="Bell_Curve",$NN$14*(188-$NR$14+1)*($NS$14-188+1)/$NU$14,$NN$14/$NT$14)),0)</f>
        <v/>
      </c>
      <c r="GK14" s="228">
        <f>IF(AND(189&gt;=$NR$14,189&lt;=$NS$14),IF($NP$14="Single_Point",IF(189=$NR$14,$NN$14,0),IF($NP$14="Bell_Curve",$NN$14*(189-$NR$14+1)*($NS$14-189+1)/$NU$14,$NN$14/$NT$14)),0)</f>
        <v/>
      </c>
      <c r="GL14" s="228">
        <f>IF(AND(190&gt;=$NR$14,190&lt;=$NS$14),IF($NP$14="Single_Point",IF(190=$NR$14,$NN$14,0),IF($NP$14="Bell_Curve",$NN$14*(190-$NR$14+1)*($NS$14-190+1)/$NU$14,$NN$14/$NT$14)),0)</f>
        <v/>
      </c>
      <c r="GM14" s="228">
        <f>IF(AND(191&gt;=$NR$14,191&lt;=$NS$14),IF($NP$14="Single_Point",IF(191=$NR$14,$NN$14,0),IF($NP$14="Bell_Curve",$NN$14*(191-$NR$14+1)*($NS$14-191+1)/$NU$14,$NN$14/$NT$14)),0)</f>
        <v/>
      </c>
      <c r="GN14" s="228">
        <f>IF(AND(192&gt;=$NR$14,192&lt;=$NS$14),IF($NP$14="Single_Point",IF(192=$NR$14,$NN$14,0),IF($NP$14="Bell_Curve",$NN$14*(192-$NR$14+1)*($NS$14-192+1)/$NU$14,$NN$14/$NT$14)),0)</f>
        <v/>
      </c>
      <c r="GO14" s="228">
        <f>IF(AND(193&gt;=$NR$14,193&lt;=$NS$14),IF($NP$14="Single_Point",IF(193=$NR$14,$NN$14,0),IF($NP$14="Bell_Curve",$NN$14*(193-$NR$14+1)*($NS$14-193+1)/$NU$14,$NN$14/$NT$14)),0)</f>
        <v/>
      </c>
      <c r="GP14" s="228">
        <f>IF(AND(194&gt;=$NR$14,194&lt;=$NS$14),IF($NP$14="Single_Point",IF(194=$NR$14,$NN$14,0),IF($NP$14="Bell_Curve",$NN$14*(194-$NR$14+1)*($NS$14-194+1)/$NU$14,$NN$14/$NT$14)),0)</f>
        <v/>
      </c>
      <c r="GQ14" s="228">
        <f>IF(AND(195&gt;=$NR$14,195&lt;=$NS$14),IF($NP$14="Single_Point",IF(195=$NR$14,$NN$14,0),IF($NP$14="Bell_Curve",$NN$14*(195-$NR$14+1)*($NS$14-195+1)/$NU$14,$NN$14/$NT$14)),0)</f>
        <v/>
      </c>
      <c r="GR14" s="228">
        <f>IF(AND(196&gt;=$NR$14,196&lt;=$NS$14),IF($NP$14="Single_Point",IF(196=$NR$14,$NN$14,0),IF($NP$14="Bell_Curve",$NN$14*(196-$NR$14+1)*($NS$14-196+1)/$NU$14,$NN$14/$NT$14)),0)</f>
        <v/>
      </c>
      <c r="GS14" s="228">
        <f>IF(AND(197&gt;=$NR$14,197&lt;=$NS$14),IF($NP$14="Single_Point",IF(197=$NR$14,$NN$14,0),IF($NP$14="Bell_Curve",$NN$14*(197-$NR$14+1)*($NS$14-197+1)/$NU$14,$NN$14/$NT$14)),0)</f>
        <v/>
      </c>
      <c r="GT14" s="228">
        <f>IF(AND(198&gt;=$NR$14,198&lt;=$NS$14),IF($NP$14="Single_Point",IF(198=$NR$14,$NN$14,0),IF($NP$14="Bell_Curve",$NN$14*(198-$NR$14+1)*($NS$14-198+1)/$NU$14,$NN$14/$NT$14)),0)</f>
        <v/>
      </c>
      <c r="GU14" s="228">
        <f>IF(AND(199&gt;=$NR$14,199&lt;=$NS$14),IF($NP$14="Single_Point",IF(199=$NR$14,$NN$14,0),IF($NP$14="Bell_Curve",$NN$14*(199-$NR$14+1)*($NS$14-199+1)/$NU$14,$NN$14/$NT$14)),0)</f>
        <v/>
      </c>
      <c r="GV14" s="228">
        <f>IF(AND(200&gt;=$NR$14,200&lt;=$NS$14),IF($NP$14="Single_Point",IF(200=$NR$14,$NN$14,0),IF($NP$14="Bell_Curve",$NN$14*(200-$NR$14+1)*($NS$14-200+1)/$NU$14,$NN$14/$NT$14)),0)</f>
        <v/>
      </c>
      <c r="GW14" s="228">
        <f>IF(AND(201&gt;=$NR$14,201&lt;=$NS$14),IF($NP$14="Single_Point",IF(201=$NR$14,$NN$14,0),IF($NP$14="Bell_Curve",$NN$14*(201-$NR$14+1)*($NS$14-201+1)/$NU$14,$NN$14/$NT$14)),0)</f>
        <v/>
      </c>
      <c r="GX14" s="228">
        <f>IF(AND(202&gt;=$NR$14,202&lt;=$NS$14),IF($NP$14="Single_Point",IF(202=$NR$14,$NN$14,0),IF($NP$14="Bell_Curve",$NN$14*(202-$NR$14+1)*($NS$14-202+1)/$NU$14,$NN$14/$NT$14)),0)</f>
        <v/>
      </c>
      <c r="GY14" s="228">
        <f>IF(AND(203&gt;=$NR$14,203&lt;=$NS$14),IF($NP$14="Single_Point",IF(203=$NR$14,$NN$14,0),IF($NP$14="Bell_Curve",$NN$14*(203-$NR$14+1)*($NS$14-203+1)/$NU$14,$NN$14/$NT$14)),0)</f>
        <v/>
      </c>
      <c r="GZ14" s="228">
        <f>IF(AND(204&gt;=$NR$14,204&lt;=$NS$14),IF($NP$14="Single_Point",IF(204=$NR$14,$NN$14,0),IF($NP$14="Bell_Curve",$NN$14*(204-$NR$14+1)*($NS$14-204+1)/$NU$14,$NN$14/$NT$14)),0)</f>
        <v/>
      </c>
      <c r="HA14" s="228">
        <f>IF(AND(205&gt;=$NR$14,205&lt;=$NS$14),IF($NP$14="Single_Point",IF(205=$NR$14,$NN$14,0),IF($NP$14="Bell_Curve",$NN$14*(205-$NR$14+1)*($NS$14-205+1)/$NU$14,$NN$14/$NT$14)),0)</f>
        <v/>
      </c>
      <c r="HB14" s="228">
        <f>IF(AND(206&gt;=$NR$14,206&lt;=$NS$14),IF($NP$14="Single_Point",IF(206=$NR$14,$NN$14,0),IF($NP$14="Bell_Curve",$NN$14*(206-$NR$14+1)*($NS$14-206+1)/$NU$14,$NN$14/$NT$14)),0)</f>
        <v/>
      </c>
      <c r="HC14" s="228">
        <f>IF(AND(207&gt;=$NR$14,207&lt;=$NS$14),IF($NP$14="Single_Point",IF(207=$NR$14,$NN$14,0),IF($NP$14="Bell_Curve",$NN$14*(207-$NR$14+1)*($NS$14-207+1)/$NU$14,$NN$14/$NT$14)),0)</f>
        <v/>
      </c>
      <c r="HD14" s="228">
        <f>IF(AND(208&gt;=$NR$14,208&lt;=$NS$14),IF($NP$14="Single_Point",IF(208=$NR$14,$NN$14,0),IF($NP$14="Bell_Curve",$NN$14*(208-$NR$14+1)*($NS$14-208+1)/$NU$14,$NN$14/$NT$14)),0)</f>
        <v/>
      </c>
      <c r="HE14" s="228">
        <f>IF(AND(209&gt;=$NR$14,209&lt;=$NS$14),IF($NP$14="Single_Point",IF(209=$NR$14,$NN$14,0),IF($NP$14="Bell_Curve",$NN$14*(209-$NR$14+1)*($NS$14-209+1)/$NU$14,$NN$14/$NT$14)),0)</f>
        <v/>
      </c>
      <c r="HF14" s="228">
        <f>IF(AND(210&gt;=$NR$14,210&lt;=$NS$14),IF($NP$14="Single_Point",IF(210=$NR$14,$NN$14,0),IF($NP$14="Bell_Curve",$NN$14*(210-$NR$14+1)*($NS$14-210+1)/$NU$14,$NN$14/$NT$14)),0)</f>
        <v/>
      </c>
      <c r="HG14" s="228">
        <f>IF(AND(211&gt;=$NR$14,211&lt;=$NS$14),IF($NP$14="Single_Point",IF(211=$NR$14,$NN$14,0),IF($NP$14="Bell_Curve",$NN$14*(211-$NR$14+1)*($NS$14-211+1)/$NU$14,$NN$14/$NT$14)),0)</f>
        <v/>
      </c>
      <c r="HH14" s="228">
        <f>IF(AND(212&gt;=$NR$14,212&lt;=$NS$14),IF($NP$14="Single_Point",IF(212=$NR$14,$NN$14,0),IF($NP$14="Bell_Curve",$NN$14*(212-$NR$14+1)*($NS$14-212+1)/$NU$14,$NN$14/$NT$14)),0)</f>
        <v/>
      </c>
      <c r="HI14" s="228">
        <f>IF(AND(213&gt;=$NR$14,213&lt;=$NS$14),IF($NP$14="Single_Point",IF(213=$NR$14,$NN$14,0),IF($NP$14="Bell_Curve",$NN$14*(213-$NR$14+1)*($NS$14-213+1)/$NU$14,$NN$14/$NT$14)),0)</f>
        <v/>
      </c>
      <c r="HJ14" s="228">
        <f>IF(AND(214&gt;=$NR$14,214&lt;=$NS$14),IF($NP$14="Single_Point",IF(214=$NR$14,$NN$14,0),IF($NP$14="Bell_Curve",$NN$14*(214-$NR$14+1)*($NS$14-214+1)/$NU$14,$NN$14/$NT$14)),0)</f>
        <v/>
      </c>
      <c r="HK14" s="228">
        <f>IF(AND(215&gt;=$NR$14,215&lt;=$NS$14),IF($NP$14="Single_Point",IF(215=$NR$14,$NN$14,0),IF($NP$14="Bell_Curve",$NN$14*(215-$NR$14+1)*($NS$14-215+1)/$NU$14,$NN$14/$NT$14)),0)</f>
        <v/>
      </c>
      <c r="HL14" s="228">
        <f>IF(AND(216&gt;=$NR$14,216&lt;=$NS$14),IF($NP$14="Single_Point",IF(216=$NR$14,$NN$14,0),IF($NP$14="Bell_Curve",$NN$14*(216-$NR$14+1)*($NS$14-216+1)/$NU$14,$NN$14/$NT$14)),0)</f>
        <v/>
      </c>
      <c r="HM14" s="228">
        <f>IF(AND(217&gt;=$NR$14,217&lt;=$NS$14),IF($NP$14="Single_Point",IF(217=$NR$14,$NN$14,0),IF($NP$14="Bell_Curve",$NN$14*(217-$NR$14+1)*($NS$14-217+1)/$NU$14,$NN$14/$NT$14)),0)</f>
        <v/>
      </c>
      <c r="HN14" s="228">
        <f>IF(AND(218&gt;=$NR$14,218&lt;=$NS$14),IF($NP$14="Single_Point",IF(218=$NR$14,$NN$14,0),IF($NP$14="Bell_Curve",$NN$14*(218-$NR$14+1)*($NS$14-218+1)/$NU$14,$NN$14/$NT$14)),0)</f>
        <v/>
      </c>
      <c r="HO14" s="228">
        <f>IF(AND(219&gt;=$NR$14,219&lt;=$NS$14),IF($NP$14="Single_Point",IF(219=$NR$14,$NN$14,0),IF($NP$14="Bell_Curve",$NN$14*(219-$NR$14+1)*($NS$14-219+1)/$NU$14,$NN$14/$NT$14)),0)</f>
        <v/>
      </c>
      <c r="HP14" s="228">
        <f>IF(AND(220&gt;=$NR$14,220&lt;=$NS$14),IF($NP$14="Single_Point",IF(220=$NR$14,$NN$14,0),IF($NP$14="Bell_Curve",$NN$14*(220-$NR$14+1)*($NS$14-220+1)/$NU$14,$NN$14/$NT$14)),0)</f>
        <v/>
      </c>
      <c r="HQ14" s="228">
        <f>IF(AND(221&gt;=$NR$14,221&lt;=$NS$14),IF($NP$14="Single_Point",IF(221=$NR$14,$NN$14,0),IF($NP$14="Bell_Curve",$NN$14*(221-$NR$14+1)*($NS$14-221+1)/$NU$14,$NN$14/$NT$14)),0)</f>
        <v/>
      </c>
      <c r="HR14" s="228">
        <f>IF(AND(222&gt;=$NR$14,222&lt;=$NS$14),IF($NP$14="Single_Point",IF(222=$NR$14,$NN$14,0),IF($NP$14="Bell_Curve",$NN$14*(222-$NR$14+1)*($NS$14-222+1)/$NU$14,$NN$14/$NT$14)),0)</f>
        <v/>
      </c>
      <c r="HS14" s="228">
        <f>IF(AND(223&gt;=$NR$14,223&lt;=$NS$14),IF($NP$14="Single_Point",IF(223=$NR$14,$NN$14,0),IF($NP$14="Bell_Curve",$NN$14*(223-$NR$14+1)*($NS$14-223+1)/$NU$14,$NN$14/$NT$14)),0)</f>
        <v/>
      </c>
      <c r="HT14" s="228">
        <f>IF(AND(224&gt;=$NR$14,224&lt;=$NS$14),IF($NP$14="Single_Point",IF(224=$NR$14,$NN$14,0),IF($NP$14="Bell_Curve",$NN$14*(224-$NR$14+1)*($NS$14-224+1)/$NU$14,$NN$14/$NT$14)),0)</f>
        <v/>
      </c>
      <c r="HU14" s="228">
        <f>IF(AND(225&gt;=$NR$14,225&lt;=$NS$14),IF($NP$14="Single_Point",IF(225=$NR$14,$NN$14,0),IF($NP$14="Bell_Curve",$NN$14*(225-$NR$14+1)*($NS$14-225+1)/$NU$14,$NN$14/$NT$14)),0)</f>
        <v/>
      </c>
      <c r="HV14" s="228">
        <f>IF(AND(226&gt;=$NR$14,226&lt;=$NS$14),IF($NP$14="Single_Point",IF(226=$NR$14,$NN$14,0),IF($NP$14="Bell_Curve",$NN$14*(226-$NR$14+1)*($NS$14-226+1)/$NU$14,$NN$14/$NT$14)),0)</f>
        <v/>
      </c>
      <c r="HW14" s="228">
        <f>IF(AND(227&gt;=$NR$14,227&lt;=$NS$14),IF($NP$14="Single_Point",IF(227=$NR$14,$NN$14,0),IF($NP$14="Bell_Curve",$NN$14*(227-$NR$14+1)*($NS$14-227+1)/$NU$14,$NN$14/$NT$14)),0)</f>
        <v/>
      </c>
      <c r="HX14" s="228">
        <f>IF(AND(228&gt;=$NR$14,228&lt;=$NS$14),IF($NP$14="Single_Point",IF(228=$NR$14,$NN$14,0),IF($NP$14="Bell_Curve",$NN$14*(228-$NR$14+1)*($NS$14-228+1)/$NU$14,$NN$14/$NT$14)),0)</f>
        <v/>
      </c>
      <c r="HY14" s="228">
        <f>IF(AND(229&gt;=$NR$14,229&lt;=$NS$14),IF($NP$14="Single_Point",IF(229=$NR$14,$NN$14,0),IF($NP$14="Bell_Curve",$NN$14*(229-$NR$14+1)*($NS$14-229+1)/$NU$14,$NN$14/$NT$14)),0)</f>
        <v/>
      </c>
      <c r="HZ14" s="228">
        <f>IF(AND(230&gt;=$NR$14,230&lt;=$NS$14),IF($NP$14="Single_Point",IF(230=$NR$14,$NN$14,0),IF($NP$14="Bell_Curve",$NN$14*(230-$NR$14+1)*($NS$14-230+1)/$NU$14,$NN$14/$NT$14)),0)</f>
        <v/>
      </c>
      <c r="IA14" s="228">
        <f>IF(AND(231&gt;=$NR$14,231&lt;=$NS$14),IF($NP$14="Single_Point",IF(231=$NR$14,$NN$14,0),IF($NP$14="Bell_Curve",$NN$14*(231-$NR$14+1)*($NS$14-231+1)/$NU$14,$NN$14/$NT$14)),0)</f>
        <v/>
      </c>
      <c r="IB14" s="228">
        <f>IF(AND(232&gt;=$NR$14,232&lt;=$NS$14),IF($NP$14="Single_Point",IF(232=$NR$14,$NN$14,0),IF($NP$14="Bell_Curve",$NN$14*(232-$NR$14+1)*($NS$14-232+1)/$NU$14,$NN$14/$NT$14)),0)</f>
        <v/>
      </c>
      <c r="IC14" s="228">
        <f>IF(AND(233&gt;=$NR$14,233&lt;=$NS$14),IF($NP$14="Single_Point",IF(233=$NR$14,$NN$14,0),IF($NP$14="Bell_Curve",$NN$14*(233-$NR$14+1)*($NS$14-233+1)/$NU$14,$NN$14/$NT$14)),0)</f>
        <v/>
      </c>
      <c r="ID14" s="228">
        <f>IF(AND(234&gt;=$NR$14,234&lt;=$NS$14),IF($NP$14="Single_Point",IF(234=$NR$14,$NN$14,0),IF($NP$14="Bell_Curve",$NN$14*(234-$NR$14+1)*($NS$14-234+1)/$NU$14,$NN$14/$NT$14)),0)</f>
        <v/>
      </c>
      <c r="IE14" s="228">
        <f>IF(AND(235&gt;=$NR$14,235&lt;=$NS$14),IF($NP$14="Single_Point",IF(235=$NR$14,$NN$14,0),IF($NP$14="Bell_Curve",$NN$14*(235-$NR$14+1)*($NS$14-235+1)/$NU$14,$NN$14/$NT$14)),0)</f>
        <v/>
      </c>
      <c r="IF14" s="228">
        <f>IF(AND(236&gt;=$NR$14,236&lt;=$NS$14),IF($NP$14="Single_Point",IF(236=$NR$14,$NN$14,0),IF($NP$14="Bell_Curve",$NN$14*(236-$NR$14+1)*($NS$14-236+1)/$NU$14,$NN$14/$NT$14)),0)</f>
        <v/>
      </c>
      <c r="IG14" s="228">
        <f>IF(AND(237&gt;=$NR$14,237&lt;=$NS$14),IF($NP$14="Single_Point",IF(237=$NR$14,$NN$14,0),IF($NP$14="Bell_Curve",$NN$14*(237-$NR$14+1)*($NS$14-237+1)/$NU$14,$NN$14/$NT$14)),0)</f>
        <v/>
      </c>
      <c r="IH14" s="228">
        <f>IF(AND(238&gt;=$NR$14,238&lt;=$NS$14),IF($NP$14="Single_Point",IF(238=$NR$14,$NN$14,0),IF($NP$14="Bell_Curve",$NN$14*(238-$NR$14+1)*($NS$14-238+1)/$NU$14,$NN$14/$NT$14)),0)</f>
        <v/>
      </c>
      <c r="II14" s="228">
        <f>IF(AND(239&gt;=$NR$14,239&lt;=$NS$14),IF($NP$14="Single_Point",IF(239=$NR$14,$NN$14,0),IF($NP$14="Bell_Curve",$NN$14*(239-$NR$14+1)*($NS$14-239+1)/$NU$14,$NN$14/$NT$14)),0)</f>
        <v/>
      </c>
      <c r="IJ14" s="228">
        <f>IF(AND(240&gt;=$NR$14,240&lt;=$NS$14),IF($NP$14="Single_Point",IF(240=$NR$14,$NN$14,0),IF($NP$14="Bell_Curve",$NN$14*(240-$NR$14+1)*($NS$14-240+1)/$NU$14,$NN$14/$NT$14)),0)</f>
        <v/>
      </c>
      <c r="IK14" s="228">
        <f>IF(AND(241&gt;=$NR$14,241&lt;=$NS$14),IF($NP$14="Single_Point",IF(241=$NR$14,$NN$14,0),IF($NP$14="Bell_Curve",$NN$14*(241-$NR$14+1)*($NS$14-241+1)/$NU$14,$NN$14/$NT$14)),0)</f>
        <v/>
      </c>
      <c r="IL14" s="228">
        <f>IF(AND(242&gt;=$NR$14,242&lt;=$NS$14),IF($NP$14="Single_Point",IF(242=$NR$14,$NN$14,0),IF($NP$14="Bell_Curve",$NN$14*(242-$NR$14+1)*($NS$14-242+1)/$NU$14,$NN$14/$NT$14)),0)</f>
        <v/>
      </c>
      <c r="IM14" s="228">
        <f>IF(AND(243&gt;=$NR$14,243&lt;=$NS$14),IF($NP$14="Single_Point",IF(243=$NR$14,$NN$14,0),IF($NP$14="Bell_Curve",$NN$14*(243-$NR$14+1)*($NS$14-243+1)/$NU$14,$NN$14/$NT$14)),0)</f>
        <v/>
      </c>
      <c r="IN14" s="228">
        <f>IF(AND(244&gt;=$NR$14,244&lt;=$NS$14),IF($NP$14="Single_Point",IF(244=$NR$14,$NN$14,0),IF($NP$14="Bell_Curve",$NN$14*(244-$NR$14+1)*($NS$14-244+1)/$NU$14,$NN$14/$NT$14)),0)</f>
        <v/>
      </c>
      <c r="IO14" s="228">
        <f>IF(AND(245&gt;=$NR$14,245&lt;=$NS$14),IF($NP$14="Single_Point",IF(245=$NR$14,$NN$14,0),IF($NP$14="Bell_Curve",$NN$14*(245-$NR$14+1)*($NS$14-245+1)/$NU$14,$NN$14/$NT$14)),0)</f>
        <v/>
      </c>
      <c r="IP14" s="228">
        <f>IF(AND(246&gt;=$NR$14,246&lt;=$NS$14),IF($NP$14="Single_Point",IF(246=$NR$14,$NN$14,0),IF($NP$14="Bell_Curve",$NN$14*(246-$NR$14+1)*($NS$14-246+1)/$NU$14,$NN$14/$NT$14)),0)</f>
        <v/>
      </c>
      <c r="IQ14" s="228">
        <f>IF(AND(247&gt;=$NR$14,247&lt;=$NS$14),IF($NP$14="Single_Point",IF(247=$NR$14,$NN$14,0),IF($NP$14="Bell_Curve",$NN$14*(247-$NR$14+1)*($NS$14-247+1)/$NU$14,$NN$14/$NT$14)),0)</f>
        <v/>
      </c>
      <c r="IR14" s="228">
        <f>IF(AND(248&gt;=$NR$14,248&lt;=$NS$14),IF($NP$14="Single_Point",IF(248=$NR$14,$NN$14,0),IF($NP$14="Bell_Curve",$NN$14*(248-$NR$14+1)*($NS$14-248+1)/$NU$14,$NN$14/$NT$14)),0)</f>
        <v/>
      </c>
      <c r="IS14" s="228">
        <f>IF(AND(249&gt;=$NR$14,249&lt;=$NS$14),IF($NP$14="Single_Point",IF(249=$NR$14,$NN$14,0),IF($NP$14="Bell_Curve",$NN$14*(249-$NR$14+1)*($NS$14-249+1)/$NU$14,$NN$14/$NT$14)),0)</f>
        <v/>
      </c>
      <c r="IT14" s="228">
        <f>IF(AND(250&gt;=$NR$14,250&lt;=$NS$14),IF($NP$14="Single_Point",IF(250=$NR$14,$NN$14,0),IF($NP$14="Bell_Curve",$NN$14*(250-$NR$14+1)*($NS$14-250+1)/$NU$14,$NN$14/$NT$14)),0)</f>
        <v/>
      </c>
      <c r="IU14" s="228">
        <f>IF(AND(251&gt;=$NR$14,251&lt;=$NS$14),IF($NP$14="Single_Point",IF(251=$NR$14,$NN$14,0),IF($NP$14="Bell_Curve",$NN$14*(251-$NR$14+1)*($NS$14-251+1)/$NU$14,$NN$14/$NT$14)),0)</f>
        <v/>
      </c>
      <c r="IV14" s="228">
        <f>IF(AND(252&gt;=$NR$14,252&lt;=$NS$14),IF($NP$14="Single_Point",IF(252=$NR$14,$NN$14,0),IF($NP$14="Bell_Curve",$NN$14*(252-$NR$14+1)*($NS$14-252+1)/$NU$14,$NN$14/$NT$14)),0)</f>
        <v/>
      </c>
      <c r="IW14" s="228">
        <f>IF(AND(253&gt;=$NR$14,253&lt;=$NS$14),IF($NP$14="Single_Point",IF(253=$NR$14,$NN$14,0),IF($NP$14="Bell_Curve",$NN$14*(253-$NR$14+1)*($NS$14-253+1)/$NU$14,$NN$14/$NT$14)),0)</f>
        <v/>
      </c>
      <c r="IX14" s="228">
        <f>IF(AND(254&gt;=$NR$14,254&lt;=$NS$14),IF($NP$14="Single_Point",IF(254=$NR$14,$NN$14,0),IF($NP$14="Bell_Curve",$NN$14*(254-$NR$14+1)*($NS$14-254+1)/$NU$14,$NN$14/$NT$14)),0)</f>
        <v/>
      </c>
      <c r="IY14" s="228">
        <f>IF(AND(255&gt;=$NR$14,255&lt;=$NS$14),IF($NP$14="Single_Point",IF(255=$NR$14,$NN$14,0),IF($NP$14="Bell_Curve",$NN$14*(255-$NR$14+1)*($NS$14-255+1)/$NU$14,$NN$14/$NT$14)),0)</f>
        <v/>
      </c>
      <c r="IZ14" s="228">
        <f>IF(AND(256&gt;=$NR$14,256&lt;=$NS$14),IF($NP$14="Single_Point",IF(256=$NR$14,$NN$14,0),IF($NP$14="Bell_Curve",$NN$14*(256-$NR$14+1)*($NS$14-256+1)/$NU$14,$NN$14/$NT$14)),0)</f>
        <v/>
      </c>
      <c r="JA14" s="228">
        <f>IF(AND(257&gt;=$NR$14,257&lt;=$NS$14),IF($NP$14="Single_Point",IF(257=$NR$14,$NN$14,0),IF($NP$14="Bell_Curve",$NN$14*(257-$NR$14+1)*($NS$14-257+1)/$NU$14,$NN$14/$NT$14)),0)</f>
        <v/>
      </c>
      <c r="JB14" s="228">
        <f>IF(AND(258&gt;=$NR$14,258&lt;=$NS$14),IF($NP$14="Single_Point",IF(258=$NR$14,$NN$14,0),IF($NP$14="Bell_Curve",$NN$14*(258-$NR$14+1)*($NS$14-258+1)/$NU$14,$NN$14/$NT$14)),0)</f>
        <v/>
      </c>
      <c r="JC14" s="228">
        <f>IF(AND(259&gt;=$NR$14,259&lt;=$NS$14),IF($NP$14="Single_Point",IF(259=$NR$14,$NN$14,0),IF($NP$14="Bell_Curve",$NN$14*(259-$NR$14+1)*($NS$14-259+1)/$NU$14,$NN$14/$NT$14)),0)</f>
        <v/>
      </c>
      <c r="JD14" s="228">
        <f>IF(AND(260&gt;=$NR$14,260&lt;=$NS$14),IF($NP$14="Single_Point",IF(260=$NR$14,$NN$14,0),IF($NP$14="Bell_Curve",$NN$14*(260-$NR$14+1)*($NS$14-260+1)/$NU$14,$NN$14/$NT$14)),0)</f>
        <v/>
      </c>
      <c r="JE14" s="228">
        <f>IF(AND(261&gt;=$NR$14,261&lt;=$NS$14),IF($NP$14="Single_Point",IF(261=$NR$14,$NN$14,0),IF($NP$14="Bell_Curve",$NN$14*(261-$NR$14+1)*($NS$14-261+1)/$NU$14,$NN$14/$NT$14)),0)</f>
        <v/>
      </c>
      <c r="JF14" s="228">
        <f>IF(AND(262&gt;=$NR$14,262&lt;=$NS$14),IF($NP$14="Single_Point",IF(262=$NR$14,$NN$14,0),IF($NP$14="Bell_Curve",$NN$14*(262-$NR$14+1)*($NS$14-262+1)/$NU$14,$NN$14/$NT$14)),0)</f>
        <v/>
      </c>
      <c r="JG14" s="228">
        <f>IF(AND(263&gt;=$NR$14,263&lt;=$NS$14),IF($NP$14="Single_Point",IF(263=$NR$14,$NN$14,0),IF($NP$14="Bell_Curve",$NN$14*(263-$NR$14+1)*($NS$14-263+1)/$NU$14,$NN$14/$NT$14)),0)</f>
        <v/>
      </c>
      <c r="JH14" s="228">
        <f>IF(AND(264&gt;=$NR$14,264&lt;=$NS$14),IF($NP$14="Single_Point",IF(264=$NR$14,$NN$14,0),IF($NP$14="Bell_Curve",$NN$14*(264-$NR$14+1)*($NS$14-264+1)/$NU$14,$NN$14/$NT$14)),0)</f>
        <v/>
      </c>
      <c r="JI14" s="228">
        <f>IF(AND(265&gt;=$NR$14,265&lt;=$NS$14),IF($NP$14="Single_Point",IF(265=$NR$14,$NN$14,0),IF($NP$14="Bell_Curve",$NN$14*(265-$NR$14+1)*($NS$14-265+1)/$NU$14,$NN$14/$NT$14)),0)</f>
        <v/>
      </c>
      <c r="JJ14" s="228">
        <f>IF(AND(266&gt;=$NR$14,266&lt;=$NS$14),IF($NP$14="Single_Point",IF(266=$NR$14,$NN$14,0),IF($NP$14="Bell_Curve",$NN$14*(266-$NR$14+1)*($NS$14-266+1)/$NU$14,$NN$14/$NT$14)),0)</f>
        <v/>
      </c>
      <c r="JK14" s="228">
        <f>IF(AND(267&gt;=$NR$14,267&lt;=$NS$14),IF($NP$14="Single_Point",IF(267=$NR$14,$NN$14,0),IF($NP$14="Bell_Curve",$NN$14*(267-$NR$14+1)*($NS$14-267+1)/$NU$14,$NN$14/$NT$14)),0)</f>
        <v/>
      </c>
      <c r="JL14" s="228">
        <f>IF(AND(268&gt;=$NR$14,268&lt;=$NS$14),IF($NP$14="Single_Point",IF(268=$NR$14,$NN$14,0),IF($NP$14="Bell_Curve",$NN$14*(268-$NR$14+1)*($NS$14-268+1)/$NU$14,$NN$14/$NT$14)),0)</f>
        <v/>
      </c>
      <c r="JM14" s="228">
        <f>IF(AND(269&gt;=$NR$14,269&lt;=$NS$14),IF($NP$14="Single_Point",IF(269=$NR$14,$NN$14,0),IF($NP$14="Bell_Curve",$NN$14*(269-$NR$14+1)*($NS$14-269+1)/$NU$14,$NN$14/$NT$14)),0)</f>
        <v/>
      </c>
      <c r="JN14" s="228">
        <f>IF(AND(270&gt;=$NR$14,270&lt;=$NS$14),IF($NP$14="Single_Point",IF(270=$NR$14,$NN$14,0),IF($NP$14="Bell_Curve",$NN$14*(270-$NR$14+1)*($NS$14-270+1)/$NU$14,$NN$14/$NT$14)),0)</f>
        <v/>
      </c>
      <c r="JO14" s="228">
        <f>IF(AND(271&gt;=$NR$14,271&lt;=$NS$14),IF($NP$14="Single_Point",IF(271=$NR$14,$NN$14,0),IF($NP$14="Bell_Curve",$NN$14*(271-$NR$14+1)*($NS$14-271+1)/$NU$14,$NN$14/$NT$14)),0)</f>
        <v/>
      </c>
      <c r="JP14" s="228">
        <f>IF(AND(272&gt;=$NR$14,272&lt;=$NS$14),IF($NP$14="Single_Point",IF(272=$NR$14,$NN$14,0),IF($NP$14="Bell_Curve",$NN$14*(272-$NR$14+1)*($NS$14-272+1)/$NU$14,$NN$14/$NT$14)),0)</f>
        <v/>
      </c>
      <c r="JQ14" s="228">
        <f>IF(AND(273&gt;=$NR$14,273&lt;=$NS$14),IF($NP$14="Single_Point",IF(273=$NR$14,$NN$14,0),IF($NP$14="Bell_Curve",$NN$14*(273-$NR$14+1)*($NS$14-273+1)/$NU$14,$NN$14/$NT$14)),0)</f>
        <v/>
      </c>
      <c r="JR14" s="228">
        <f>IF(AND(274&gt;=$NR$14,274&lt;=$NS$14),IF($NP$14="Single_Point",IF(274=$NR$14,$NN$14,0),IF($NP$14="Bell_Curve",$NN$14*(274-$NR$14+1)*($NS$14-274+1)/$NU$14,$NN$14/$NT$14)),0)</f>
        <v/>
      </c>
      <c r="JS14" s="228">
        <f>IF(AND(275&gt;=$NR$14,275&lt;=$NS$14),IF($NP$14="Single_Point",IF(275=$NR$14,$NN$14,0),IF($NP$14="Bell_Curve",$NN$14*(275-$NR$14+1)*($NS$14-275+1)/$NU$14,$NN$14/$NT$14)),0)</f>
        <v/>
      </c>
      <c r="JT14" s="228">
        <f>IF(AND(276&gt;=$NR$14,276&lt;=$NS$14),IF($NP$14="Single_Point",IF(276=$NR$14,$NN$14,0),IF($NP$14="Bell_Curve",$NN$14*(276-$NR$14+1)*($NS$14-276+1)/$NU$14,$NN$14/$NT$14)),0)</f>
        <v/>
      </c>
      <c r="JU14" s="228">
        <f>IF(AND(277&gt;=$NR$14,277&lt;=$NS$14),IF($NP$14="Single_Point",IF(277=$NR$14,$NN$14,0),IF($NP$14="Bell_Curve",$NN$14*(277-$NR$14+1)*($NS$14-277+1)/$NU$14,$NN$14/$NT$14)),0)</f>
        <v/>
      </c>
      <c r="JV14" s="228">
        <f>IF(AND(278&gt;=$NR$14,278&lt;=$NS$14),IF($NP$14="Single_Point",IF(278=$NR$14,$NN$14,0),IF($NP$14="Bell_Curve",$NN$14*(278-$NR$14+1)*($NS$14-278+1)/$NU$14,$NN$14/$NT$14)),0)</f>
        <v/>
      </c>
      <c r="JW14" s="228">
        <f>IF(AND(279&gt;=$NR$14,279&lt;=$NS$14),IF($NP$14="Single_Point",IF(279=$NR$14,$NN$14,0),IF($NP$14="Bell_Curve",$NN$14*(279-$NR$14+1)*($NS$14-279+1)/$NU$14,$NN$14/$NT$14)),0)</f>
        <v/>
      </c>
      <c r="JX14" s="228">
        <f>IF(AND(280&gt;=$NR$14,280&lt;=$NS$14),IF($NP$14="Single_Point",IF(280=$NR$14,$NN$14,0),IF($NP$14="Bell_Curve",$NN$14*(280-$NR$14+1)*($NS$14-280+1)/$NU$14,$NN$14/$NT$14)),0)</f>
        <v/>
      </c>
      <c r="JY14" s="228">
        <f>IF(AND(281&gt;=$NR$14,281&lt;=$NS$14),IF($NP$14="Single_Point",IF(281=$NR$14,$NN$14,0),IF($NP$14="Bell_Curve",$NN$14*(281-$NR$14+1)*($NS$14-281+1)/$NU$14,$NN$14/$NT$14)),0)</f>
        <v/>
      </c>
      <c r="JZ14" s="228">
        <f>IF(AND(282&gt;=$NR$14,282&lt;=$NS$14),IF($NP$14="Single_Point",IF(282=$NR$14,$NN$14,0),IF($NP$14="Bell_Curve",$NN$14*(282-$NR$14+1)*($NS$14-282+1)/$NU$14,$NN$14/$NT$14)),0)</f>
        <v/>
      </c>
      <c r="KA14" s="228">
        <f>IF(AND(283&gt;=$NR$14,283&lt;=$NS$14),IF($NP$14="Single_Point",IF(283=$NR$14,$NN$14,0),IF($NP$14="Bell_Curve",$NN$14*(283-$NR$14+1)*($NS$14-283+1)/$NU$14,$NN$14/$NT$14)),0)</f>
        <v/>
      </c>
      <c r="KB14" s="228">
        <f>IF(AND(284&gt;=$NR$14,284&lt;=$NS$14),IF($NP$14="Single_Point",IF(284=$NR$14,$NN$14,0),IF($NP$14="Bell_Curve",$NN$14*(284-$NR$14+1)*($NS$14-284+1)/$NU$14,$NN$14/$NT$14)),0)</f>
        <v/>
      </c>
      <c r="KC14" s="228">
        <f>IF(AND(285&gt;=$NR$14,285&lt;=$NS$14),IF($NP$14="Single_Point",IF(285=$NR$14,$NN$14,0),IF($NP$14="Bell_Curve",$NN$14*(285-$NR$14+1)*($NS$14-285+1)/$NU$14,$NN$14/$NT$14)),0)</f>
        <v/>
      </c>
      <c r="KD14" s="228">
        <f>IF(AND(286&gt;=$NR$14,286&lt;=$NS$14),IF($NP$14="Single_Point",IF(286=$NR$14,$NN$14,0),IF($NP$14="Bell_Curve",$NN$14*(286-$NR$14+1)*($NS$14-286+1)/$NU$14,$NN$14/$NT$14)),0)</f>
        <v/>
      </c>
      <c r="KE14" s="228">
        <f>IF(AND(287&gt;=$NR$14,287&lt;=$NS$14),IF($NP$14="Single_Point",IF(287=$NR$14,$NN$14,0),IF($NP$14="Bell_Curve",$NN$14*(287-$NR$14+1)*($NS$14-287+1)/$NU$14,$NN$14/$NT$14)),0)</f>
        <v/>
      </c>
      <c r="KF14" s="228">
        <f>IF(AND(288&gt;=$NR$14,288&lt;=$NS$14),IF($NP$14="Single_Point",IF(288=$NR$14,$NN$14,0),IF($NP$14="Bell_Curve",$NN$14*(288-$NR$14+1)*($NS$14-288+1)/$NU$14,$NN$14/$NT$14)),0)</f>
        <v/>
      </c>
      <c r="KG14" s="228">
        <f>IF(AND(289&gt;=$NR$14,289&lt;=$NS$14),IF($NP$14="Single_Point",IF(289=$NR$14,$NN$14,0),IF($NP$14="Bell_Curve",$NN$14*(289-$NR$14+1)*($NS$14-289+1)/$NU$14,$NN$14/$NT$14)),0)</f>
        <v/>
      </c>
      <c r="KH14" s="228">
        <f>IF(AND(290&gt;=$NR$14,290&lt;=$NS$14),IF($NP$14="Single_Point",IF(290=$NR$14,$NN$14,0),IF($NP$14="Bell_Curve",$NN$14*(290-$NR$14+1)*($NS$14-290+1)/$NU$14,$NN$14/$NT$14)),0)</f>
        <v/>
      </c>
      <c r="KI14" s="228">
        <f>IF(AND(291&gt;=$NR$14,291&lt;=$NS$14),IF($NP$14="Single_Point",IF(291=$NR$14,$NN$14,0),IF($NP$14="Bell_Curve",$NN$14*(291-$NR$14+1)*($NS$14-291+1)/$NU$14,$NN$14/$NT$14)),0)</f>
        <v/>
      </c>
      <c r="KJ14" s="228">
        <f>IF(AND(292&gt;=$NR$14,292&lt;=$NS$14),IF($NP$14="Single_Point",IF(292=$NR$14,$NN$14,0),IF($NP$14="Bell_Curve",$NN$14*(292-$NR$14+1)*($NS$14-292+1)/$NU$14,$NN$14/$NT$14)),0)</f>
        <v/>
      </c>
      <c r="KK14" s="228">
        <f>IF(AND(293&gt;=$NR$14,293&lt;=$NS$14),IF($NP$14="Single_Point",IF(293=$NR$14,$NN$14,0),IF($NP$14="Bell_Curve",$NN$14*(293-$NR$14+1)*($NS$14-293+1)/$NU$14,$NN$14/$NT$14)),0)</f>
        <v/>
      </c>
      <c r="KL14" s="228">
        <f>IF(AND(294&gt;=$NR$14,294&lt;=$NS$14),IF($NP$14="Single_Point",IF(294=$NR$14,$NN$14,0),IF($NP$14="Bell_Curve",$NN$14*(294-$NR$14+1)*($NS$14-294+1)/$NU$14,$NN$14/$NT$14)),0)</f>
        <v/>
      </c>
      <c r="KM14" s="228">
        <f>IF(AND(295&gt;=$NR$14,295&lt;=$NS$14),IF($NP$14="Single_Point",IF(295=$NR$14,$NN$14,0),IF($NP$14="Bell_Curve",$NN$14*(295-$NR$14+1)*($NS$14-295+1)/$NU$14,$NN$14/$NT$14)),0)</f>
        <v/>
      </c>
      <c r="KN14" s="228">
        <f>IF(AND(296&gt;=$NR$14,296&lt;=$NS$14),IF($NP$14="Single_Point",IF(296=$NR$14,$NN$14,0),IF($NP$14="Bell_Curve",$NN$14*(296-$NR$14+1)*($NS$14-296+1)/$NU$14,$NN$14/$NT$14)),0)</f>
        <v/>
      </c>
      <c r="KO14" s="228">
        <f>IF(AND(297&gt;=$NR$14,297&lt;=$NS$14),IF($NP$14="Single_Point",IF(297=$NR$14,$NN$14,0),IF($NP$14="Bell_Curve",$NN$14*(297-$NR$14+1)*($NS$14-297+1)/$NU$14,$NN$14/$NT$14)),0)</f>
        <v/>
      </c>
      <c r="KP14" s="228">
        <f>IF(AND(298&gt;=$NR$14,298&lt;=$NS$14),IF($NP$14="Single_Point",IF(298=$NR$14,$NN$14,0),IF($NP$14="Bell_Curve",$NN$14*(298-$NR$14+1)*($NS$14-298+1)/$NU$14,$NN$14/$NT$14)),0)</f>
        <v/>
      </c>
      <c r="KQ14" s="228">
        <f>IF(AND(299&gt;=$NR$14,299&lt;=$NS$14),IF($NP$14="Single_Point",IF(299=$NR$14,$NN$14,0),IF($NP$14="Bell_Curve",$NN$14*(299-$NR$14+1)*($NS$14-299+1)/$NU$14,$NN$14/$NT$14)),0)</f>
        <v/>
      </c>
      <c r="KR14" s="228">
        <f>IF(AND(300&gt;=$NR$14,300&lt;=$NS$14),IF($NP$14="Single_Point",IF(300=$NR$14,$NN$14,0),IF($NP$14="Bell_Curve",$NN$14*(300-$NR$14+1)*($NS$14-300+1)/$NU$14,$NN$14/$NT$14)),0)</f>
        <v/>
      </c>
      <c r="KS14" s="228">
        <f>IF(AND(301&gt;=$NR$14,301&lt;=$NS$14),IF($NP$14="Single_Point",IF(301=$NR$14,$NN$14,0),IF($NP$14="Bell_Curve",$NN$14*(301-$NR$14+1)*($NS$14-301+1)/$NU$14,$NN$14/$NT$14)),0)</f>
        <v/>
      </c>
      <c r="KT14" s="228">
        <f>IF(AND(302&gt;=$NR$14,302&lt;=$NS$14),IF($NP$14="Single_Point",IF(302=$NR$14,$NN$14,0),IF($NP$14="Bell_Curve",$NN$14*(302-$NR$14+1)*($NS$14-302+1)/$NU$14,$NN$14/$NT$14)),0)</f>
        <v/>
      </c>
      <c r="KU14" s="228">
        <f>IF(AND(303&gt;=$NR$14,303&lt;=$NS$14),IF($NP$14="Single_Point",IF(303=$NR$14,$NN$14,0),IF($NP$14="Bell_Curve",$NN$14*(303-$NR$14+1)*($NS$14-303+1)/$NU$14,$NN$14/$NT$14)),0)</f>
        <v/>
      </c>
      <c r="KV14" s="228">
        <f>IF(AND(304&gt;=$NR$14,304&lt;=$NS$14),IF($NP$14="Single_Point",IF(304=$NR$14,$NN$14,0),IF($NP$14="Bell_Curve",$NN$14*(304-$NR$14+1)*($NS$14-304+1)/$NU$14,$NN$14/$NT$14)),0)</f>
        <v/>
      </c>
      <c r="KW14" s="228">
        <f>IF(AND(305&gt;=$NR$14,305&lt;=$NS$14),IF($NP$14="Single_Point",IF(305=$NR$14,$NN$14,0),IF($NP$14="Bell_Curve",$NN$14*(305-$NR$14+1)*($NS$14-305+1)/$NU$14,$NN$14/$NT$14)),0)</f>
        <v/>
      </c>
      <c r="KX14" s="228">
        <f>IF(AND(306&gt;=$NR$14,306&lt;=$NS$14),IF($NP$14="Single_Point",IF(306=$NR$14,$NN$14,0),IF($NP$14="Bell_Curve",$NN$14*(306-$NR$14+1)*($NS$14-306+1)/$NU$14,$NN$14/$NT$14)),0)</f>
        <v/>
      </c>
      <c r="KY14" s="228">
        <f>IF(AND(307&gt;=$NR$14,307&lt;=$NS$14),IF($NP$14="Single_Point",IF(307=$NR$14,$NN$14,0),IF($NP$14="Bell_Curve",$NN$14*(307-$NR$14+1)*($NS$14-307+1)/$NU$14,$NN$14/$NT$14)),0)</f>
        <v/>
      </c>
      <c r="KZ14" s="228">
        <f>IF(AND(308&gt;=$NR$14,308&lt;=$NS$14),IF($NP$14="Single_Point",IF(308=$NR$14,$NN$14,0),IF($NP$14="Bell_Curve",$NN$14*(308-$NR$14+1)*($NS$14-308+1)/$NU$14,$NN$14/$NT$14)),0)</f>
        <v/>
      </c>
      <c r="LA14" s="228">
        <f>IF(AND(309&gt;=$NR$14,309&lt;=$NS$14),IF($NP$14="Single_Point",IF(309=$NR$14,$NN$14,0),IF($NP$14="Bell_Curve",$NN$14*(309-$NR$14+1)*($NS$14-309+1)/$NU$14,$NN$14/$NT$14)),0)</f>
        <v/>
      </c>
      <c r="LB14" s="228">
        <f>IF(AND(310&gt;=$NR$14,310&lt;=$NS$14),IF($NP$14="Single_Point",IF(310=$NR$14,$NN$14,0),IF($NP$14="Bell_Curve",$NN$14*(310-$NR$14+1)*($NS$14-310+1)/$NU$14,$NN$14/$NT$14)),0)</f>
        <v/>
      </c>
      <c r="LC14" s="228">
        <f>IF(AND(311&gt;=$NR$14,311&lt;=$NS$14),IF($NP$14="Single_Point",IF(311=$NR$14,$NN$14,0),IF($NP$14="Bell_Curve",$NN$14*(311-$NR$14+1)*($NS$14-311+1)/$NU$14,$NN$14/$NT$14)),0)</f>
        <v/>
      </c>
      <c r="LD14" s="228">
        <f>IF(AND(312&gt;=$NR$14,312&lt;=$NS$14),IF($NP$14="Single_Point",IF(312=$NR$14,$NN$14,0),IF($NP$14="Bell_Curve",$NN$14*(312-$NR$14+1)*($NS$14-312+1)/$NU$14,$NN$14/$NT$14)),0)</f>
        <v/>
      </c>
      <c r="LE14" s="228">
        <f>IF(AND(313&gt;=$NR$14,313&lt;=$NS$14),IF($NP$14="Single_Point",IF(313=$NR$14,$NN$14,0),IF($NP$14="Bell_Curve",$NN$14*(313-$NR$14+1)*($NS$14-313+1)/$NU$14,$NN$14/$NT$14)),0)</f>
        <v/>
      </c>
      <c r="LF14" s="228">
        <f>IF(AND(314&gt;=$NR$14,314&lt;=$NS$14),IF($NP$14="Single_Point",IF(314=$NR$14,$NN$14,0),IF($NP$14="Bell_Curve",$NN$14*(314-$NR$14+1)*($NS$14-314+1)/$NU$14,$NN$14/$NT$14)),0)</f>
        <v/>
      </c>
      <c r="LG14" s="228">
        <f>IF(AND(315&gt;=$NR$14,315&lt;=$NS$14),IF($NP$14="Single_Point",IF(315=$NR$14,$NN$14,0),IF($NP$14="Bell_Curve",$NN$14*(315-$NR$14+1)*($NS$14-315+1)/$NU$14,$NN$14/$NT$14)),0)</f>
        <v/>
      </c>
      <c r="LH14" s="228">
        <f>IF(AND(316&gt;=$NR$14,316&lt;=$NS$14),IF($NP$14="Single_Point",IF(316=$NR$14,$NN$14,0),IF($NP$14="Bell_Curve",$NN$14*(316-$NR$14+1)*($NS$14-316+1)/$NU$14,$NN$14/$NT$14)),0)</f>
        <v/>
      </c>
      <c r="LI14" s="228">
        <f>IF(AND(317&gt;=$NR$14,317&lt;=$NS$14),IF($NP$14="Single_Point",IF(317=$NR$14,$NN$14,0),IF($NP$14="Bell_Curve",$NN$14*(317-$NR$14+1)*($NS$14-317+1)/$NU$14,$NN$14/$NT$14)),0)</f>
        <v/>
      </c>
      <c r="LJ14" s="228">
        <f>IF(AND(318&gt;=$NR$14,318&lt;=$NS$14),IF($NP$14="Single_Point",IF(318=$NR$14,$NN$14,0),IF($NP$14="Bell_Curve",$NN$14*(318-$NR$14+1)*($NS$14-318+1)/$NU$14,$NN$14/$NT$14)),0)</f>
        <v/>
      </c>
      <c r="LK14" s="228">
        <f>IF(AND(319&gt;=$NR$14,319&lt;=$NS$14),IF($NP$14="Single_Point",IF(319=$NR$14,$NN$14,0),IF($NP$14="Bell_Curve",$NN$14*(319-$NR$14+1)*($NS$14-319+1)/$NU$14,$NN$14/$NT$14)),0)</f>
        <v/>
      </c>
      <c r="LL14" s="228">
        <f>IF(AND(320&gt;=$NR$14,320&lt;=$NS$14),IF($NP$14="Single_Point",IF(320=$NR$14,$NN$14,0),IF($NP$14="Bell_Curve",$NN$14*(320-$NR$14+1)*($NS$14-320+1)/$NU$14,$NN$14/$NT$14)),0)</f>
        <v/>
      </c>
      <c r="LM14" s="228">
        <f>IF(AND(321&gt;=$NR$14,321&lt;=$NS$14),IF($NP$14="Single_Point",IF(321=$NR$14,$NN$14,0),IF($NP$14="Bell_Curve",$NN$14*(321-$NR$14+1)*($NS$14-321+1)/$NU$14,$NN$14/$NT$14)),0)</f>
        <v/>
      </c>
      <c r="LN14" s="228">
        <f>IF(AND(322&gt;=$NR$14,322&lt;=$NS$14),IF($NP$14="Single_Point",IF(322=$NR$14,$NN$14,0),IF($NP$14="Bell_Curve",$NN$14*(322-$NR$14+1)*($NS$14-322+1)/$NU$14,$NN$14/$NT$14)),0)</f>
        <v/>
      </c>
      <c r="LO14" s="228">
        <f>IF(AND(323&gt;=$NR$14,323&lt;=$NS$14),IF($NP$14="Single_Point",IF(323=$NR$14,$NN$14,0),IF($NP$14="Bell_Curve",$NN$14*(323-$NR$14+1)*($NS$14-323+1)/$NU$14,$NN$14/$NT$14)),0)</f>
        <v/>
      </c>
      <c r="LP14" s="228">
        <f>IF(AND(324&gt;=$NR$14,324&lt;=$NS$14),IF($NP$14="Single_Point",IF(324=$NR$14,$NN$14,0),IF($NP$14="Bell_Curve",$NN$14*(324-$NR$14+1)*($NS$14-324+1)/$NU$14,$NN$14/$NT$14)),0)</f>
        <v/>
      </c>
      <c r="LQ14" s="228">
        <f>IF(AND(325&gt;=$NR$14,325&lt;=$NS$14),IF($NP$14="Single_Point",IF(325=$NR$14,$NN$14,0),IF($NP$14="Bell_Curve",$NN$14*(325-$NR$14+1)*($NS$14-325+1)/$NU$14,$NN$14/$NT$14)),0)</f>
        <v/>
      </c>
      <c r="LR14" s="228">
        <f>IF(AND(326&gt;=$NR$14,326&lt;=$NS$14),IF($NP$14="Single_Point",IF(326=$NR$14,$NN$14,0),IF($NP$14="Bell_Curve",$NN$14*(326-$NR$14+1)*($NS$14-326+1)/$NU$14,$NN$14/$NT$14)),0)</f>
        <v/>
      </c>
      <c r="LS14" s="228">
        <f>IF(AND(327&gt;=$NR$14,327&lt;=$NS$14),IF($NP$14="Single_Point",IF(327=$NR$14,$NN$14,0),IF($NP$14="Bell_Curve",$NN$14*(327-$NR$14+1)*($NS$14-327+1)/$NU$14,$NN$14/$NT$14)),0)</f>
        <v/>
      </c>
      <c r="LT14" s="228">
        <f>IF(AND(328&gt;=$NR$14,328&lt;=$NS$14),IF($NP$14="Single_Point",IF(328=$NR$14,$NN$14,0),IF($NP$14="Bell_Curve",$NN$14*(328-$NR$14+1)*($NS$14-328+1)/$NU$14,$NN$14/$NT$14)),0)</f>
        <v/>
      </c>
      <c r="LU14" s="228">
        <f>IF(AND(329&gt;=$NR$14,329&lt;=$NS$14),IF($NP$14="Single_Point",IF(329=$NR$14,$NN$14,0),IF($NP$14="Bell_Curve",$NN$14*(329-$NR$14+1)*($NS$14-329+1)/$NU$14,$NN$14/$NT$14)),0)</f>
        <v/>
      </c>
      <c r="LV14" s="228">
        <f>IF(AND(330&gt;=$NR$14,330&lt;=$NS$14),IF($NP$14="Single_Point",IF(330=$NR$14,$NN$14,0),IF($NP$14="Bell_Curve",$NN$14*(330-$NR$14+1)*($NS$14-330+1)/$NU$14,$NN$14/$NT$14)),0)</f>
        <v/>
      </c>
      <c r="LW14" s="228">
        <f>IF(AND(331&gt;=$NR$14,331&lt;=$NS$14),IF($NP$14="Single_Point",IF(331=$NR$14,$NN$14,0),IF($NP$14="Bell_Curve",$NN$14*(331-$NR$14+1)*($NS$14-331+1)/$NU$14,$NN$14/$NT$14)),0)</f>
        <v/>
      </c>
      <c r="LX14" s="228">
        <f>IF(AND(332&gt;=$NR$14,332&lt;=$NS$14),IF($NP$14="Single_Point",IF(332=$NR$14,$NN$14,0),IF($NP$14="Bell_Curve",$NN$14*(332-$NR$14+1)*($NS$14-332+1)/$NU$14,$NN$14/$NT$14)),0)</f>
        <v/>
      </c>
      <c r="LY14" s="228">
        <f>IF(AND(333&gt;=$NR$14,333&lt;=$NS$14),IF($NP$14="Single_Point",IF(333=$NR$14,$NN$14,0),IF($NP$14="Bell_Curve",$NN$14*(333-$NR$14+1)*($NS$14-333+1)/$NU$14,$NN$14/$NT$14)),0)</f>
        <v/>
      </c>
      <c r="LZ14" s="228">
        <f>IF(AND(334&gt;=$NR$14,334&lt;=$NS$14),IF($NP$14="Single_Point",IF(334=$NR$14,$NN$14,0),IF($NP$14="Bell_Curve",$NN$14*(334-$NR$14+1)*($NS$14-334+1)/$NU$14,$NN$14/$NT$14)),0)</f>
        <v/>
      </c>
      <c r="MA14" s="228">
        <f>IF(AND(335&gt;=$NR$14,335&lt;=$NS$14),IF($NP$14="Single_Point",IF(335=$NR$14,$NN$14,0),IF($NP$14="Bell_Curve",$NN$14*(335-$NR$14+1)*($NS$14-335+1)/$NU$14,$NN$14/$NT$14)),0)</f>
        <v/>
      </c>
      <c r="MB14" s="228">
        <f>IF(AND(336&gt;=$NR$14,336&lt;=$NS$14),IF($NP$14="Single_Point",IF(336=$NR$14,$NN$14,0),IF($NP$14="Bell_Curve",$NN$14*(336-$NR$14+1)*($NS$14-336+1)/$NU$14,$NN$14/$NT$14)),0)</f>
        <v/>
      </c>
      <c r="MC14" s="228">
        <f>IF(AND(337&gt;=$NR$14,337&lt;=$NS$14),IF($NP$14="Single_Point",IF(337=$NR$14,$NN$14,0),IF($NP$14="Bell_Curve",$NN$14*(337-$NR$14+1)*($NS$14-337+1)/$NU$14,$NN$14/$NT$14)),0)</f>
        <v/>
      </c>
      <c r="MD14" s="228">
        <f>IF(AND(338&gt;=$NR$14,338&lt;=$NS$14),IF($NP$14="Single_Point",IF(338=$NR$14,$NN$14,0),IF($NP$14="Bell_Curve",$NN$14*(338-$NR$14+1)*($NS$14-338+1)/$NU$14,$NN$14/$NT$14)),0)</f>
        <v/>
      </c>
      <c r="ME14" s="228">
        <f>IF(AND(339&gt;=$NR$14,339&lt;=$NS$14),IF($NP$14="Single_Point",IF(339=$NR$14,$NN$14,0),IF($NP$14="Bell_Curve",$NN$14*(339-$NR$14+1)*($NS$14-339+1)/$NU$14,$NN$14/$NT$14)),0)</f>
        <v/>
      </c>
      <c r="MF14" s="228">
        <f>IF(AND(340&gt;=$NR$14,340&lt;=$NS$14),IF($NP$14="Single_Point",IF(340=$NR$14,$NN$14,0),IF($NP$14="Bell_Curve",$NN$14*(340-$NR$14+1)*($NS$14-340+1)/$NU$14,$NN$14/$NT$14)),0)</f>
        <v/>
      </c>
      <c r="MG14" s="228">
        <f>IF(AND(341&gt;=$NR$14,341&lt;=$NS$14),IF($NP$14="Single_Point",IF(341=$NR$14,$NN$14,0),IF($NP$14="Bell_Curve",$NN$14*(341-$NR$14+1)*($NS$14-341+1)/$NU$14,$NN$14/$NT$14)),0)</f>
        <v/>
      </c>
      <c r="MH14" s="228">
        <f>IF(AND(342&gt;=$NR$14,342&lt;=$NS$14),IF($NP$14="Single_Point",IF(342=$NR$14,$NN$14,0),IF($NP$14="Bell_Curve",$NN$14*(342-$NR$14+1)*($NS$14-342+1)/$NU$14,$NN$14/$NT$14)),0)</f>
        <v/>
      </c>
      <c r="MI14" s="228">
        <f>IF(AND(343&gt;=$NR$14,343&lt;=$NS$14),IF($NP$14="Single_Point",IF(343=$NR$14,$NN$14,0),IF($NP$14="Bell_Curve",$NN$14*(343-$NR$14+1)*($NS$14-343+1)/$NU$14,$NN$14/$NT$14)),0)</f>
        <v/>
      </c>
      <c r="MJ14" s="228">
        <f>IF(AND(344&gt;=$NR$14,344&lt;=$NS$14),IF($NP$14="Single_Point",IF(344=$NR$14,$NN$14,0),IF($NP$14="Bell_Curve",$NN$14*(344-$NR$14+1)*($NS$14-344+1)/$NU$14,$NN$14/$NT$14)),0)</f>
        <v/>
      </c>
      <c r="MK14" s="228">
        <f>IF(AND(345&gt;=$NR$14,345&lt;=$NS$14),IF($NP$14="Single_Point",IF(345=$NR$14,$NN$14,0),IF($NP$14="Bell_Curve",$NN$14*(345-$NR$14+1)*($NS$14-345+1)/$NU$14,$NN$14/$NT$14)),0)</f>
        <v/>
      </c>
      <c r="ML14" s="228">
        <f>IF(AND(346&gt;=$NR$14,346&lt;=$NS$14),IF($NP$14="Single_Point",IF(346=$NR$14,$NN$14,0),IF($NP$14="Bell_Curve",$NN$14*(346-$NR$14+1)*($NS$14-346+1)/$NU$14,$NN$14/$NT$14)),0)</f>
        <v/>
      </c>
      <c r="MM14" s="228">
        <f>IF(AND(347&gt;=$NR$14,347&lt;=$NS$14),IF($NP$14="Single_Point",IF(347=$NR$14,$NN$14,0),IF($NP$14="Bell_Curve",$NN$14*(347-$NR$14+1)*($NS$14-347+1)/$NU$14,$NN$14/$NT$14)),0)</f>
        <v/>
      </c>
      <c r="MN14" s="228">
        <f>IF(AND(348&gt;=$NR$14,348&lt;=$NS$14),IF($NP$14="Single_Point",IF(348=$NR$14,$NN$14,0),IF($NP$14="Bell_Curve",$NN$14*(348-$NR$14+1)*($NS$14-348+1)/$NU$14,$NN$14/$NT$14)),0)</f>
        <v/>
      </c>
      <c r="MO14" s="228">
        <f>IF(AND(349&gt;=$NR$14,349&lt;=$NS$14),IF($NP$14="Single_Point",IF(349=$NR$14,$NN$14,0),IF($NP$14="Bell_Curve",$NN$14*(349-$NR$14+1)*($NS$14-349+1)/$NU$14,$NN$14/$NT$14)),0)</f>
        <v/>
      </c>
      <c r="MP14" s="228">
        <f>IF(AND(350&gt;=$NR$14,350&lt;=$NS$14),IF($NP$14="Single_Point",IF(350=$NR$14,$NN$14,0),IF($NP$14="Bell_Curve",$NN$14*(350-$NR$14+1)*($NS$14-350+1)/$NU$14,$NN$14/$NT$14)),0)</f>
        <v/>
      </c>
      <c r="MQ14" s="228">
        <f>IF(AND(351&gt;=$NR$14,351&lt;=$NS$14),IF($NP$14="Single_Point",IF(351=$NR$14,$NN$14,0),IF($NP$14="Bell_Curve",$NN$14*(351-$NR$14+1)*($NS$14-351+1)/$NU$14,$NN$14/$NT$14)),0)</f>
        <v/>
      </c>
      <c r="MR14" s="228">
        <f>IF(AND(352&gt;=$NR$14,352&lt;=$NS$14),IF($NP$14="Single_Point",IF(352=$NR$14,$NN$14,0),IF($NP$14="Bell_Curve",$NN$14*(352-$NR$14+1)*($NS$14-352+1)/$NU$14,$NN$14/$NT$14)),0)</f>
        <v/>
      </c>
      <c r="MS14" s="228">
        <f>IF(AND(353&gt;=$NR$14,353&lt;=$NS$14),IF($NP$14="Single_Point",IF(353=$NR$14,$NN$14,0),IF($NP$14="Bell_Curve",$NN$14*(353-$NR$14+1)*($NS$14-353+1)/$NU$14,$NN$14/$NT$14)),0)</f>
        <v/>
      </c>
      <c r="MT14" s="228">
        <f>IF(AND(354&gt;=$NR$14,354&lt;=$NS$14),IF($NP$14="Single_Point",IF(354=$NR$14,$NN$14,0),IF($NP$14="Bell_Curve",$NN$14*(354-$NR$14+1)*($NS$14-354+1)/$NU$14,$NN$14/$NT$14)),0)</f>
        <v/>
      </c>
      <c r="MU14" s="228">
        <f>IF(AND(355&gt;=$NR$14,355&lt;=$NS$14),IF($NP$14="Single_Point",IF(355=$NR$14,$NN$14,0),IF($NP$14="Bell_Curve",$NN$14*(355-$NR$14+1)*($NS$14-355+1)/$NU$14,$NN$14/$NT$14)),0)</f>
        <v/>
      </c>
      <c r="MV14" s="228">
        <f>IF(AND(356&gt;=$NR$14,356&lt;=$NS$14),IF($NP$14="Single_Point",IF(356=$NR$14,$NN$14,0),IF($NP$14="Bell_Curve",$NN$14*(356-$NR$14+1)*($NS$14-356+1)/$NU$14,$NN$14/$NT$14)),0)</f>
        <v/>
      </c>
      <c r="MW14" s="228">
        <f>IF(AND(357&gt;=$NR$14,357&lt;=$NS$14),IF($NP$14="Single_Point",IF(357=$NR$14,$NN$14,0),IF($NP$14="Bell_Curve",$NN$14*(357-$NR$14+1)*($NS$14-357+1)/$NU$14,$NN$14/$NT$14)),0)</f>
        <v/>
      </c>
      <c r="MX14" s="228">
        <f>IF(AND(358&gt;=$NR$14,358&lt;=$NS$14),IF($NP$14="Single_Point",IF(358=$NR$14,$NN$14,0),IF($NP$14="Bell_Curve",$NN$14*(358-$NR$14+1)*($NS$14-358+1)/$NU$14,$NN$14/$NT$14)),0)</f>
        <v/>
      </c>
      <c r="MY14" s="228">
        <f>IF(AND(359&gt;=$NR$14,359&lt;=$NS$14),IF($NP$14="Single_Point",IF(359=$NR$14,$NN$14,0),IF($NP$14="Bell_Curve",$NN$14*(359-$NR$14+1)*($NS$14-359+1)/$NU$14,$NN$14/$NT$14)),0)</f>
        <v/>
      </c>
      <c r="MZ14" s="228">
        <f>IF(AND(360&gt;=$NR$14,360&lt;=$NS$14),IF($NP$14="Single_Point",IF(360=$NR$14,$NN$14,0),IF($NP$14="Bell_Curve",$NN$14*(360-$NR$14+1)*($NS$14-360+1)/$NU$14,$NN$14/$NT$14)),0)</f>
        <v/>
      </c>
      <c r="NA14" s="228">
        <f>IF(AND(361&gt;=$NR$14,361&lt;=$NS$14),IF($NP$14="Single_Point",IF(361=$NR$14,$NN$14,0),IF($NP$14="Bell_Curve",$NN$14*(361-$NR$14+1)*($NS$14-361+1)/$NU$14,$NN$14/$NT$14)),0)</f>
        <v/>
      </c>
      <c r="NB14" s="228">
        <f>IF(AND(362&gt;=$NR$14,362&lt;=$NS$14),IF($NP$14="Single_Point",IF(362=$NR$14,$NN$14,0),IF($NP$14="Bell_Curve",$NN$14*(362-$NR$14+1)*($NS$14-362+1)/$NU$14,$NN$14/$NT$14)),0)</f>
        <v/>
      </c>
      <c r="NC14" s="228">
        <f>IF(AND(363&gt;=$NR$14,363&lt;=$NS$14),IF($NP$14="Single_Point",IF(363=$NR$14,$NN$14,0),IF($NP$14="Bell_Curve",$NN$14*(363-$NR$14+1)*($NS$14-363+1)/$NU$14,$NN$14/$NT$14)),0)</f>
        <v/>
      </c>
      <c r="ND14" s="228">
        <f>IF(AND(364&gt;=$NR$14,364&lt;=$NS$14),IF($NP$14="Single_Point",IF(364=$NR$14,$NN$14,0),IF($NP$14="Bell_Curve",$NN$14*(364-$NR$14+1)*($NS$14-364+1)/$NU$14,$NN$14/$NT$14)),0)</f>
        <v/>
      </c>
      <c r="NE14" s="228">
        <f>IF(AND(365&gt;=$NR$14,365&lt;=$NS$14),IF($NP$14="Single_Point",IF(365=$NR$14,$NN$14,0),IF($NP$14="Bell_Curve",$NN$14*(365-$NR$14+1)*($NS$14-365+1)/$NU$14,$NN$14/$NT$14)),0)</f>
        <v/>
      </c>
      <c r="NF14" s="228">
        <f>IF(AND(366&gt;=$NR$14,366&lt;=$NS$14),IF($NP$14="Single_Point",IF(366=$NR$14,$NN$14,0),IF($NP$14="Bell_Curve",$NN$14*(366-$NR$14+1)*($NS$14-366+1)/$NU$14,$NN$14/$NT$14)),0)</f>
        <v/>
      </c>
      <c r="NG14" s="228">
        <f>IF(AND(367&gt;=$NR$14,367&lt;=$NS$14),IF($NP$14="Single_Point",IF(367=$NR$14,$NN$14,0),IF($NP$14="Bell_Curve",$NN$14*(367-$NR$14+1)*($NS$14-367+1)/$NU$14,$NN$14/$NT$14)),0)</f>
        <v/>
      </c>
      <c r="NH14" s="228">
        <f>IF(AND(368&gt;=$NR$14,368&lt;=$NS$14),IF($NP$14="Single_Point",IF(368=$NR$14,$NN$14,0),IF($NP$14="Bell_Curve",$NN$14*(368-$NR$14+1)*($NS$14-368+1)/$NU$14,$NN$14/$NT$14)),0)</f>
        <v/>
      </c>
      <c r="NI14" s="228">
        <f>IF(AND(369&gt;=$NR$14,369&lt;=$NS$14),IF($NP$14="Single_Point",IF(369=$NR$14,$NN$14,0),IF($NP$14="Bell_Curve",$NN$14*(369-$NR$14+1)*($NS$14-369+1)/$NU$14,$NN$14/$NT$14)),0)</f>
        <v/>
      </c>
      <c r="NJ14" s="228">
        <f>IF(AND(370&gt;=$NR$14,370&lt;=$NS$14),IF($NP$14="Single_Point",IF(370=$NR$14,$NN$14,0),IF($NP$14="Bell_Curve",$NN$14*(370-$NR$14+1)*($NS$14-370+1)/$NU$14,$NN$14/$NT$14)),0)</f>
        <v/>
      </c>
      <c r="NK14" s="228">
        <f>IF(AND(371&gt;=$NR$14,371&lt;=$NS$14),IF($NP$14="Single_Point",IF(371=$NR$14,$NN$14,0),IF($NP$14="Bell_Curve",$NN$14*(371-$NR$14+1)*($NS$14-371+1)/$NU$14,$NN$14/$NT$14)),0)</f>
        <v/>
      </c>
      <c r="NL14" s="247">
        <f>IF(AND(372&gt;=$NR$14,372&lt;=$NS$14),IF($NP$14="Single_Point",IF(372=$NR$14,$NN$14,0),IF($NP$14="Bell_Curve",$NN$14*(372-$NR$14+1)*($NS$14-372+1)/$NU$14,$NN$14/$NT$14)),0)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36" t="inlineStr">
        <is>
          <t>GC Contract (Hard)</t>
        </is>
      </c>
      <c r="D15" s="246">
        <f>SUM(E15:NL15)</f>
        <v/>
      </c>
      <c r="E15" s="228">
        <f>IF(AND(1&gt;=$NR$15,1&lt;=$NS$15),IF($NP$15="Single_Point",IF(1=$NR$15,$NN$15,0),IF($NP$15="Bell_Curve",$NN$15*(1-$NR$15+1)*($NS$15-1+1)/$NU$15,$NN$15/$NT$15)),0)</f>
        <v/>
      </c>
      <c r="F15" s="228">
        <f>IF(AND(2&gt;=$NR$15,2&lt;=$NS$15),IF($NP$15="Single_Point",IF(2=$NR$15,$NN$15,0),IF($NP$15="Bell_Curve",$NN$15*(2-$NR$15+1)*($NS$15-2+1)/$NU$15,$NN$15/$NT$15)),0)</f>
        <v/>
      </c>
      <c r="G15" s="228">
        <f>IF(AND(3&gt;=$NR$15,3&lt;=$NS$15),IF($NP$15="Single_Point",IF(3=$NR$15,$NN$15,0),IF($NP$15="Bell_Curve",$NN$15*(3-$NR$15+1)*($NS$15-3+1)/$NU$15,$NN$15/$NT$15)),0)</f>
        <v/>
      </c>
      <c r="H15" s="228">
        <f>IF(AND(4&gt;=$NR$15,4&lt;=$NS$15),IF($NP$15="Single_Point",IF(4=$NR$15,$NN$15,0),IF($NP$15="Bell_Curve",$NN$15*(4-$NR$15+1)*($NS$15-4+1)/$NU$15,$NN$15/$NT$15)),0)</f>
        <v/>
      </c>
      <c r="I15" s="228">
        <f>IF(AND(5&gt;=$NR$15,5&lt;=$NS$15),IF($NP$15="Single_Point",IF(5=$NR$15,$NN$15,0),IF($NP$15="Bell_Curve",$NN$15*(5-$NR$15+1)*($NS$15-5+1)/$NU$15,$NN$15/$NT$15)),0)</f>
        <v/>
      </c>
      <c r="J15" s="228">
        <f>IF(AND(6&gt;=$NR$15,6&lt;=$NS$15),IF($NP$15="Single_Point",IF(6=$NR$15,$NN$15,0),IF($NP$15="Bell_Curve",$NN$15*(6-$NR$15+1)*($NS$15-6+1)/$NU$15,$NN$15/$NT$15)),0)</f>
        <v/>
      </c>
      <c r="K15" s="228">
        <f>IF(AND(7&gt;=$NR$15,7&lt;=$NS$15),IF($NP$15="Single_Point",IF(7=$NR$15,$NN$15,0),IF($NP$15="Bell_Curve",$NN$15*(7-$NR$15+1)*($NS$15-7+1)/$NU$15,$NN$15/$NT$15)),0)</f>
        <v/>
      </c>
      <c r="L15" s="228">
        <f>IF(AND(8&gt;=$NR$15,8&lt;=$NS$15),IF($NP$15="Single_Point",IF(8=$NR$15,$NN$15,0),IF($NP$15="Bell_Curve",$NN$15*(8-$NR$15+1)*($NS$15-8+1)/$NU$15,$NN$15/$NT$15)),0)</f>
        <v/>
      </c>
      <c r="M15" s="228">
        <f>IF(AND(9&gt;=$NR$15,9&lt;=$NS$15),IF($NP$15="Single_Point",IF(9=$NR$15,$NN$15,0),IF($NP$15="Bell_Curve",$NN$15*(9-$NR$15+1)*($NS$15-9+1)/$NU$15,$NN$15/$NT$15)),0)</f>
        <v/>
      </c>
      <c r="N15" s="228">
        <f>IF(AND(10&gt;=$NR$15,10&lt;=$NS$15),IF($NP$15="Single_Point",IF(10=$NR$15,$NN$15,0),IF($NP$15="Bell_Curve",$NN$15*(10-$NR$15+1)*($NS$15-10+1)/$NU$15,$NN$15/$NT$15)),0)</f>
        <v/>
      </c>
      <c r="O15" s="228">
        <f>IF(AND(11&gt;=$NR$15,11&lt;=$NS$15),IF($NP$15="Single_Point",IF(11=$NR$15,$NN$15,0),IF($NP$15="Bell_Curve",$NN$15*(11-$NR$15+1)*($NS$15-11+1)/$NU$15,$NN$15/$NT$15)),0)</f>
        <v/>
      </c>
      <c r="P15" s="228">
        <f>IF(AND(12&gt;=$NR$15,12&lt;=$NS$15),IF($NP$15="Single_Point",IF(12=$NR$15,$NN$15,0),IF($NP$15="Bell_Curve",$NN$15*(12-$NR$15+1)*($NS$15-12+1)/$NU$15,$NN$15/$NT$15)),0)</f>
        <v/>
      </c>
      <c r="Q15" s="228">
        <f>IF(AND(13&gt;=$NR$15,13&lt;=$NS$15),IF($NP$15="Single_Point",IF(13=$NR$15,$NN$15,0),IF($NP$15="Bell_Curve",$NN$15*(13-$NR$15+1)*($NS$15-13+1)/$NU$15,$NN$15/$NT$15)),0)</f>
        <v/>
      </c>
      <c r="R15" s="228">
        <f>IF(AND(14&gt;=$NR$15,14&lt;=$NS$15),IF($NP$15="Single_Point",IF(14=$NR$15,$NN$15,0),IF($NP$15="Bell_Curve",$NN$15*(14-$NR$15+1)*($NS$15-14+1)/$NU$15,$NN$15/$NT$15)),0)</f>
        <v/>
      </c>
      <c r="S15" s="228">
        <f>IF(AND(15&gt;=$NR$15,15&lt;=$NS$15),IF($NP$15="Single_Point",IF(15=$NR$15,$NN$15,0),IF($NP$15="Bell_Curve",$NN$15*(15-$NR$15+1)*($NS$15-15+1)/$NU$15,$NN$15/$NT$15)),0)</f>
        <v/>
      </c>
      <c r="T15" s="228">
        <f>IF(AND(16&gt;=$NR$15,16&lt;=$NS$15),IF($NP$15="Single_Point",IF(16=$NR$15,$NN$15,0),IF($NP$15="Bell_Curve",$NN$15*(16-$NR$15+1)*($NS$15-16+1)/$NU$15,$NN$15/$NT$15)),0)</f>
        <v/>
      </c>
      <c r="U15" s="228">
        <f>IF(AND(17&gt;=$NR$15,17&lt;=$NS$15),IF($NP$15="Single_Point",IF(17=$NR$15,$NN$15,0),IF($NP$15="Bell_Curve",$NN$15*(17-$NR$15+1)*($NS$15-17+1)/$NU$15,$NN$15/$NT$15)),0)</f>
        <v/>
      </c>
      <c r="V15" s="228">
        <f>IF(AND(18&gt;=$NR$15,18&lt;=$NS$15),IF($NP$15="Single_Point",IF(18=$NR$15,$NN$15,0),IF($NP$15="Bell_Curve",$NN$15*(18-$NR$15+1)*($NS$15-18+1)/$NU$15,$NN$15/$NT$15)),0)</f>
        <v/>
      </c>
      <c r="W15" s="228">
        <f>IF(AND(19&gt;=$NR$15,19&lt;=$NS$15),IF($NP$15="Single_Point",IF(19=$NR$15,$NN$15,0),IF($NP$15="Bell_Curve",$NN$15*(19-$NR$15+1)*($NS$15-19+1)/$NU$15,$NN$15/$NT$15)),0)</f>
        <v/>
      </c>
      <c r="X15" s="228">
        <f>IF(AND(20&gt;=$NR$15,20&lt;=$NS$15),IF($NP$15="Single_Point",IF(20=$NR$15,$NN$15,0),IF($NP$15="Bell_Curve",$NN$15*(20-$NR$15+1)*($NS$15-20+1)/$NU$15,$NN$15/$NT$15)),0)</f>
        <v/>
      </c>
      <c r="Y15" s="228">
        <f>IF(AND(21&gt;=$NR$15,21&lt;=$NS$15),IF($NP$15="Single_Point",IF(21=$NR$15,$NN$15,0),IF($NP$15="Bell_Curve",$NN$15*(21-$NR$15+1)*($NS$15-21+1)/$NU$15,$NN$15/$NT$15)),0)</f>
        <v/>
      </c>
      <c r="Z15" s="228">
        <f>IF(AND(22&gt;=$NR$15,22&lt;=$NS$15),IF($NP$15="Single_Point",IF(22=$NR$15,$NN$15,0),IF($NP$15="Bell_Curve",$NN$15*(22-$NR$15+1)*($NS$15-22+1)/$NU$15,$NN$15/$NT$15)),0)</f>
        <v/>
      </c>
      <c r="AA15" s="228">
        <f>IF(AND(23&gt;=$NR$15,23&lt;=$NS$15),IF($NP$15="Single_Point",IF(23=$NR$15,$NN$15,0),IF($NP$15="Bell_Curve",$NN$15*(23-$NR$15+1)*($NS$15-23+1)/$NU$15,$NN$15/$NT$15)),0)</f>
        <v/>
      </c>
      <c r="AB15" s="228">
        <f>IF(AND(24&gt;=$NR$15,24&lt;=$NS$15),IF($NP$15="Single_Point",IF(24=$NR$15,$NN$15,0),IF($NP$15="Bell_Curve",$NN$15*(24-$NR$15+1)*($NS$15-24+1)/$NU$15,$NN$15/$NT$15)),0)</f>
        <v/>
      </c>
      <c r="AC15" s="228">
        <f>IF(AND(25&gt;=$NR$15,25&lt;=$NS$15),IF($NP$15="Single_Point",IF(25=$NR$15,$NN$15,0),IF($NP$15="Bell_Curve",$NN$15*(25-$NR$15+1)*($NS$15-25+1)/$NU$15,$NN$15/$NT$15)),0)</f>
        <v/>
      </c>
      <c r="AD15" s="228">
        <f>IF(AND(26&gt;=$NR$15,26&lt;=$NS$15),IF($NP$15="Single_Point",IF(26=$NR$15,$NN$15,0),IF($NP$15="Bell_Curve",$NN$15*(26-$NR$15+1)*($NS$15-26+1)/$NU$15,$NN$15/$NT$15)),0)</f>
        <v/>
      </c>
      <c r="AE15" s="228">
        <f>IF(AND(27&gt;=$NR$15,27&lt;=$NS$15),IF($NP$15="Single_Point",IF(27=$NR$15,$NN$15,0),IF($NP$15="Bell_Curve",$NN$15*(27-$NR$15+1)*($NS$15-27+1)/$NU$15,$NN$15/$NT$15)),0)</f>
        <v/>
      </c>
      <c r="AF15" s="228">
        <f>IF(AND(28&gt;=$NR$15,28&lt;=$NS$15),IF($NP$15="Single_Point",IF(28=$NR$15,$NN$15,0),IF($NP$15="Bell_Curve",$NN$15*(28-$NR$15+1)*($NS$15-28+1)/$NU$15,$NN$15/$NT$15)),0)</f>
        <v/>
      </c>
      <c r="AG15" s="228">
        <f>IF(AND(29&gt;=$NR$15,29&lt;=$NS$15),IF($NP$15="Single_Point",IF(29=$NR$15,$NN$15,0),IF($NP$15="Bell_Curve",$NN$15*(29-$NR$15+1)*($NS$15-29+1)/$NU$15,$NN$15/$NT$15)),0)</f>
        <v/>
      </c>
      <c r="AH15" s="228">
        <f>IF(AND(30&gt;=$NR$15,30&lt;=$NS$15),IF($NP$15="Single_Point",IF(30=$NR$15,$NN$15,0),IF($NP$15="Bell_Curve",$NN$15*(30-$NR$15+1)*($NS$15-30+1)/$NU$15,$NN$15/$NT$15)),0)</f>
        <v/>
      </c>
      <c r="AI15" s="228">
        <f>IF(AND(31&gt;=$NR$15,31&lt;=$NS$15),IF($NP$15="Single_Point",IF(31=$NR$15,$NN$15,0),IF($NP$15="Bell_Curve",$NN$15*(31-$NR$15+1)*($NS$15-31+1)/$NU$15,$NN$15/$NT$15)),0)</f>
        <v/>
      </c>
      <c r="AJ15" s="228">
        <f>IF(AND(32&gt;=$NR$15,32&lt;=$NS$15),IF($NP$15="Single_Point",IF(32=$NR$15,$NN$15,0),IF($NP$15="Bell_Curve",$NN$15*(32-$NR$15+1)*($NS$15-32+1)/$NU$15,$NN$15/$NT$15)),0)</f>
        <v/>
      </c>
      <c r="AK15" s="228">
        <f>IF(AND(33&gt;=$NR$15,33&lt;=$NS$15),IF($NP$15="Single_Point",IF(33=$NR$15,$NN$15,0),IF($NP$15="Bell_Curve",$NN$15*(33-$NR$15+1)*($NS$15-33+1)/$NU$15,$NN$15/$NT$15)),0)</f>
        <v/>
      </c>
      <c r="AL15" s="228">
        <f>IF(AND(34&gt;=$NR$15,34&lt;=$NS$15),IF($NP$15="Single_Point",IF(34=$NR$15,$NN$15,0),IF($NP$15="Bell_Curve",$NN$15*(34-$NR$15+1)*($NS$15-34+1)/$NU$15,$NN$15/$NT$15)),0)</f>
        <v/>
      </c>
      <c r="AM15" s="228">
        <f>IF(AND(35&gt;=$NR$15,35&lt;=$NS$15),IF($NP$15="Single_Point",IF(35=$NR$15,$NN$15,0),IF($NP$15="Bell_Curve",$NN$15*(35-$NR$15+1)*($NS$15-35+1)/$NU$15,$NN$15/$NT$15)),0)</f>
        <v/>
      </c>
      <c r="AN15" s="228">
        <f>IF(AND(36&gt;=$NR$15,36&lt;=$NS$15),IF($NP$15="Single_Point",IF(36=$NR$15,$NN$15,0),IF($NP$15="Bell_Curve",$NN$15*(36-$NR$15+1)*($NS$15-36+1)/$NU$15,$NN$15/$NT$15)),0)</f>
        <v/>
      </c>
      <c r="AO15" s="228">
        <f>IF(AND(37&gt;=$NR$15,37&lt;=$NS$15),IF($NP$15="Single_Point",IF(37=$NR$15,$NN$15,0),IF($NP$15="Bell_Curve",$NN$15*(37-$NR$15+1)*($NS$15-37+1)/$NU$15,$NN$15/$NT$15)),0)</f>
        <v/>
      </c>
      <c r="AP15" s="228">
        <f>IF(AND(38&gt;=$NR$15,38&lt;=$NS$15),IF($NP$15="Single_Point",IF(38=$NR$15,$NN$15,0),IF($NP$15="Bell_Curve",$NN$15*(38-$NR$15+1)*($NS$15-38+1)/$NU$15,$NN$15/$NT$15)),0)</f>
        <v/>
      </c>
      <c r="AQ15" s="228">
        <f>IF(AND(39&gt;=$NR$15,39&lt;=$NS$15),IF($NP$15="Single_Point",IF(39=$NR$15,$NN$15,0),IF($NP$15="Bell_Curve",$NN$15*(39-$NR$15+1)*($NS$15-39+1)/$NU$15,$NN$15/$NT$15)),0)</f>
        <v/>
      </c>
      <c r="AR15" s="228">
        <f>IF(AND(40&gt;=$NR$15,40&lt;=$NS$15),IF($NP$15="Single_Point",IF(40=$NR$15,$NN$15,0),IF($NP$15="Bell_Curve",$NN$15*(40-$NR$15+1)*($NS$15-40+1)/$NU$15,$NN$15/$NT$15)),0)</f>
        <v/>
      </c>
      <c r="AS15" s="228">
        <f>IF(AND(41&gt;=$NR$15,41&lt;=$NS$15),IF($NP$15="Single_Point",IF(41=$NR$15,$NN$15,0),IF($NP$15="Bell_Curve",$NN$15*(41-$NR$15+1)*($NS$15-41+1)/$NU$15,$NN$15/$NT$15)),0)</f>
        <v/>
      </c>
      <c r="AT15" s="228">
        <f>IF(AND(42&gt;=$NR$15,42&lt;=$NS$15),IF($NP$15="Single_Point",IF(42=$NR$15,$NN$15,0),IF($NP$15="Bell_Curve",$NN$15*(42-$NR$15+1)*($NS$15-42+1)/$NU$15,$NN$15/$NT$15)),0)</f>
        <v/>
      </c>
      <c r="AU15" s="228">
        <f>IF(AND(43&gt;=$NR$15,43&lt;=$NS$15),IF($NP$15="Single_Point",IF(43=$NR$15,$NN$15,0),IF($NP$15="Bell_Curve",$NN$15*(43-$NR$15+1)*($NS$15-43+1)/$NU$15,$NN$15/$NT$15)),0)</f>
        <v/>
      </c>
      <c r="AV15" s="228">
        <f>IF(AND(44&gt;=$NR$15,44&lt;=$NS$15),IF($NP$15="Single_Point",IF(44=$NR$15,$NN$15,0),IF($NP$15="Bell_Curve",$NN$15*(44-$NR$15+1)*($NS$15-44+1)/$NU$15,$NN$15/$NT$15)),0)</f>
        <v/>
      </c>
      <c r="AW15" s="228">
        <f>IF(AND(45&gt;=$NR$15,45&lt;=$NS$15),IF($NP$15="Single_Point",IF(45=$NR$15,$NN$15,0),IF($NP$15="Bell_Curve",$NN$15*(45-$NR$15+1)*($NS$15-45+1)/$NU$15,$NN$15/$NT$15)),0)</f>
        <v/>
      </c>
      <c r="AX15" s="228">
        <f>IF(AND(46&gt;=$NR$15,46&lt;=$NS$15),IF($NP$15="Single_Point",IF(46=$NR$15,$NN$15,0),IF($NP$15="Bell_Curve",$NN$15*(46-$NR$15+1)*($NS$15-46+1)/$NU$15,$NN$15/$NT$15)),0)</f>
        <v/>
      </c>
      <c r="AY15" s="228">
        <f>IF(AND(47&gt;=$NR$15,47&lt;=$NS$15),IF($NP$15="Single_Point",IF(47=$NR$15,$NN$15,0),IF($NP$15="Bell_Curve",$NN$15*(47-$NR$15+1)*($NS$15-47+1)/$NU$15,$NN$15/$NT$15)),0)</f>
        <v/>
      </c>
      <c r="AZ15" s="228">
        <f>IF(AND(48&gt;=$NR$15,48&lt;=$NS$15),IF($NP$15="Single_Point",IF(48=$NR$15,$NN$15,0),IF($NP$15="Bell_Curve",$NN$15*(48-$NR$15+1)*($NS$15-48+1)/$NU$15,$NN$15/$NT$15)),0)</f>
        <v/>
      </c>
      <c r="BA15" s="228">
        <f>IF(AND(49&gt;=$NR$15,49&lt;=$NS$15),IF($NP$15="Single_Point",IF(49=$NR$15,$NN$15,0),IF($NP$15="Bell_Curve",$NN$15*(49-$NR$15+1)*($NS$15-49+1)/$NU$15,$NN$15/$NT$15)),0)</f>
        <v/>
      </c>
      <c r="BB15" s="228">
        <f>IF(AND(50&gt;=$NR$15,50&lt;=$NS$15),IF($NP$15="Single_Point",IF(50=$NR$15,$NN$15,0),IF($NP$15="Bell_Curve",$NN$15*(50-$NR$15+1)*($NS$15-50+1)/$NU$15,$NN$15/$NT$15)),0)</f>
        <v/>
      </c>
      <c r="BC15" s="228">
        <f>IF(AND(51&gt;=$NR$15,51&lt;=$NS$15),IF($NP$15="Single_Point",IF(51=$NR$15,$NN$15,0),IF($NP$15="Bell_Curve",$NN$15*(51-$NR$15+1)*($NS$15-51+1)/$NU$15,$NN$15/$NT$15)),0)</f>
        <v/>
      </c>
      <c r="BD15" s="228">
        <f>IF(AND(52&gt;=$NR$15,52&lt;=$NS$15),IF($NP$15="Single_Point",IF(52=$NR$15,$NN$15,0),IF($NP$15="Bell_Curve",$NN$15*(52-$NR$15+1)*($NS$15-52+1)/$NU$15,$NN$15/$NT$15)),0)</f>
        <v/>
      </c>
      <c r="BE15" s="228">
        <f>IF(AND(53&gt;=$NR$15,53&lt;=$NS$15),IF($NP$15="Single_Point",IF(53=$NR$15,$NN$15,0),IF($NP$15="Bell_Curve",$NN$15*(53-$NR$15+1)*($NS$15-53+1)/$NU$15,$NN$15/$NT$15)),0)</f>
        <v/>
      </c>
      <c r="BF15" s="228">
        <f>IF(AND(54&gt;=$NR$15,54&lt;=$NS$15),IF($NP$15="Single_Point",IF(54=$NR$15,$NN$15,0),IF($NP$15="Bell_Curve",$NN$15*(54-$NR$15+1)*($NS$15-54+1)/$NU$15,$NN$15/$NT$15)),0)</f>
        <v/>
      </c>
      <c r="BG15" s="228">
        <f>IF(AND(55&gt;=$NR$15,55&lt;=$NS$15),IF($NP$15="Single_Point",IF(55=$NR$15,$NN$15,0),IF($NP$15="Bell_Curve",$NN$15*(55-$NR$15+1)*($NS$15-55+1)/$NU$15,$NN$15/$NT$15)),0)</f>
        <v/>
      </c>
      <c r="BH15" s="228">
        <f>IF(AND(56&gt;=$NR$15,56&lt;=$NS$15),IF($NP$15="Single_Point",IF(56=$NR$15,$NN$15,0),IF($NP$15="Bell_Curve",$NN$15*(56-$NR$15+1)*($NS$15-56+1)/$NU$15,$NN$15/$NT$15)),0)</f>
        <v/>
      </c>
      <c r="BI15" s="228">
        <f>IF(AND(57&gt;=$NR$15,57&lt;=$NS$15),IF($NP$15="Single_Point",IF(57=$NR$15,$NN$15,0),IF($NP$15="Bell_Curve",$NN$15*(57-$NR$15+1)*($NS$15-57+1)/$NU$15,$NN$15/$NT$15)),0)</f>
        <v/>
      </c>
      <c r="BJ15" s="228">
        <f>IF(AND(58&gt;=$NR$15,58&lt;=$NS$15),IF($NP$15="Single_Point",IF(58=$NR$15,$NN$15,0),IF($NP$15="Bell_Curve",$NN$15*(58-$NR$15+1)*($NS$15-58+1)/$NU$15,$NN$15/$NT$15)),0)</f>
        <v/>
      </c>
      <c r="BK15" s="228">
        <f>IF(AND(59&gt;=$NR$15,59&lt;=$NS$15),IF($NP$15="Single_Point",IF(59=$NR$15,$NN$15,0),IF($NP$15="Bell_Curve",$NN$15*(59-$NR$15+1)*($NS$15-59+1)/$NU$15,$NN$15/$NT$15)),0)</f>
        <v/>
      </c>
      <c r="BL15" s="228">
        <f>IF(AND(60&gt;=$NR$15,60&lt;=$NS$15),IF($NP$15="Single_Point",IF(60=$NR$15,$NN$15,0),IF($NP$15="Bell_Curve",$NN$15*(60-$NR$15+1)*($NS$15-60+1)/$NU$15,$NN$15/$NT$15)),0)</f>
        <v/>
      </c>
      <c r="BM15" s="228">
        <f>IF(AND(61&gt;=$NR$15,61&lt;=$NS$15),IF($NP$15="Single_Point",IF(61=$NR$15,$NN$15,0),IF($NP$15="Bell_Curve",$NN$15*(61-$NR$15+1)*($NS$15-61+1)/$NU$15,$NN$15/$NT$15)),0)</f>
        <v/>
      </c>
      <c r="BN15" s="228">
        <f>IF(AND(62&gt;=$NR$15,62&lt;=$NS$15),IF($NP$15="Single_Point",IF(62=$NR$15,$NN$15,0),IF($NP$15="Bell_Curve",$NN$15*(62-$NR$15+1)*($NS$15-62+1)/$NU$15,$NN$15/$NT$15)),0)</f>
        <v/>
      </c>
      <c r="BO15" s="228">
        <f>IF(AND(63&gt;=$NR$15,63&lt;=$NS$15),IF($NP$15="Single_Point",IF(63=$NR$15,$NN$15,0),IF($NP$15="Bell_Curve",$NN$15*(63-$NR$15+1)*($NS$15-63+1)/$NU$15,$NN$15/$NT$15)),0)</f>
        <v/>
      </c>
      <c r="BP15" s="228">
        <f>IF(AND(64&gt;=$NR$15,64&lt;=$NS$15),IF($NP$15="Single_Point",IF(64=$NR$15,$NN$15,0),IF($NP$15="Bell_Curve",$NN$15*(64-$NR$15+1)*($NS$15-64+1)/$NU$15,$NN$15/$NT$15)),0)</f>
        <v/>
      </c>
      <c r="BQ15" s="228">
        <f>IF(AND(65&gt;=$NR$15,65&lt;=$NS$15),IF($NP$15="Single_Point",IF(65=$NR$15,$NN$15,0),IF($NP$15="Bell_Curve",$NN$15*(65-$NR$15+1)*($NS$15-65+1)/$NU$15,$NN$15/$NT$15)),0)</f>
        <v/>
      </c>
      <c r="BR15" s="228">
        <f>IF(AND(66&gt;=$NR$15,66&lt;=$NS$15),IF($NP$15="Single_Point",IF(66=$NR$15,$NN$15,0),IF($NP$15="Bell_Curve",$NN$15*(66-$NR$15+1)*($NS$15-66+1)/$NU$15,$NN$15/$NT$15)),0)</f>
        <v/>
      </c>
      <c r="BS15" s="228">
        <f>IF(AND(67&gt;=$NR$15,67&lt;=$NS$15),IF($NP$15="Single_Point",IF(67=$NR$15,$NN$15,0),IF($NP$15="Bell_Curve",$NN$15*(67-$NR$15+1)*($NS$15-67+1)/$NU$15,$NN$15/$NT$15)),0)</f>
        <v/>
      </c>
      <c r="BT15" s="228">
        <f>IF(AND(68&gt;=$NR$15,68&lt;=$NS$15),IF($NP$15="Single_Point",IF(68=$NR$15,$NN$15,0),IF($NP$15="Bell_Curve",$NN$15*(68-$NR$15+1)*($NS$15-68+1)/$NU$15,$NN$15/$NT$15)),0)</f>
        <v/>
      </c>
      <c r="BU15" s="228">
        <f>IF(AND(69&gt;=$NR$15,69&lt;=$NS$15),IF($NP$15="Single_Point",IF(69=$NR$15,$NN$15,0),IF($NP$15="Bell_Curve",$NN$15*(69-$NR$15+1)*($NS$15-69+1)/$NU$15,$NN$15/$NT$15)),0)</f>
        <v/>
      </c>
      <c r="BV15" s="228">
        <f>IF(AND(70&gt;=$NR$15,70&lt;=$NS$15),IF($NP$15="Single_Point",IF(70=$NR$15,$NN$15,0),IF($NP$15="Bell_Curve",$NN$15*(70-$NR$15+1)*($NS$15-70+1)/$NU$15,$NN$15/$NT$15)),0)</f>
        <v/>
      </c>
      <c r="BW15" s="228">
        <f>IF(AND(71&gt;=$NR$15,71&lt;=$NS$15),IF($NP$15="Single_Point",IF(71=$NR$15,$NN$15,0),IF($NP$15="Bell_Curve",$NN$15*(71-$NR$15+1)*($NS$15-71+1)/$NU$15,$NN$15/$NT$15)),0)</f>
        <v/>
      </c>
      <c r="BX15" s="228">
        <f>IF(AND(72&gt;=$NR$15,72&lt;=$NS$15),IF($NP$15="Single_Point",IF(72=$NR$15,$NN$15,0),IF($NP$15="Bell_Curve",$NN$15*(72-$NR$15+1)*($NS$15-72+1)/$NU$15,$NN$15/$NT$15)),0)</f>
        <v/>
      </c>
      <c r="BY15" s="228">
        <f>IF(AND(73&gt;=$NR$15,73&lt;=$NS$15),IF($NP$15="Single_Point",IF(73=$NR$15,$NN$15,0),IF($NP$15="Bell_Curve",$NN$15*(73-$NR$15+1)*($NS$15-73+1)/$NU$15,$NN$15/$NT$15)),0)</f>
        <v/>
      </c>
      <c r="BZ15" s="228">
        <f>IF(AND(74&gt;=$NR$15,74&lt;=$NS$15),IF($NP$15="Single_Point",IF(74=$NR$15,$NN$15,0),IF($NP$15="Bell_Curve",$NN$15*(74-$NR$15+1)*($NS$15-74+1)/$NU$15,$NN$15/$NT$15)),0)</f>
        <v/>
      </c>
      <c r="CA15" s="228">
        <f>IF(AND(75&gt;=$NR$15,75&lt;=$NS$15),IF($NP$15="Single_Point",IF(75=$NR$15,$NN$15,0),IF($NP$15="Bell_Curve",$NN$15*(75-$NR$15+1)*($NS$15-75+1)/$NU$15,$NN$15/$NT$15)),0)</f>
        <v/>
      </c>
      <c r="CB15" s="228">
        <f>IF(AND(76&gt;=$NR$15,76&lt;=$NS$15),IF($NP$15="Single_Point",IF(76=$NR$15,$NN$15,0),IF($NP$15="Bell_Curve",$NN$15*(76-$NR$15+1)*($NS$15-76+1)/$NU$15,$NN$15/$NT$15)),0)</f>
        <v/>
      </c>
      <c r="CC15" s="228">
        <f>IF(AND(77&gt;=$NR$15,77&lt;=$NS$15),IF($NP$15="Single_Point",IF(77=$NR$15,$NN$15,0),IF($NP$15="Bell_Curve",$NN$15*(77-$NR$15+1)*($NS$15-77+1)/$NU$15,$NN$15/$NT$15)),0)</f>
        <v/>
      </c>
      <c r="CD15" s="228">
        <f>IF(AND(78&gt;=$NR$15,78&lt;=$NS$15),IF($NP$15="Single_Point",IF(78=$NR$15,$NN$15,0),IF($NP$15="Bell_Curve",$NN$15*(78-$NR$15+1)*($NS$15-78+1)/$NU$15,$NN$15/$NT$15)),0)</f>
        <v/>
      </c>
      <c r="CE15" s="228">
        <f>IF(AND(79&gt;=$NR$15,79&lt;=$NS$15),IF($NP$15="Single_Point",IF(79=$NR$15,$NN$15,0),IF($NP$15="Bell_Curve",$NN$15*(79-$NR$15+1)*($NS$15-79+1)/$NU$15,$NN$15/$NT$15)),0)</f>
        <v/>
      </c>
      <c r="CF15" s="228">
        <f>IF(AND(80&gt;=$NR$15,80&lt;=$NS$15),IF($NP$15="Single_Point",IF(80=$NR$15,$NN$15,0),IF($NP$15="Bell_Curve",$NN$15*(80-$NR$15+1)*($NS$15-80+1)/$NU$15,$NN$15/$NT$15)),0)</f>
        <v/>
      </c>
      <c r="CG15" s="228">
        <f>IF(AND(81&gt;=$NR$15,81&lt;=$NS$15),IF($NP$15="Single_Point",IF(81=$NR$15,$NN$15,0),IF($NP$15="Bell_Curve",$NN$15*(81-$NR$15+1)*($NS$15-81+1)/$NU$15,$NN$15/$NT$15)),0)</f>
        <v/>
      </c>
      <c r="CH15" s="228">
        <f>IF(AND(82&gt;=$NR$15,82&lt;=$NS$15),IF($NP$15="Single_Point",IF(82=$NR$15,$NN$15,0),IF($NP$15="Bell_Curve",$NN$15*(82-$NR$15+1)*($NS$15-82+1)/$NU$15,$NN$15/$NT$15)),0)</f>
        <v/>
      </c>
      <c r="CI15" s="228">
        <f>IF(AND(83&gt;=$NR$15,83&lt;=$NS$15),IF($NP$15="Single_Point",IF(83=$NR$15,$NN$15,0),IF($NP$15="Bell_Curve",$NN$15*(83-$NR$15+1)*($NS$15-83+1)/$NU$15,$NN$15/$NT$15)),0)</f>
        <v/>
      </c>
      <c r="CJ15" s="228">
        <f>IF(AND(84&gt;=$NR$15,84&lt;=$NS$15),IF($NP$15="Single_Point",IF(84=$NR$15,$NN$15,0),IF($NP$15="Bell_Curve",$NN$15*(84-$NR$15+1)*($NS$15-84+1)/$NU$15,$NN$15/$NT$15)),0)</f>
        <v/>
      </c>
      <c r="CK15" s="228">
        <f>IF(AND(85&gt;=$NR$15,85&lt;=$NS$15),IF($NP$15="Single_Point",IF(85=$NR$15,$NN$15,0),IF($NP$15="Bell_Curve",$NN$15*(85-$NR$15+1)*($NS$15-85+1)/$NU$15,$NN$15/$NT$15)),0)</f>
        <v/>
      </c>
      <c r="CL15" s="228">
        <f>IF(AND(86&gt;=$NR$15,86&lt;=$NS$15),IF($NP$15="Single_Point",IF(86=$NR$15,$NN$15,0),IF($NP$15="Bell_Curve",$NN$15*(86-$NR$15+1)*($NS$15-86+1)/$NU$15,$NN$15/$NT$15)),0)</f>
        <v/>
      </c>
      <c r="CM15" s="228">
        <f>IF(AND(87&gt;=$NR$15,87&lt;=$NS$15),IF($NP$15="Single_Point",IF(87=$NR$15,$NN$15,0),IF($NP$15="Bell_Curve",$NN$15*(87-$NR$15+1)*($NS$15-87+1)/$NU$15,$NN$15/$NT$15)),0)</f>
        <v/>
      </c>
      <c r="CN15" s="228">
        <f>IF(AND(88&gt;=$NR$15,88&lt;=$NS$15),IF($NP$15="Single_Point",IF(88=$NR$15,$NN$15,0),IF($NP$15="Bell_Curve",$NN$15*(88-$NR$15+1)*($NS$15-88+1)/$NU$15,$NN$15/$NT$15)),0)</f>
        <v/>
      </c>
      <c r="CO15" s="228">
        <f>IF(AND(89&gt;=$NR$15,89&lt;=$NS$15),IF($NP$15="Single_Point",IF(89=$NR$15,$NN$15,0),IF($NP$15="Bell_Curve",$NN$15*(89-$NR$15+1)*($NS$15-89+1)/$NU$15,$NN$15/$NT$15)),0)</f>
        <v/>
      </c>
      <c r="CP15" s="228">
        <f>IF(AND(90&gt;=$NR$15,90&lt;=$NS$15),IF($NP$15="Single_Point",IF(90=$NR$15,$NN$15,0),IF($NP$15="Bell_Curve",$NN$15*(90-$NR$15+1)*($NS$15-90+1)/$NU$15,$NN$15/$NT$15)),0)</f>
        <v/>
      </c>
      <c r="CQ15" s="228">
        <f>IF(AND(91&gt;=$NR$15,91&lt;=$NS$15),IF($NP$15="Single_Point",IF(91=$NR$15,$NN$15,0),IF($NP$15="Bell_Curve",$NN$15*(91-$NR$15+1)*($NS$15-91+1)/$NU$15,$NN$15/$NT$15)),0)</f>
        <v/>
      </c>
      <c r="CR15" s="228">
        <f>IF(AND(92&gt;=$NR$15,92&lt;=$NS$15),IF($NP$15="Single_Point",IF(92=$NR$15,$NN$15,0),IF($NP$15="Bell_Curve",$NN$15*(92-$NR$15+1)*($NS$15-92+1)/$NU$15,$NN$15/$NT$15)),0)</f>
        <v/>
      </c>
      <c r="CS15" s="228">
        <f>IF(AND(93&gt;=$NR$15,93&lt;=$NS$15),IF($NP$15="Single_Point",IF(93=$NR$15,$NN$15,0),IF($NP$15="Bell_Curve",$NN$15*(93-$NR$15+1)*($NS$15-93+1)/$NU$15,$NN$15/$NT$15)),0)</f>
        <v/>
      </c>
      <c r="CT15" s="228">
        <f>IF(AND(94&gt;=$NR$15,94&lt;=$NS$15),IF($NP$15="Single_Point",IF(94=$NR$15,$NN$15,0),IF($NP$15="Bell_Curve",$NN$15*(94-$NR$15+1)*($NS$15-94+1)/$NU$15,$NN$15/$NT$15)),0)</f>
        <v/>
      </c>
      <c r="CU15" s="228">
        <f>IF(AND(95&gt;=$NR$15,95&lt;=$NS$15),IF($NP$15="Single_Point",IF(95=$NR$15,$NN$15,0),IF($NP$15="Bell_Curve",$NN$15*(95-$NR$15+1)*($NS$15-95+1)/$NU$15,$NN$15/$NT$15)),0)</f>
        <v/>
      </c>
      <c r="CV15" s="228">
        <f>IF(AND(96&gt;=$NR$15,96&lt;=$NS$15),IF($NP$15="Single_Point",IF(96=$NR$15,$NN$15,0),IF($NP$15="Bell_Curve",$NN$15*(96-$NR$15+1)*($NS$15-96+1)/$NU$15,$NN$15/$NT$15)),0)</f>
        <v/>
      </c>
      <c r="CW15" s="228">
        <f>IF(AND(97&gt;=$NR$15,97&lt;=$NS$15),IF($NP$15="Single_Point",IF(97=$NR$15,$NN$15,0),IF($NP$15="Bell_Curve",$NN$15*(97-$NR$15+1)*($NS$15-97+1)/$NU$15,$NN$15/$NT$15)),0)</f>
        <v/>
      </c>
      <c r="CX15" s="228">
        <f>IF(AND(98&gt;=$NR$15,98&lt;=$NS$15),IF($NP$15="Single_Point",IF(98=$NR$15,$NN$15,0),IF($NP$15="Bell_Curve",$NN$15*(98-$NR$15+1)*($NS$15-98+1)/$NU$15,$NN$15/$NT$15)),0)</f>
        <v/>
      </c>
      <c r="CY15" s="228">
        <f>IF(AND(99&gt;=$NR$15,99&lt;=$NS$15),IF($NP$15="Single_Point",IF(99=$NR$15,$NN$15,0),IF($NP$15="Bell_Curve",$NN$15*(99-$NR$15+1)*($NS$15-99+1)/$NU$15,$NN$15/$NT$15)),0)</f>
        <v/>
      </c>
      <c r="CZ15" s="228">
        <f>IF(AND(100&gt;=$NR$15,100&lt;=$NS$15),IF($NP$15="Single_Point",IF(100=$NR$15,$NN$15,0),IF($NP$15="Bell_Curve",$NN$15*(100-$NR$15+1)*($NS$15-100+1)/$NU$15,$NN$15/$NT$15)),0)</f>
        <v/>
      </c>
      <c r="DA15" s="228">
        <f>IF(AND(101&gt;=$NR$15,101&lt;=$NS$15),IF($NP$15="Single_Point",IF(101=$NR$15,$NN$15,0),IF($NP$15="Bell_Curve",$NN$15*(101-$NR$15+1)*($NS$15-101+1)/$NU$15,$NN$15/$NT$15)),0)</f>
        <v/>
      </c>
      <c r="DB15" s="228">
        <f>IF(AND(102&gt;=$NR$15,102&lt;=$NS$15),IF($NP$15="Single_Point",IF(102=$NR$15,$NN$15,0),IF($NP$15="Bell_Curve",$NN$15*(102-$NR$15+1)*($NS$15-102+1)/$NU$15,$NN$15/$NT$15)),0)</f>
        <v/>
      </c>
      <c r="DC15" s="228">
        <f>IF(AND(103&gt;=$NR$15,103&lt;=$NS$15),IF($NP$15="Single_Point",IF(103=$NR$15,$NN$15,0),IF($NP$15="Bell_Curve",$NN$15*(103-$NR$15+1)*($NS$15-103+1)/$NU$15,$NN$15/$NT$15)),0)</f>
        <v/>
      </c>
      <c r="DD15" s="228">
        <f>IF(AND(104&gt;=$NR$15,104&lt;=$NS$15),IF($NP$15="Single_Point",IF(104=$NR$15,$NN$15,0),IF($NP$15="Bell_Curve",$NN$15*(104-$NR$15+1)*($NS$15-104+1)/$NU$15,$NN$15/$NT$15)),0)</f>
        <v/>
      </c>
      <c r="DE15" s="228">
        <f>IF(AND(105&gt;=$NR$15,105&lt;=$NS$15),IF($NP$15="Single_Point",IF(105=$NR$15,$NN$15,0),IF($NP$15="Bell_Curve",$NN$15*(105-$NR$15+1)*($NS$15-105+1)/$NU$15,$NN$15/$NT$15)),0)</f>
        <v/>
      </c>
      <c r="DF15" s="228">
        <f>IF(AND(106&gt;=$NR$15,106&lt;=$NS$15),IF($NP$15="Single_Point",IF(106=$NR$15,$NN$15,0),IF($NP$15="Bell_Curve",$NN$15*(106-$NR$15+1)*($NS$15-106+1)/$NU$15,$NN$15/$NT$15)),0)</f>
        <v/>
      </c>
      <c r="DG15" s="228">
        <f>IF(AND(107&gt;=$NR$15,107&lt;=$NS$15),IF($NP$15="Single_Point",IF(107=$NR$15,$NN$15,0),IF($NP$15="Bell_Curve",$NN$15*(107-$NR$15+1)*($NS$15-107+1)/$NU$15,$NN$15/$NT$15)),0)</f>
        <v/>
      </c>
      <c r="DH15" s="228">
        <f>IF(AND(108&gt;=$NR$15,108&lt;=$NS$15),IF($NP$15="Single_Point",IF(108=$NR$15,$NN$15,0),IF($NP$15="Bell_Curve",$NN$15*(108-$NR$15+1)*($NS$15-108+1)/$NU$15,$NN$15/$NT$15)),0)</f>
        <v/>
      </c>
      <c r="DI15" s="228">
        <f>IF(AND(109&gt;=$NR$15,109&lt;=$NS$15),IF($NP$15="Single_Point",IF(109=$NR$15,$NN$15,0),IF($NP$15="Bell_Curve",$NN$15*(109-$NR$15+1)*($NS$15-109+1)/$NU$15,$NN$15/$NT$15)),0)</f>
        <v/>
      </c>
      <c r="DJ15" s="228">
        <f>IF(AND(110&gt;=$NR$15,110&lt;=$NS$15),IF($NP$15="Single_Point",IF(110=$NR$15,$NN$15,0),IF($NP$15="Bell_Curve",$NN$15*(110-$NR$15+1)*($NS$15-110+1)/$NU$15,$NN$15/$NT$15)),0)</f>
        <v/>
      </c>
      <c r="DK15" s="228">
        <f>IF(AND(111&gt;=$NR$15,111&lt;=$NS$15),IF($NP$15="Single_Point",IF(111=$NR$15,$NN$15,0),IF($NP$15="Bell_Curve",$NN$15*(111-$NR$15+1)*($NS$15-111+1)/$NU$15,$NN$15/$NT$15)),0)</f>
        <v/>
      </c>
      <c r="DL15" s="228">
        <f>IF(AND(112&gt;=$NR$15,112&lt;=$NS$15),IF($NP$15="Single_Point",IF(112=$NR$15,$NN$15,0),IF($NP$15="Bell_Curve",$NN$15*(112-$NR$15+1)*($NS$15-112+1)/$NU$15,$NN$15/$NT$15)),0)</f>
        <v/>
      </c>
      <c r="DM15" s="228">
        <f>IF(AND(113&gt;=$NR$15,113&lt;=$NS$15),IF($NP$15="Single_Point",IF(113=$NR$15,$NN$15,0),IF($NP$15="Bell_Curve",$NN$15*(113-$NR$15+1)*($NS$15-113+1)/$NU$15,$NN$15/$NT$15)),0)</f>
        <v/>
      </c>
      <c r="DN15" s="228">
        <f>IF(AND(114&gt;=$NR$15,114&lt;=$NS$15),IF($NP$15="Single_Point",IF(114=$NR$15,$NN$15,0),IF($NP$15="Bell_Curve",$NN$15*(114-$NR$15+1)*($NS$15-114+1)/$NU$15,$NN$15/$NT$15)),0)</f>
        <v/>
      </c>
      <c r="DO15" s="228">
        <f>IF(AND(115&gt;=$NR$15,115&lt;=$NS$15),IF($NP$15="Single_Point",IF(115=$NR$15,$NN$15,0),IF($NP$15="Bell_Curve",$NN$15*(115-$NR$15+1)*($NS$15-115+1)/$NU$15,$NN$15/$NT$15)),0)</f>
        <v/>
      </c>
      <c r="DP15" s="228">
        <f>IF(AND(116&gt;=$NR$15,116&lt;=$NS$15),IF($NP$15="Single_Point",IF(116=$NR$15,$NN$15,0),IF($NP$15="Bell_Curve",$NN$15*(116-$NR$15+1)*($NS$15-116+1)/$NU$15,$NN$15/$NT$15)),0)</f>
        <v/>
      </c>
      <c r="DQ15" s="228">
        <f>IF(AND(117&gt;=$NR$15,117&lt;=$NS$15),IF($NP$15="Single_Point",IF(117=$NR$15,$NN$15,0),IF($NP$15="Bell_Curve",$NN$15*(117-$NR$15+1)*($NS$15-117+1)/$NU$15,$NN$15/$NT$15)),0)</f>
        <v/>
      </c>
      <c r="DR15" s="228">
        <f>IF(AND(118&gt;=$NR$15,118&lt;=$NS$15),IF($NP$15="Single_Point",IF(118=$NR$15,$NN$15,0),IF($NP$15="Bell_Curve",$NN$15*(118-$NR$15+1)*($NS$15-118+1)/$NU$15,$NN$15/$NT$15)),0)</f>
        <v/>
      </c>
      <c r="DS15" s="228">
        <f>IF(AND(119&gt;=$NR$15,119&lt;=$NS$15),IF($NP$15="Single_Point",IF(119=$NR$15,$NN$15,0),IF($NP$15="Bell_Curve",$NN$15*(119-$NR$15+1)*($NS$15-119+1)/$NU$15,$NN$15/$NT$15)),0)</f>
        <v/>
      </c>
      <c r="DT15" s="228">
        <f>IF(AND(120&gt;=$NR$15,120&lt;=$NS$15),IF($NP$15="Single_Point",IF(120=$NR$15,$NN$15,0),IF($NP$15="Bell_Curve",$NN$15*(120-$NR$15+1)*($NS$15-120+1)/$NU$15,$NN$15/$NT$15)),0)</f>
        <v/>
      </c>
      <c r="DU15" s="228">
        <f>IF(AND(121&gt;=$NR$15,121&lt;=$NS$15),IF($NP$15="Single_Point",IF(121=$NR$15,$NN$15,0),IF($NP$15="Bell_Curve",$NN$15*(121-$NR$15+1)*($NS$15-121+1)/$NU$15,$NN$15/$NT$15)),0)</f>
        <v/>
      </c>
      <c r="DV15" s="228">
        <f>IF(AND(122&gt;=$NR$15,122&lt;=$NS$15),IF($NP$15="Single_Point",IF(122=$NR$15,$NN$15,0),IF($NP$15="Bell_Curve",$NN$15*(122-$NR$15+1)*($NS$15-122+1)/$NU$15,$NN$15/$NT$15)),0)</f>
        <v/>
      </c>
      <c r="DW15" s="228">
        <f>IF(AND(123&gt;=$NR$15,123&lt;=$NS$15),IF($NP$15="Single_Point",IF(123=$NR$15,$NN$15,0),IF($NP$15="Bell_Curve",$NN$15*(123-$NR$15+1)*($NS$15-123+1)/$NU$15,$NN$15/$NT$15)),0)</f>
        <v/>
      </c>
      <c r="DX15" s="228">
        <f>IF(AND(124&gt;=$NR$15,124&lt;=$NS$15),IF($NP$15="Single_Point",IF(124=$NR$15,$NN$15,0),IF($NP$15="Bell_Curve",$NN$15*(124-$NR$15+1)*($NS$15-124+1)/$NU$15,$NN$15/$NT$15)),0)</f>
        <v/>
      </c>
      <c r="DY15" s="228">
        <f>IF(AND(125&gt;=$NR$15,125&lt;=$NS$15),IF($NP$15="Single_Point",IF(125=$NR$15,$NN$15,0),IF($NP$15="Bell_Curve",$NN$15*(125-$NR$15+1)*($NS$15-125+1)/$NU$15,$NN$15/$NT$15)),0)</f>
        <v/>
      </c>
      <c r="DZ15" s="228">
        <f>IF(AND(126&gt;=$NR$15,126&lt;=$NS$15),IF($NP$15="Single_Point",IF(126=$NR$15,$NN$15,0),IF($NP$15="Bell_Curve",$NN$15*(126-$NR$15+1)*($NS$15-126+1)/$NU$15,$NN$15/$NT$15)),0)</f>
        <v/>
      </c>
      <c r="EA15" s="228">
        <f>IF(AND(127&gt;=$NR$15,127&lt;=$NS$15),IF($NP$15="Single_Point",IF(127=$NR$15,$NN$15,0),IF($NP$15="Bell_Curve",$NN$15*(127-$NR$15+1)*($NS$15-127+1)/$NU$15,$NN$15/$NT$15)),0)</f>
        <v/>
      </c>
      <c r="EB15" s="228">
        <f>IF(AND(128&gt;=$NR$15,128&lt;=$NS$15),IF($NP$15="Single_Point",IF(128=$NR$15,$NN$15,0),IF($NP$15="Bell_Curve",$NN$15*(128-$NR$15+1)*($NS$15-128+1)/$NU$15,$NN$15/$NT$15)),0)</f>
        <v/>
      </c>
      <c r="EC15" s="228">
        <f>IF(AND(129&gt;=$NR$15,129&lt;=$NS$15),IF($NP$15="Single_Point",IF(129=$NR$15,$NN$15,0),IF($NP$15="Bell_Curve",$NN$15*(129-$NR$15+1)*($NS$15-129+1)/$NU$15,$NN$15/$NT$15)),0)</f>
        <v/>
      </c>
      <c r="ED15" s="228">
        <f>IF(AND(130&gt;=$NR$15,130&lt;=$NS$15),IF($NP$15="Single_Point",IF(130=$NR$15,$NN$15,0),IF($NP$15="Bell_Curve",$NN$15*(130-$NR$15+1)*($NS$15-130+1)/$NU$15,$NN$15/$NT$15)),0)</f>
        <v/>
      </c>
      <c r="EE15" s="228">
        <f>IF(AND(131&gt;=$NR$15,131&lt;=$NS$15),IF($NP$15="Single_Point",IF(131=$NR$15,$NN$15,0),IF($NP$15="Bell_Curve",$NN$15*(131-$NR$15+1)*($NS$15-131+1)/$NU$15,$NN$15/$NT$15)),0)</f>
        <v/>
      </c>
      <c r="EF15" s="228">
        <f>IF(AND(132&gt;=$NR$15,132&lt;=$NS$15),IF($NP$15="Single_Point",IF(132=$NR$15,$NN$15,0),IF($NP$15="Bell_Curve",$NN$15*(132-$NR$15+1)*($NS$15-132+1)/$NU$15,$NN$15/$NT$15)),0)</f>
        <v/>
      </c>
      <c r="EG15" s="228">
        <f>IF(AND(133&gt;=$NR$15,133&lt;=$NS$15),IF($NP$15="Single_Point",IF(133=$NR$15,$NN$15,0),IF($NP$15="Bell_Curve",$NN$15*(133-$NR$15+1)*($NS$15-133+1)/$NU$15,$NN$15/$NT$15)),0)</f>
        <v/>
      </c>
      <c r="EH15" s="228">
        <f>IF(AND(134&gt;=$NR$15,134&lt;=$NS$15),IF($NP$15="Single_Point",IF(134=$NR$15,$NN$15,0),IF($NP$15="Bell_Curve",$NN$15*(134-$NR$15+1)*($NS$15-134+1)/$NU$15,$NN$15/$NT$15)),0)</f>
        <v/>
      </c>
      <c r="EI15" s="228">
        <f>IF(AND(135&gt;=$NR$15,135&lt;=$NS$15),IF($NP$15="Single_Point",IF(135=$NR$15,$NN$15,0),IF($NP$15="Bell_Curve",$NN$15*(135-$NR$15+1)*($NS$15-135+1)/$NU$15,$NN$15/$NT$15)),0)</f>
        <v/>
      </c>
      <c r="EJ15" s="228">
        <f>IF(AND(136&gt;=$NR$15,136&lt;=$NS$15),IF($NP$15="Single_Point",IF(136=$NR$15,$NN$15,0),IF($NP$15="Bell_Curve",$NN$15*(136-$NR$15+1)*($NS$15-136+1)/$NU$15,$NN$15/$NT$15)),0)</f>
        <v/>
      </c>
      <c r="EK15" s="228">
        <f>IF(AND(137&gt;=$NR$15,137&lt;=$NS$15),IF($NP$15="Single_Point",IF(137=$NR$15,$NN$15,0),IF($NP$15="Bell_Curve",$NN$15*(137-$NR$15+1)*($NS$15-137+1)/$NU$15,$NN$15/$NT$15)),0)</f>
        <v/>
      </c>
      <c r="EL15" s="228">
        <f>IF(AND(138&gt;=$NR$15,138&lt;=$NS$15),IF($NP$15="Single_Point",IF(138=$NR$15,$NN$15,0),IF($NP$15="Bell_Curve",$NN$15*(138-$NR$15+1)*($NS$15-138+1)/$NU$15,$NN$15/$NT$15)),0)</f>
        <v/>
      </c>
      <c r="EM15" s="228">
        <f>IF(AND(139&gt;=$NR$15,139&lt;=$NS$15),IF($NP$15="Single_Point",IF(139=$NR$15,$NN$15,0),IF($NP$15="Bell_Curve",$NN$15*(139-$NR$15+1)*($NS$15-139+1)/$NU$15,$NN$15/$NT$15)),0)</f>
        <v/>
      </c>
      <c r="EN15" s="228">
        <f>IF(AND(140&gt;=$NR$15,140&lt;=$NS$15),IF($NP$15="Single_Point",IF(140=$NR$15,$NN$15,0),IF($NP$15="Bell_Curve",$NN$15*(140-$NR$15+1)*($NS$15-140+1)/$NU$15,$NN$15/$NT$15)),0)</f>
        <v/>
      </c>
      <c r="EO15" s="228">
        <f>IF(AND(141&gt;=$NR$15,141&lt;=$NS$15),IF($NP$15="Single_Point",IF(141=$NR$15,$NN$15,0),IF($NP$15="Bell_Curve",$NN$15*(141-$NR$15+1)*($NS$15-141+1)/$NU$15,$NN$15/$NT$15)),0)</f>
        <v/>
      </c>
      <c r="EP15" s="228">
        <f>IF(AND(142&gt;=$NR$15,142&lt;=$NS$15),IF($NP$15="Single_Point",IF(142=$NR$15,$NN$15,0),IF($NP$15="Bell_Curve",$NN$15*(142-$NR$15+1)*($NS$15-142+1)/$NU$15,$NN$15/$NT$15)),0)</f>
        <v/>
      </c>
      <c r="EQ15" s="228">
        <f>IF(AND(143&gt;=$NR$15,143&lt;=$NS$15),IF($NP$15="Single_Point",IF(143=$NR$15,$NN$15,0),IF($NP$15="Bell_Curve",$NN$15*(143-$NR$15+1)*($NS$15-143+1)/$NU$15,$NN$15/$NT$15)),0)</f>
        <v/>
      </c>
      <c r="ER15" s="228">
        <f>IF(AND(144&gt;=$NR$15,144&lt;=$NS$15),IF($NP$15="Single_Point",IF(144=$NR$15,$NN$15,0),IF($NP$15="Bell_Curve",$NN$15*(144-$NR$15+1)*($NS$15-144+1)/$NU$15,$NN$15/$NT$15)),0)</f>
        <v/>
      </c>
      <c r="ES15" s="228">
        <f>IF(AND(145&gt;=$NR$15,145&lt;=$NS$15),IF($NP$15="Single_Point",IF(145=$NR$15,$NN$15,0),IF($NP$15="Bell_Curve",$NN$15*(145-$NR$15+1)*($NS$15-145+1)/$NU$15,$NN$15/$NT$15)),0)</f>
        <v/>
      </c>
      <c r="ET15" s="228">
        <f>IF(AND(146&gt;=$NR$15,146&lt;=$NS$15),IF($NP$15="Single_Point",IF(146=$NR$15,$NN$15,0),IF($NP$15="Bell_Curve",$NN$15*(146-$NR$15+1)*($NS$15-146+1)/$NU$15,$NN$15/$NT$15)),0)</f>
        <v/>
      </c>
      <c r="EU15" s="228">
        <f>IF(AND(147&gt;=$NR$15,147&lt;=$NS$15),IF($NP$15="Single_Point",IF(147=$NR$15,$NN$15,0),IF($NP$15="Bell_Curve",$NN$15*(147-$NR$15+1)*($NS$15-147+1)/$NU$15,$NN$15/$NT$15)),0)</f>
        <v/>
      </c>
      <c r="EV15" s="228">
        <f>IF(AND(148&gt;=$NR$15,148&lt;=$NS$15),IF($NP$15="Single_Point",IF(148=$NR$15,$NN$15,0),IF($NP$15="Bell_Curve",$NN$15*(148-$NR$15+1)*($NS$15-148+1)/$NU$15,$NN$15/$NT$15)),0)</f>
        <v/>
      </c>
      <c r="EW15" s="228">
        <f>IF(AND(149&gt;=$NR$15,149&lt;=$NS$15),IF($NP$15="Single_Point",IF(149=$NR$15,$NN$15,0),IF($NP$15="Bell_Curve",$NN$15*(149-$NR$15+1)*($NS$15-149+1)/$NU$15,$NN$15/$NT$15)),0)</f>
        <v/>
      </c>
      <c r="EX15" s="228">
        <f>IF(AND(150&gt;=$NR$15,150&lt;=$NS$15),IF($NP$15="Single_Point",IF(150=$NR$15,$NN$15,0),IF($NP$15="Bell_Curve",$NN$15*(150-$NR$15+1)*($NS$15-150+1)/$NU$15,$NN$15/$NT$15)),0)</f>
        <v/>
      </c>
      <c r="EY15" s="228">
        <f>IF(AND(151&gt;=$NR$15,151&lt;=$NS$15),IF($NP$15="Single_Point",IF(151=$NR$15,$NN$15,0),IF($NP$15="Bell_Curve",$NN$15*(151-$NR$15+1)*($NS$15-151+1)/$NU$15,$NN$15/$NT$15)),0)</f>
        <v/>
      </c>
      <c r="EZ15" s="228">
        <f>IF(AND(152&gt;=$NR$15,152&lt;=$NS$15),IF($NP$15="Single_Point",IF(152=$NR$15,$NN$15,0),IF($NP$15="Bell_Curve",$NN$15*(152-$NR$15+1)*($NS$15-152+1)/$NU$15,$NN$15/$NT$15)),0)</f>
        <v/>
      </c>
      <c r="FA15" s="228">
        <f>IF(AND(153&gt;=$NR$15,153&lt;=$NS$15),IF($NP$15="Single_Point",IF(153=$NR$15,$NN$15,0),IF($NP$15="Bell_Curve",$NN$15*(153-$NR$15+1)*($NS$15-153+1)/$NU$15,$NN$15/$NT$15)),0)</f>
        <v/>
      </c>
      <c r="FB15" s="228">
        <f>IF(AND(154&gt;=$NR$15,154&lt;=$NS$15),IF($NP$15="Single_Point",IF(154=$NR$15,$NN$15,0),IF($NP$15="Bell_Curve",$NN$15*(154-$NR$15+1)*($NS$15-154+1)/$NU$15,$NN$15/$NT$15)),0)</f>
        <v/>
      </c>
      <c r="FC15" s="228">
        <f>IF(AND(155&gt;=$NR$15,155&lt;=$NS$15),IF($NP$15="Single_Point",IF(155=$NR$15,$NN$15,0),IF($NP$15="Bell_Curve",$NN$15*(155-$NR$15+1)*($NS$15-155+1)/$NU$15,$NN$15/$NT$15)),0)</f>
        <v/>
      </c>
      <c r="FD15" s="228">
        <f>IF(AND(156&gt;=$NR$15,156&lt;=$NS$15),IF($NP$15="Single_Point",IF(156=$NR$15,$NN$15,0),IF($NP$15="Bell_Curve",$NN$15*(156-$NR$15+1)*($NS$15-156+1)/$NU$15,$NN$15/$NT$15)),0)</f>
        <v/>
      </c>
      <c r="FE15" s="228">
        <f>IF(AND(157&gt;=$NR$15,157&lt;=$NS$15),IF($NP$15="Single_Point",IF(157=$NR$15,$NN$15,0),IF($NP$15="Bell_Curve",$NN$15*(157-$NR$15+1)*($NS$15-157+1)/$NU$15,$NN$15/$NT$15)),0)</f>
        <v/>
      </c>
      <c r="FF15" s="228">
        <f>IF(AND(158&gt;=$NR$15,158&lt;=$NS$15),IF($NP$15="Single_Point",IF(158=$NR$15,$NN$15,0),IF($NP$15="Bell_Curve",$NN$15*(158-$NR$15+1)*($NS$15-158+1)/$NU$15,$NN$15/$NT$15)),0)</f>
        <v/>
      </c>
      <c r="FG15" s="228">
        <f>IF(AND(159&gt;=$NR$15,159&lt;=$NS$15),IF($NP$15="Single_Point",IF(159=$NR$15,$NN$15,0),IF($NP$15="Bell_Curve",$NN$15*(159-$NR$15+1)*($NS$15-159+1)/$NU$15,$NN$15/$NT$15)),0)</f>
        <v/>
      </c>
      <c r="FH15" s="228">
        <f>IF(AND(160&gt;=$NR$15,160&lt;=$NS$15),IF($NP$15="Single_Point",IF(160=$NR$15,$NN$15,0),IF($NP$15="Bell_Curve",$NN$15*(160-$NR$15+1)*($NS$15-160+1)/$NU$15,$NN$15/$NT$15)),0)</f>
        <v/>
      </c>
      <c r="FI15" s="228">
        <f>IF(AND(161&gt;=$NR$15,161&lt;=$NS$15),IF($NP$15="Single_Point",IF(161=$NR$15,$NN$15,0),IF($NP$15="Bell_Curve",$NN$15*(161-$NR$15+1)*($NS$15-161+1)/$NU$15,$NN$15/$NT$15)),0)</f>
        <v/>
      </c>
      <c r="FJ15" s="228">
        <f>IF(AND(162&gt;=$NR$15,162&lt;=$NS$15),IF($NP$15="Single_Point",IF(162=$NR$15,$NN$15,0),IF($NP$15="Bell_Curve",$NN$15*(162-$NR$15+1)*($NS$15-162+1)/$NU$15,$NN$15/$NT$15)),0)</f>
        <v/>
      </c>
      <c r="FK15" s="228">
        <f>IF(AND(163&gt;=$NR$15,163&lt;=$NS$15),IF($NP$15="Single_Point",IF(163=$NR$15,$NN$15,0),IF($NP$15="Bell_Curve",$NN$15*(163-$NR$15+1)*($NS$15-163+1)/$NU$15,$NN$15/$NT$15)),0)</f>
        <v/>
      </c>
      <c r="FL15" s="228">
        <f>IF(AND(164&gt;=$NR$15,164&lt;=$NS$15),IF($NP$15="Single_Point",IF(164=$NR$15,$NN$15,0),IF($NP$15="Bell_Curve",$NN$15*(164-$NR$15+1)*($NS$15-164+1)/$NU$15,$NN$15/$NT$15)),0)</f>
        <v/>
      </c>
      <c r="FM15" s="228">
        <f>IF(AND(165&gt;=$NR$15,165&lt;=$NS$15),IF($NP$15="Single_Point",IF(165=$NR$15,$NN$15,0),IF($NP$15="Bell_Curve",$NN$15*(165-$NR$15+1)*($NS$15-165+1)/$NU$15,$NN$15/$NT$15)),0)</f>
        <v/>
      </c>
      <c r="FN15" s="228">
        <f>IF(AND(166&gt;=$NR$15,166&lt;=$NS$15),IF($NP$15="Single_Point",IF(166=$NR$15,$NN$15,0),IF($NP$15="Bell_Curve",$NN$15*(166-$NR$15+1)*($NS$15-166+1)/$NU$15,$NN$15/$NT$15)),0)</f>
        <v/>
      </c>
      <c r="FO15" s="228">
        <f>IF(AND(167&gt;=$NR$15,167&lt;=$NS$15),IF($NP$15="Single_Point",IF(167=$NR$15,$NN$15,0),IF($NP$15="Bell_Curve",$NN$15*(167-$NR$15+1)*($NS$15-167+1)/$NU$15,$NN$15/$NT$15)),0)</f>
        <v/>
      </c>
      <c r="FP15" s="228">
        <f>IF(AND(168&gt;=$NR$15,168&lt;=$NS$15),IF($NP$15="Single_Point",IF(168=$NR$15,$NN$15,0),IF($NP$15="Bell_Curve",$NN$15*(168-$NR$15+1)*($NS$15-168+1)/$NU$15,$NN$15/$NT$15)),0)</f>
        <v/>
      </c>
      <c r="FQ15" s="228">
        <f>IF(AND(169&gt;=$NR$15,169&lt;=$NS$15),IF($NP$15="Single_Point",IF(169=$NR$15,$NN$15,0),IF($NP$15="Bell_Curve",$NN$15*(169-$NR$15+1)*($NS$15-169+1)/$NU$15,$NN$15/$NT$15)),0)</f>
        <v/>
      </c>
      <c r="FR15" s="228">
        <f>IF(AND(170&gt;=$NR$15,170&lt;=$NS$15),IF($NP$15="Single_Point",IF(170=$NR$15,$NN$15,0),IF($NP$15="Bell_Curve",$NN$15*(170-$NR$15+1)*($NS$15-170+1)/$NU$15,$NN$15/$NT$15)),0)</f>
        <v/>
      </c>
      <c r="FS15" s="228">
        <f>IF(AND(171&gt;=$NR$15,171&lt;=$NS$15),IF($NP$15="Single_Point",IF(171=$NR$15,$NN$15,0),IF($NP$15="Bell_Curve",$NN$15*(171-$NR$15+1)*($NS$15-171+1)/$NU$15,$NN$15/$NT$15)),0)</f>
        <v/>
      </c>
      <c r="FT15" s="228">
        <f>IF(AND(172&gt;=$NR$15,172&lt;=$NS$15),IF($NP$15="Single_Point",IF(172=$NR$15,$NN$15,0),IF($NP$15="Bell_Curve",$NN$15*(172-$NR$15+1)*($NS$15-172+1)/$NU$15,$NN$15/$NT$15)),0)</f>
        <v/>
      </c>
      <c r="FU15" s="228">
        <f>IF(AND(173&gt;=$NR$15,173&lt;=$NS$15),IF($NP$15="Single_Point",IF(173=$NR$15,$NN$15,0),IF($NP$15="Bell_Curve",$NN$15*(173-$NR$15+1)*($NS$15-173+1)/$NU$15,$NN$15/$NT$15)),0)</f>
        <v/>
      </c>
      <c r="FV15" s="228">
        <f>IF(AND(174&gt;=$NR$15,174&lt;=$NS$15),IF($NP$15="Single_Point",IF(174=$NR$15,$NN$15,0),IF($NP$15="Bell_Curve",$NN$15*(174-$NR$15+1)*($NS$15-174+1)/$NU$15,$NN$15/$NT$15)),0)</f>
        <v/>
      </c>
      <c r="FW15" s="228">
        <f>IF(AND(175&gt;=$NR$15,175&lt;=$NS$15),IF($NP$15="Single_Point",IF(175=$NR$15,$NN$15,0),IF($NP$15="Bell_Curve",$NN$15*(175-$NR$15+1)*($NS$15-175+1)/$NU$15,$NN$15/$NT$15)),0)</f>
        <v/>
      </c>
      <c r="FX15" s="228">
        <f>IF(AND(176&gt;=$NR$15,176&lt;=$NS$15),IF($NP$15="Single_Point",IF(176=$NR$15,$NN$15,0),IF($NP$15="Bell_Curve",$NN$15*(176-$NR$15+1)*($NS$15-176+1)/$NU$15,$NN$15/$NT$15)),0)</f>
        <v/>
      </c>
      <c r="FY15" s="228">
        <f>IF(AND(177&gt;=$NR$15,177&lt;=$NS$15),IF($NP$15="Single_Point",IF(177=$NR$15,$NN$15,0),IF($NP$15="Bell_Curve",$NN$15*(177-$NR$15+1)*($NS$15-177+1)/$NU$15,$NN$15/$NT$15)),0)</f>
        <v/>
      </c>
      <c r="FZ15" s="228">
        <f>IF(AND(178&gt;=$NR$15,178&lt;=$NS$15),IF($NP$15="Single_Point",IF(178=$NR$15,$NN$15,0),IF($NP$15="Bell_Curve",$NN$15*(178-$NR$15+1)*($NS$15-178+1)/$NU$15,$NN$15/$NT$15)),0)</f>
        <v/>
      </c>
      <c r="GA15" s="228">
        <f>IF(AND(179&gt;=$NR$15,179&lt;=$NS$15),IF($NP$15="Single_Point",IF(179=$NR$15,$NN$15,0),IF($NP$15="Bell_Curve",$NN$15*(179-$NR$15+1)*($NS$15-179+1)/$NU$15,$NN$15/$NT$15)),0)</f>
        <v/>
      </c>
      <c r="GB15" s="228">
        <f>IF(AND(180&gt;=$NR$15,180&lt;=$NS$15),IF($NP$15="Single_Point",IF(180=$NR$15,$NN$15,0),IF($NP$15="Bell_Curve",$NN$15*(180-$NR$15+1)*($NS$15-180+1)/$NU$15,$NN$15/$NT$15)),0)</f>
        <v/>
      </c>
      <c r="GC15" s="228">
        <f>IF(AND(181&gt;=$NR$15,181&lt;=$NS$15),IF($NP$15="Single_Point",IF(181=$NR$15,$NN$15,0),IF($NP$15="Bell_Curve",$NN$15*(181-$NR$15+1)*($NS$15-181+1)/$NU$15,$NN$15/$NT$15)),0)</f>
        <v/>
      </c>
      <c r="GD15" s="228">
        <f>IF(AND(182&gt;=$NR$15,182&lt;=$NS$15),IF($NP$15="Single_Point",IF(182=$NR$15,$NN$15,0),IF($NP$15="Bell_Curve",$NN$15*(182-$NR$15+1)*($NS$15-182+1)/$NU$15,$NN$15/$NT$15)),0)</f>
        <v/>
      </c>
      <c r="GE15" s="228">
        <f>IF(AND(183&gt;=$NR$15,183&lt;=$NS$15),IF($NP$15="Single_Point",IF(183=$NR$15,$NN$15,0),IF($NP$15="Bell_Curve",$NN$15*(183-$NR$15+1)*($NS$15-183+1)/$NU$15,$NN$15/$NT$15)),0)</f>
        <v/>
      </c>
      <c r="GF15" s="228">
        <f>IF(AND(184&gt;=$NR$15,184&lt;=$NS$15),IF($NP$15="Single_Point",IF(184=$NR$15,$NN$15,0),IF($NP$15="Bell_Curve",$NN$15*(184-$NR$15+1)*($NS$15-184+1)/$NU$15,$NN$15/$NT$15)),0)</f>
        <v/>
      </c>
      <c r="GG15" s="228">
        <f>IF(AND(185&gt;=$NR$15,185&lt;=$NS$15),IF($NP$15="Single_Point",IF(185=$NR$15,$NN$15,0),IF($NP$15="Bell_Curve",$NN$15*(185-$NR$15+1)*($NS$15-185+1)/$NU$15,$NN$15/$NT$15)),0)</f>
        <v/>
      </c>
      <c r="GH15" s="228">
        <f>IF(AND(186&gt;=$NR$15,186&lt;=$NS$15),IF($NP$15="Single_Point",IF(186=$NR$15,$NN$15,0),IF($NP$15="Bell_Curve",$NN$15*(186-$NR$15+1)*($NS$15-186+1)/$NU$15,$NN$15/$NT$15)),0)</f>
        <v/>
      </c>
      <c r="GI15" s="228">
        <f>IF(AND(187&gt;=$NR$15,187&lt;=$NS$15),IF($NP$15="Single_Point",IF(187=$NR$15,$NN$15,0),IF($NP$15="Bell_Curve",$NN$15*(187-$NR$15+1)*($NS$15-187+1)/$NU$15,$NN$15/$NT$15)),0)</f>
        <v/>
      </c>
      <c r="GJ15" s="228">
        <f>IF(AND(188&gt;=$NR$15,188&lt;=$NS$15),IF($NP$15="Single_Point",IF(188=$NR$15,$NN$15,0),IF($NP$15="Bell_Curve",$NN$15*(188-$NR$15+1)*($NS$15-188+1)/$NU$15,$NN$15/$NT$15)),0)</f>
        <v/>
      </c>
      <c r="GK15" s="228">
        <f>IF(AND(189&gt;=$NR$15,189&lt;=$NS$15),IF($NP$15="Single_Point",IF(189=$NR$15,$NN$15,0),IF($NP$15="Bell_Curve",$NN$15*(189-$NR$15+1)*($NS$15-189+1)/$NU$15,$NN$15/$NT$15)),0)</f>
        <v/>
      </c>
      <c r="GL15" s="228">
        <f>IF(AND(190&gt;=$NR$15,190&lt;=$NS$15),IF($NP$15="Single_Point",IF(190=$NR$15,$NN$15,0),IF($NP$15="Bell_Curve",$NN$15*(190-$NR$15+1)*($NS$15-190+1)/$NU$15,$NN$15/$NT$15)),0)</f>
        <v/>
      </c>
      <c r="GM15" s="228">
        <f>IF(AND(191&gt;=$NR$15,191&lt;=$NS$15),IF($NP$15="Single_Point",IF(191=$NR$15,$NN$15,0),IF($NP$15="Bell_Curve",$NN$15*(191-$NR$15+1)*($NS$15-191+1)/$NU$15,$NN$15/$NT$15)),0)</f>
        <v/>
      </c>
      <c r="GN15" s="228">
        <f>IF(AND(192&gt;=$NR$15,192&lt;=$NS$15),IF($NP$15="Single_Point",IF(192=$NR$15,$NN$15,0),IF($NP$15="Bell_Curve",$NN$15*(192-$NR$15+1)*($NS$15-192+1)/$NU$15,$NN$15/$NT$15)),0)</f>
        <v/>
      </c>
      <c r="GO15" s="228">
        <f>IF(AND(193&gt;=$NR$15,193&lt;=$NS$15),IF($NP$15="Single_Point",IF(193=$NR$15,$NN$15,0),IF($NP$15="Bell_Curve",$NN$15*(193-$NR$15+1)*($NS$15-193+1)/$NU$15,$NN$15/$NT$15)),0)</f>
        <v/>
      </c>
      <c r="GP15" s="228">
        <f>IF(AND(194&gt;=$NR$15,194&lt;=$NS$15),IF($NP$15="Single_Point",IF(194=$NR$15,$NN$15,0),IF($NP$15="Bell_Curve",$NN$15*(194-$NR$15+1)*($NS$15-194+1)/$NU$15,$NN$15/$NT$15)),0)</f>
        <v/>
      </c>
      <c r="GQ15" s="228">
        <f>IF(AND(195&gt;=$NR$15,195&lt;=$NS$15),IF($NP$15="Single_Point",IF(195=$NR$15,$NN$15,0),IF($NP$15="Bell_Curve",$NN$15*(195-$NR$15+1)*($NS$15-195+1)/$NU$15,$NN$15/$NT$15)),0)</f>
        <v/>
      </c>
      <c r="GR15" s="228">
        <f>IF(AND(196&gt;=$NR$15,196&lt;=$NS$15),IF($NP$15="Single_Point",IF(196=$NR$15,$NN$15,0),IF($NP$15="Bell_Curve",$NN$15*(196-$NR$15+1)*($NS$15-196+1)/$NU$15,$NN$15/$NT$15)),0)</f>
        <v/>
      </c>
      <c r="GS15" s="228">
        <f>IF(AND(197&gt;=$NR$15,197&lt;=$NS$15),IF($NP$15="Single_Point",IF(197=$NR$15,$NN$15,0),IF($NP$15="Bell_Curve",$NN$15*(197-$NR$15+1)*($NS$15-197+1)/$NU$15,$NN$15/$NT$15)),0)</f>
        <v/>
      </c>
      <c r="GT15" s="228">
        <f>IF(AND(198&gt;=$NR$15,198&lt;=$NS$15),IF($NP$15="Single_Point",IF(198=$NR$15,$NN$15,0),IF($NP$15="Bell_Curve",$NN$15*(198-$NR$15+1)*($NS$15-198+1)/$NU$15,$NN$15/$NT$15)),0)</f>
        <v/>
      </c>
      <c r="GU15" s="228">
        <f>IF(AND(199&gt;=$NR$15,199&lt;=$NS$15),IF($NP$15="Single_Point",IF(199=$NR$15,$NN$15,0),IF($NP$15="Bell_Curve",$NN$15*(199-$NR$15+1)*($NS$15-199+1)/$NU$15,$NN$15/$NT$15)),0)</f>
        <v/>
      </c>
      <c r="GV15" s="228">
        <f>IF(AND(200&gt;=$NR$15,200&lt;=$NS$15),IF($NP$15="Single_Point",IF(200=$NR$15,$NN$15,0),IF($NP$15="Bell_Curve",$NN$15*(200-$NR$15+1)*($NS$15-200+1)/$NU$15,$NN$15/$NT$15)),0)</f>
        <v/>
      </c>
      <c r="GW15" s="228">
        <f>IF(AND(201&gt;=$NR$15,201&lt;=$NS$15),IF($NP$15="Single_Point",IF(201=$NR$15,$NN$15,0),IF($NP$15="Bell_Curve",$NN$15*(201-$NR$15+1)*($NS$15-201+1)/$NU$15,$NN$15/$NT$15)),0)</f>
        <v/>
      </c>
      <c r="GX15" s="228">
        <f>IF(AND(202&gt;=$NR$15,202&lt;=$NS$15),IF($NP$15="Single_Point",IF(202=$NR$15,$NN$15,0),IF($NP$15="Bell_Curve",$NN$15*(202-$NR$15+1)*($NS$15-202+1)/$NU$15,$NN$15/$NT$15)),0)</f>
        <v/>
      </c>
      <c r="GY15" s="228">
        <f>IF(AND(203&gt;=$NR$15,203&lt;=$NS$15),IF($NP$15="Single_Point",IF(203=$NR$15,$NN$15,0),IF($NP$15="Bell_Curve",$NN$15*(203-$NR$15+1)*($NS$15-203+1)/$NU$15,$NN$15/$NT$15)),0)</f>
        <v/>
      </c>
      <c r="GZ15" s="228">
        <f>IF(AND(204&gt;=$NR$15,204&lt;=$NS$15),IF($NP$15="Single_Point",IF(204=$NR$15,$NN$15,0),IF($NP$15="Bell_Curve",$NN$15*(204-$NR$15+1)*($NS$15-204+1)/$NU$15,$NN$15/$NT$15)),0)</f>
        <v/>
      </c>
      <c r="HA15" s="228">
        <f>IF(AND(205&gt;=$NR$15,205&lt;=$NS$15),IF($NP$15="Single_Point",IF(205=$NR$15,$NN$15,0),IF($NP$15="Bell_Curve",$NN$15*(205-$NR$15+1)*($NS$15-205+1)/$NU$15,$NN$15/$NT$15)),0)</f>
        <v/>
      </c>
      <c r="HB15" s="228">
        <f>IF(AND(206&gt;=$NR$15,206&lt;=$NS$15),IF($NP$15="Single_Point",IF(206=$NR$15,$NN$15,0),IF($NP$15="Bell_Curve",$NN$15*(206-$NR$15+1)*($NS$15-206+1)/$NU$15,$NN$15/$NT$15)),0)</f>
        <v/>
      </c>
      <c r="HC15" s="228">
        <f>IF(AND(207&gt;=$NR$15,207&lt;=$NS$15),IF($NP$15="Single_Point",IF(207=$NR$15,$NN$15,0),IF($NP$15="Bell_Curve",$NN$15*(207-$NR$15+1)*($NS$15-207+1)/$NU$15,$NN$15/$NT$15)),0)</f>
        <v/>
      </c>
      <c r="HD15" s="228">
        <f>IF(AND(208&gt;=$NR$15,208&lt;=$NS$15),IF($NP$15="Single_Point",IF(208=$NR$15,$NN$15,0),IF($NP$15="Bell_Curve",$NN$15*(208-$NR$15+1)*($NS$15-208+1)/$NU$15,$NN$15/$NT$15)),0)</f>
        <v/>
      </c>
      <c r="HE15" s="228">
        <f>IF(AND(209&gt;=$NR$15,209&lt;=$NS$15),IF($NP$15="Single_Point",IF(209=$NR$15,$NN$15,0),IF($NP$15="Bell_Curve",$NN$15*(209-$NR$15+1)*($NS$15-209+1)/$NU$15,$NN$15/$NT$15)),0)</f>
        <v/>
      </c>
      <c r="HF15" s="228">
        <f>IF(AND(210&gt;=$NR$15,210&lt;=$NS$15),IF($NP$15="Single_Point",IF(210=$NR$15,$NN$15,0),IF($NP$15="Bell_Curve",$NN$15*(210-$NR$15+1)*($NS$15-210+1)/$NU$15,$NN$15/$NT$15)),0)</f>
        <v/>
      </c>
      <c r="HG15" s="228">
        <f>IF(AND(211&gt;=$NR$15,211&lt;=$NS$15),IF($NP$15="Single_Point",IF(211=$NR$15,$NN$15,0),IF($NP$15="Bell_Curve",$NN$15*(211-$NR$15+1)*($NS$15-211+1)/$NU$15,$NN$15/$NT$15)),0)</f>
        <v/>
      </c>
      <c r="HH15" s="228">
        <f>IF(AND(212&gt;=$NR$15,212&lt;=$NS$15),IF($NP$15="Single_Point",IF(212=$NR$15,$NN$15,0),IF($NP$15="Bell_Curve",$NN$15*(212-$NR$15+1)*($NS$15-212+1)/$NU$15,$NN$15/$NT$15)),0)</f>
        <v/>
      </c>
      <c r="HI15" s="228">
        <f>IF(AND(213&gt;=$NR$15,213&lt;=$NS$15),IF($NP$15="Single_Point",IF(213=$NR$15,$NN$15,0),IF($NP$15="Bell_Curve",$NN$15*(213-$NR$15+1)*($NS$15-213+1)/$NU$15,$NN$15/$NT$15)),0)</f>
        <v/>
      </c>
      <c r="HJ15" s="228">
        <f>IF(AND(214&gt;=$NR$15,214&lt;=$NS$15),IF($NP$15="Single_Point",IF(214=$NR$15,$NN$15,0),IF($NP$15="Bell_Curve",$NN$15*(214-$NR$15+1)*($NS$15-214+1)/$NU$15,$NN$15/$NT$15)),0)</f>
        <v/>
      </c>
      <c r="HK15" s="228">
        <f>IF(AND(215&gt;=$NR$15,215&lt;=$NS$15),IF($NP$15="Single_Point",IF(215=$NR$15,$NN$15,0),IF($NP$15="Bell_Curve",$NN$15*(215-$NR$15+1)*($NS$15-215+1)/$NU$15,$NN$15/$NT$15)),0)</f>
        <v/>
      </c>
      <c r="HL15" s="228">
        <f>IF(AND(216&gt;=$NR$15,216&lt;=$NS$15),IF($NP$15="Single_Point",IF(216=$NR$15,$NN$15,0),IF($NP$15="Bell_Curve",$NN$15*(216-$NR$15+1)*($NS$15-216+1)/$NU$15,$NN$15/$NT$15)),0)</f>
        <v/>
      </c>
      <c r="HM15" s="228">
        <f>IF(AND(217&gt;=$NR$15,217&lt;=$NS$15),IF($NP$15="Single_Point",IF(217=$NR$15,$NN$15,0),IF($NP$15="Bell_Curve",$NN$15*(217-$NR$15+1)*($NS$15-217+1)/$NU$15,$NN$15/$NT$15)),0)</f>
        <v/>
      </c>
      <c r="HN15" s="228">
        <f>IF(AND(218&gt;=$NR$15,218&lt;=$NS$15),IF($NP$15="Single_Point",IF(218=$NR$15,$NN$15,0),IF($NP$15="Bell_Curve",$NN$15*(218-$NR$15+1)*($NS$15-218+1)/$NU$15,$NN$15/$NT$15)),0)</f>
        <v/>
      </c>
      <c r="HO15" s="228">
        <f>IF(AND(219&gt;=$NR$15,219&lt;=$NS$15),IF($NP$15="Single_Point",IF(219=$NR$15,$NN$15,0),IF($NP$15="Bell_Curve",$NN$15*(219-$NR$15+1)*($NS$15-219+1)/$NU$15,$NN$15/$NT$15)),0)</f>
        <v/>
      </c>
      <c r="HP15" s="228">
        <f>IF(AND(220&gt;=$NR$15,220&lt;=$NS$15),IF($NP$15="Single_Point",IF(220=$NR$15,$NN$15,0),IF($NP$15="Bell_Curve",$NN$15*(220-$NR$15+1)*($NS$15-220+1)/$NU$15,$NN$15/$NT$15)),0)</f>
        <v/>
      </c>
      <c r="HQ15" s="228">
        <f>IF(AND(221&gt;=$NR$15,221&lt;=$NS$15),IF($NP$15="Single_Point",IF(221=$NR$15,$NN$15,0),IF($NP$15="Bell_Curve",$NN$15*(221-$NR$15+1)*($NS$15-221+1)/$NU$15,$NN$15/$NT$15)),0)</f>
        <v/>
      </c>
      <c r="HR15" s="228">
        <f>IF(AND(222&gt;=$NR$15,222&lt;=$NS$15),IF($NP$15="Single_Point",IF(222=$NR$15,$NN$15,0),IF($NP$15="Bell_Curve",$NN$15*(222-$NR$15+1)*($NS$15-222+1)/$NU$15,$NN$15/$NT$15)),0)</f>
        <v/>
      </c>
      <c r="HS15" s="228">
        <f>IF(AND(223&gt;=$NR$15,223&lt;=$NS$15),IF($NP$15="Single_Point",IF(223=$NR$15,$NN$15,0),IF($NP$15="Bell_Curve",$NN$15*(223-$NR$15+1)*($NS$15-223+1)/$NU$15,$NN$15/$NT$15)),0)</f>
        <v/>
      </c>
      <c r="HT15" s="228">
        <f>IF(AND(224&gt;=$NR$15,224&lt;=$NS$15),IF($NP$15="Single_Point",IF(224=$NR$15,$NN$15,0),IF($NP$15="Bell_Curve",$NN$15*(224-$NR$15+1)*($NS$15-224+1)/$NU$15,$NN$15/$NT$15)),0)</f>
        <v/>
      </c>
      <c r="HU15" s="228">
        <f>IF(AND(225&gt;=$NR$15,225&lt;=$NS$15),IF($NP$15="Single_Point",IF(225=$NR$15,$NN$15,0),IF($NP$15="Bell_Curve",$NN$15*(225-$NR$15+1)*($NS$15-225+1)/$NU$15,$NN$15/$NT$15)),0)</f>
        <v/>
      </c>
      <c r="HV15" s="228">
        <f>IF(AND(226&gt;=$NR$15,226&lt;=$NS$15),IF($NP$15="Single_Point",IF(226=$NR$15,$NN$15,0),IF($NP$15="Bell_Curve",$NN$15*(226-$NR$15+1)*($NS$15-226+1)/$NU$15,$NN$15/$NT$15)),0)</f>
        <v/>
      </c>
      <c r="HW15" s="228">
        <f>IF(AND(227&gt;=$NR$15,227&lt;=$NS$15),IF($NP$15="Single_Point",IF(227=$NR$15,$NN$15,0),IF($NP$15="Bell_Curve",$NN$15*(227-$NR$15+1)*($NS$15-227+1)/$NU$15,$NN$15/$NT$15)),0)</f>
        <v/>
      </c>
      <c r="HX15" s="228">
        <f>IF(AND(228&gt;=$NR$15,228&lt;=$NS$15),IF($NP$15="Single_Point",IF(228=$NR$15,$NN$15,0),IF($NP$15="Bell_Curve",$NN$15*(228-$NR$15+1)*($NS$15-228+1)/$NU$15,$NN$15/$NT$15)),0)</f>
        <v/>
      </c>
      <c r="HY15" s="228">
        <f>IF(AND(229&gt;=$NR$15,229&lt;=$NS$15),IF($NP$15="Single_Point",IF(229=$NR$15,$NN$15,0),IF($NP$15="Bell_Curve",$NN$15*(229-$NR$15+1)*($NS$15-229+1)/$NU$15,$NN$15/$NT$15)),0)</f>
        <v/>
      </c>
      <c r="HZ15" s="228">
        <f>IF(AND(230&gt;=$NR$15,230&lt;=$NS$15),IF($NP$15="Single_Point",IF(230=$NR$15,$NN$15,0),IF($NP$15="Bell_Curve",$NN$15*(230-$NR$15+1)*($NS$15-230+1)/$NU$15,$NN$15/$NT$15)),0)</f>
        <v/>
      </c>
      <c r="IA15" s="228">
        <f>IF(AND(231&gt;=$NR$15,231&lt;=$NS$15),IF($NP$15="Single_Point",IF(231=$NR$15,$NN$15,0),IF($NP$15="Bell_Curve",$NN$15*(231-$NR$15+1)*($NS$15-231+1)/$NU$15,$NN$15/$NT$15)),0)</f>
        <v/>
      </c>
      <c r="IB15" s="228">
        <f>IF(AND(232&gt;=$NR$15,232&lt;=$NS$15),IF($NP$15="Single_Point",IF(232=$NR$15,$NN$15,0),IF($NP$15="Bell_Curve",$NN$15*(232-$NR$15+1)*($NS$15-232+1)/$NU$15,$NN$15/$NT$15)),0)</f>
        <v/>
      </c>
      <c r="IC15" s="228">
        <f>IF(AND(233&gt;=$NR$15,233&lt;=$NS$15),IF($NP$15="Single_Point",IF(233=$NR$15,$NN$15,0),IF($NP$15="Bell_Curve",$NN$15*(233-$NR$15+1)*($NS$15-233+1)/$NU$15,$NN$15/$NT$15)),0)</f>
        <v/>
      </c>
      <c r="ID15" s="228">
        <f>IF(AND(234&gt;=$NR$15,234&lt;=$NS$15),IF($NP$15="Single_Point",IF(234=$NR$15,$NN$15,0),IF($NP$15="Bell_Curve",$NN$15*(234-$NR$15+1)*($NS$15-234+1)/$NU$15,$NN$15/$NT$15)),0)</f>
        <v/>
      </c>
      <c r="IE15" s="228">
        <f>IF(AND(235&gt;=$NR$15,235&lt;=$NS$15),IF($NP$15="Single_Point",IF(235=$NR$15,$NN$15,0),IF($NP$15="Bell_Curve",$NN$15*(235-$NR$15+1)*($NS$15-235+1)/$NU$15,$NN$15/$NT$15)),0)</f>
        <v/>
      </c>
      <c r="IF15" s="228">
        <f>IF(AND(236&gt;=$NR$15,236&lt;=$NS$15),IF($NP$15="Single_Point",IF(236=$NR$15,$NN$15,0),IF($NP$15="Bell_Curve",$NN$15*(236-$NR$15+1)*($NS$15-236+1)/$NU$15,$NN$15/$NT$15)),0)</f>
        <v/>
      </c>
      <c r="IG15" s="228">
        <f>IF(AND(237&gt;=$NR$15,237&lt;=$NS$15),IF($NP$15="Single_Point",IF(237=$NR$15,$NN$15,0),IF($NP$15="Bell_Curve",$NN$15*(237-$NR$15+1)*($NS$15-237+1)/$NU$15,$NN$15/$NT$15)),0)</f>
        <v/>
      </c>
      <c r="IH15" s="228">
        <f>IF(AND(238&gt;=$NR$15,238&lt;=$NS$15),IF($NP$15="Single_Point",IF(238=$NR$15,$NN$15,0),IF($NP$15="Bell_Curve",$NN$15*(238-$NR$15+1)*($NS$15-238+1)/$NU$15,$NN$15/$NT$15)),0)</f>
        <v/>
      </c>
      <c r="II15" s="228">
        <f>IF(AND(239&gt;=$NR$15,239&lt;=$NS$15),IF($NP$15="Single_Point",IF(239=$NR$15,$NN$15,0),IF($NP$15="Bell_Curve",$NN$15*(239-$NR$15+1)*($NS$15-239+1)/$NU$15,$NN$15/$NT$15)),0)</f>
        <v/>
      </c>
      <c r="IJ15" s="228">
        <f>IF(AND(240&gt;=$NR$15,240&lt;=$NS$15),IF($NP$15="Single_Point",IF(240=$NR$15,$NN$15,0),IF($NP$15="Bell_Curve",$NN$15*(240-$NR$15+1)*($NS$15-240+1)/$NU$15,$NN$15/$NT$15)),0)</f>
        <v/>
      </c>
      <c r="IK15" s="228">
        <f>IF(AND(241&gt;=$NR$15,241&lt;=$NS$15),IF($NP$15="Single_Point",IF(241=$NR$15,$NN$15,0),IF($NP$15="Bell_Curve",$NN$15*(241-$NR$15+1)*($NS$15-241+1)/$NU$15,$NN$15/$NT$15)),0)</f>
        <v/>
      </c>
      <c r="IL15" s="228">
        <f>IF(AND(242&gt;=$NR$15,242&lt;=$NS$15),IF($NP$15="Single_Point",IF(242=$NR$15,$NN$15,0),IF($NP$15="Bell_Curve",$NN$15*(242-$NR$15+1)*($NS$15-242+1)/$NU$15,$NN$15/$NT$15)),0)</f>
        <v/>
      </c>
      <c r="IM15" s="228">
        <f>IF(AND(243&gt;=$NR$15,243&lt;=$NS$15),IF($NP$15="Single_Point",IF(243=$NR$15,$NN$15,0),IF($NP$15="Bell_Curve",$NN$15*(243-$NR$15+1)*($NS$15-243+1)/$NU$15,$NN$15/$NT$15)),0)</f>
        <v/>
      </c>
      <c r="IN15" s="228">
        <f>IF(AND(244&gt;=$NR$15,244&lt;=$NS$15),IF($NP$15="Single_Point",IF(244=$NR$15,$NN$15,0),IF($NP$15="Bell_Curve",$NN$15*(244-$NR$15+1)*($NS$15-244+1)/$NU$15,$NN$15/$NT$15)),0)</f>
        <v/>
      </c>
      <c r="IO15" s="228">
        <f>IF(AND(245&gt;=$NR$15,245&lt;=$NS$15),IF($NP$15="Single_Point",IF(245=$NR$15,$NN$15,0),IF($NP$15="Bell_Curve",$NN$15*(245-$NR$15+1)*($NS$15-245+1)/$NU$15,$NN$15/$NT$15)),0)</f>
        <v/>
      </c>
      <c r="IP15" s="228">
        <f>IF(AND(246&gt;=$NR$15,246&lt;=$NS$15),IF($NP$15="Single_Point",IF(246=$NR$15,$NN$15,0),IF($NP$15="Bell_Curve",$NN$15*(246-$NR$15+1)*($NS$15-246+1)/$NU$15,$NN$15/$NT$15)),0)</f>
        <v/>
      </c>
      <c r="IQ15" s="228">
        <f>IF(AND(247&gt;=$NR$15,247&lt;=$NS$15),IF($NP$15="Single_Point",IF(247=$NR$15,$NN$15,0),IF($NP$15="Bell_Curve",$NN$15*(247-$NR$15+1)*($NS$15-247+1)/$NU$15,$NN$15/$NT$15)),0)</f>
        <v/>
      </c>
      <c r="IR15" s="228">
        <f>IF(AND(248&gt;=$NR$15,248&lt;=$NS$15),IF($NP$15="Single_Point",IF(248=$NR$15,$NN$15,0),IF($NP$15="Bell_Curve",$NN$15*(248-$NR$15+1)*($NS$15-248+1)/$NU$15,$NN$15/$NT$15)),0)</f>
        <v/>
      </c>
      <c r="IS15" s="228">
        <f>IF(AND(249&gt;=$NR$15,249&lt;=$NS$15),IF($NP$15="Single_Point",IF(249=$NR$15,$NN$15,0),IF($NP$15="Bell_Curve",$NN$15*(249-$NR$15+1)*($NS$15-249+1)/$NU$15,$NN$15/$NT$15)),0)</f>
        <v/>
      </c>
      <c r="IT15" s="228">
        <f>IF(AND(250&gt;=$NR$15,250&lt;=$NS$15),IF($NP$15="Single_Point",IF(250=$NR$15,$NN$15,0),IF($NP$15="Bell_Curve",$NN$15*(250-$NR$15+1)*($NS$15-250+1)/$NU$15,$NN$15/$NT$15)),0)</f>
        <v/>
      </c>
      <c r="IU15" s="228">
        <f>IF(AND(251&gt;=$NR$15,251&lt;=$NS$15),IF($NP$15="Single_Point",IF(251=$NR$15,$NN$15,0),IF($NP$15="Bell_Curve",$NN$15*(251-$NR$15+1)*($NS$15-251+1)/$NU$15,$NN$15/$NT$15)),0)</f>
        <v/>
      </c>
      <c r="IV15" s="228">
        <f>IF(AND(252&gt;=$NR$15,252&lt;=$NS$15),IF($NP$15="Single_Point",IF(252=$NR$15,$NN$15,0),IF($NP$15="Bell_Curve",$NN$15*(252-$NR$15+1)*($NS$15-252+1)/$NU$15,$NN$15/$NT$15)),0)</f>
        <v/>
      </c>
      <c r="IW15" s="228">
        <f>IF(AND(253&gt;=$NR$15,253&lt;=$NS$15),IF($NP$15="Single_Point",IF(253=$NR$15,$NN$15,0),IF($NP$15="Bell_Curve",$NN$15*(253-$NR$15+1)*($NS$15-253+1)/$NU$15,$NN$15/$NT$15)),0)</f>
        <v/>
      </c>
      <c r="IX15" s="228">
        <f>IF(AND(254&gt;=$NR$15,254&lt;=$NS$15),IF($NP$15="Single_Point",IF(254=$NR$15,$NN$15,0),IF($NP$15="Bell_Curve",$NN$15*(254-$NR$15+1)*($NS$15-254+1)/$NU$15,$NN$15/$NT$15)),0)</f>
        <v/>
      </c>
      <c r="IY15" s="228">
        <f>IF(AND(255&gt;=$NR$15,255&lt;=$NS$15),IF($NP$15="Single_Point",IF(255=$NR$15,$NN$15,0),IF($NP$15="Bell_Curve",$NN$15*(255-$NR$15+1)*($NS$15-255+1)/$NU$15,$NN$15/$NT$15)),0)</f>
        <v/>
      </c>
      <c r="IZ15" s="228">
        <f>IF(AND(256&gt;=$NR$15,256&lt;=$NS$15),IF($NP$15="Single_Point",IF(256=$NR$15,$NN$15,0),IF($NP$15="Bell_Curve",$NN$15*(256-$NR$15+1)*($NS$15-256+1)/$NU$15,$NN$15/$NT$15)),0)</f>
        <v/>
      </c>
      <c r="JA15" s="228">
        <f>IF(AND(257&gt;=$NR$15,257&lt;=$NS$15),IF($NP$15="Single_Point",IF(257=$NR$15,$NN$15,0),IF($NP$15="Bell_Curve",$NN$15*(257-$NR$15+1)*($NS$15-257+1)/$NU$15,$NN$15/$NT$15)),0)</f>
        <v/>
      </c>
      <c r="JB15" s="228">
        <f>IF(AND(258&gt;=$NR$15,258&lt;=$NS$15),IF($NP$15="Single_Point",IF(258=$NR$15,$NN$15,0),IF($NP$15="Bell_Curve",$NN$15*(258-$NR$15+1)*($NS$15-258+1)/$NU$15,$NN$15/$NT$15)),0)</f>
        <v/>
      </c>
      <c r="JC15" s="228">
        <f>IF(AND(259&gt;=$NR$15,259&lt;=$NS$15),IF($NP$15="Single_Point",IF(259=$NR$15,$NN$15,0),IF($NP$15="Bell_Curve",$NN$15*(259-$NR$15+1)*($NS$15-259+1)/$NU$15,$NN$15/$NT$15)),0)</f>
        <v/>
      </c>
      <c r="JD15" s="228">
        <f>IF(AND(260&gt;=$NR$15,260&lt;=$NS$15),IF($NP$15="Single_Point",IF(260=$NR$15,$NN$15,0),IF($NP$15="Bell_Curve",$NN$15*(260-$NR$15+1)*($NS$15-260+1)/$NU$15,$NN$15/$NT$15)),0)</f>
        <v/>
      </c>
      <c r="JE15" s="228">
        <f>IF(AND(261&gt;=$NR$15,261&lt;=$NS$15),IF($NP$15="Single_Point",IF(261=$NR$15,$NN$15,0),IF($NP$15="Bell_Curve",$NN$15*(261-$NR$15+1)*($NS$15-261+1)/$NU$15,$NN$15/$NT$15)),0)</f>
        <v/>
      </c>
      <c r="JF15" s="228">
        <f>IF(AND(262&gt;=$NR$15,262&lt;=$NS$15),IF($NP$15="Single_Point",IF(262=$NR$15,$NN$15,0),IF($NP$15="Bell_Curve",$NN$15*(262-$NR$15+1)*($NS$15-262+1)/$NU$15,$NN$15/$NT$15)),0)</f>
        <v/>
      </c>
      <c r="JG15" s="228">
        <f>IF(AND(263&gt;=$NR$15,263&lt;=$NS$15),IF($NP$15="Single_Point",IF(263=$NR$15,$NN$15,0),IF($NP$15="Bell_Curve",$NN$15*(263-$NR$15+1)*($NS$15-263+1)/$NU$15,$NN$15/$NT$15)),0)</f>
        <v/>
      </c>
      <c r="JH15" s="228">
        <f>IF(AND(264&gt;=$NR$15,264&lt;=$NS$15),IF($NP$15="Single_Point",IF(264=$NR$15,$NN$15,0),IF($NP$15="Bell_Curve",$NN$15*(264-$NR$15+1)*($NS$15-264+1)/$NU$15,$NN$15/$NT$15)),0)</f>
        <v/>
      </c>
      <c r="JI15" s="228">
        <f>IF(AND(265&gt;=$NR$15,265&lt;=$NS$15),IF($NP$15="Single_Point",IF(265=$NR$15,$NN$15,0),IF($NP$15="Bell_Curve",$NN$15*(265-$NR$15+1)*($NS$15-265+1)/$NU$15,$NN$15/$NT$15)),0)</f>
        <v/>
      </c>
      <c r="JJ15" s="228">
        <f>IF(AND(266&gt;=$NR$15,266&lt;=$NS$15),IF($NP$15="Single_Point",IF(266=$NR$15,$NN$15,0),IF($NP$15="Bell_Curve",$NN$15*(266-$NR$15+1)*($NS$15-266+1)/$NU$15,$NN$15/$NT$15)),0)</f>
        <v/>
      </c>
      <c r="JK15" s="228">
        <f>IF(AND(267&gt;=$NR$15,267&lt;=$NS$15),IF($NP$15="Single_Point",IF(267=$NR$15,$NN$15,0),IF($NP$15="Bell_Curve",$NN$15*(267-$NR$15+1)*($NS$15-267+1)/$NU$15,$NN$15/$NT$15)),0)</f>
        <v/>
      </c>
      <c r="JL15" s="228">
        <f>IF(AND(268&gt;=$NR$15,268&lt;=$NS$15),IF($NP$15="Single_Point",IF(268=$NR$15,$NN$15,0),IF($NP$15="Bell_Curve",$NN$15*(268-$NR$15+1)*($NS$15-268+1)/$NU$15,$NN$15/$NT$15)),0)</f>
        <v/>
      </c>
      <c r="JM15" s="228">
        <f>IF(AND(269&gt;=$NR$15,269&lt;=$NS$15),IF($NP$15="Single_Point",IF(269=$NR$15,$NN$15,0),IF($NP$15="Bell_Curve",$NN$15*(269-$NR$15+1)*($NS$15-269+1)/$NU$15,$NN$15/$NT$15)),0)</f>
        <v/>
      </c>
      <c r="JN15" s="228">
        <f>IF(AND(270&gt;=$NR$15,270&lt;=$NS$15),IF($NP$15="Single_Point",IF(270=$NR$15,$NN$15,0),IF($NP$15="Bell_Curve",$NN$15*(270-$NR$15+1)*($NS$15-270+1)/$NU$15,$NN$15/$NT$15)),0)</f>
        <v/>
      </c>
      <c r="JO15" s="228">
        <f>IF(AND(271&gt;=$NR$15,271&lt;=$NS$15),IF($NP$15="Single_Point",IF(271=$NR$15,$NN$15,0),IF($NP$15="Bell_Curve",$NN$15*(271-$NR$15+1)*($NS$15-271+1)/$NU$15,$NN$15/$NT$15)),0)</f>
        <v/>
      </c>
      <c r="JP15" s="228">
        <f>IF(AND(272&gt;=$NR$15,272&lt;=$NS$15),IF($NP$15="Single_Point",IF(272=$NR$15,$NN$15,0),IF($NP$15="Bell_Curve",$NN$15*(272-$NR$15+1)*($NS$15-272+1)/$NU$15,$NN$15/$NT$15)),0)</f>
        <v/>
      </c>
      <c r="JQ15" s="228">
        <f>IF(AND(273&gt;=$NR$15,273&lt;=$NS$15),IF($NP$15="Single_Point",IF(273=$NR$15,$NN$15,0),IF($NP$15="Bell_Curve",$NN$15*(273-$NR$15+1)*($NS$15-273+1)/$NU$15,$NN$15/$NT$15)),0)</f>
        <v/>
      </c>
      <c r="JR15" s="228">
        <f>IF(AND(274&gt;=$NR$15,274&lt;=$NS$15),IF($NP$15="Single_Point",IF(274=$NR$15,$NN$15,0),IF($NP$15="Bell_Curve",$NN$15*(274-$NR$15+1)*($NS$15-274+1)/$NU$15,$NN$15/$NT$15)),0)</f>
        <v/>
      </c>
      <c r="JS15" s="228">
        <f>IF(AND(275&gt;=$NR$15,275&lt;=$NS$15),IF($NP$15="Single_Point",IF(275=$NR$15,$NN$15,0),IF($NP$15="Bell_Curve",$NN$15*(275-$NR$15+1)*($NS$15-275+1)/$NU$15,$NN$15/$NT$15)),0)</f>
        <v/>
      </c>
      <c r="JT15" s="228">
        <f>IF(AND(276&gt;=$NR$15,276&lt;=$NS$15),IF($NP$15="Single_Point",IF(276=$NR$15,$NN$15,0),IF($NP$15="Bell_Curve",$NN$15*(276-$NR$15+1)*($NS$15-276+1)/$NU$15,$NN$15/$NT$15)),0)</f>
        <v/>
      </c>
      <c r="JU15" s="228">
        <f>IF(AND(277&gt;=$NR$15,277&lt;=$NS$15),IF($NP$15="Single_Point",IF(277=$NR$15,$NN$15,0),IF($NP$15="Bell_Curve",$NN$15*(277-$NR$15+1)*($NS$15-277+1)/$NU$15,$NN$15/$NT$15)),0)</f>
        <v/>
      </c>
      <c r="JV15" s="228">
        <f>IF(AND(278&gt;=$NR$15,278&lt;=$NS$15),IF($NP$15="Single_Point",IF(278=$NR$15,$NN$15,0),IF($NP$15="Bell_Curve",$NN$15*(278-$NR$15+1)*($NS$15-278+1)/$NU$15,$NN$15/$NT$15)),0)</f>
        <v/>
      </c>
      <c r="JW15" s="228">
        <f>IF(AND(279&gt;=$NR$15,279&lt;=$NS$15),IF($NP$15="Single_Point",IF(279=$NR$15,$NN$15,0),IF($NP$15="Bell_Curve",$NN$15*(279-$NR$15+1)*($NS$15-279+1)/$NU$15,$NN$15/$NT$15)),0)</f>
        <v/>
      </c>
      <c r="JX15" s="228">
        <f>IF(AND(280&gt;=$NR$15,280&lt;=$NS$15),IF($NP$15="Single_Point",IF(280=$NR$15,$NN$15,0),IF($NP$15="Bell_Curve",$NN$15*(280-$NR$15+1)*($NS$15-280+1)/$NU$15,$NN$15/$NT$15)),0)</f>
        <v/>
      </c>
      <c r="JY15" s="228">
        <f>IF(AND(281&gt;=$NR$15,281&lt;=$NS$15),IF($NP$15="Single_Point",IF(281=$NR$15,$NN$15,0),IF($NP$15="Bell_Curve",$NN$15*(281-$NR$15+1)*($NS$15-281+1)/$NU$15,$NN$15/$NT$15)),0)</f>
        <v/>
      </c>
      <c r="JZ15" s="228">
        <f>IF(AND(282&gt;=$NR$15,282&lt;=$NS$15),IF($NP$15="Single_Point",IF(282=$NR$15,$NN$15,0),IF($NP$15="Bell_Curve",$NN$15*(282-$NR$15+1)*($NS$15-282+1)/$NU$15,$NN$15/$NT$15)),0)</f>
        <v/>
      </c>
      <c r="KA15" s="228">
        <f>IF(AND(283&gt;=$NR$15,283&lt;=$NS$15),IF($NP$15="Single_Point",IF(283=$NR$15,$NN$15,0),IF($NP$15="Bell_Curve",$NN$15*(283-$NR$15+1)*($NS$15-283+1)/$NU$15,$NN$15/$NT$15)),0)</f>
        <v/>
      </c>
      <c r="KB15" s="228">
        <f>IF(AND(284&gt;=$NR$15,284&lt;=$NS$15),IF($NP$15="Single_Point",IF(284=$NR$15,$NN$15,0),IF($NP$15="Bell_Curve",$NN$15*(284-$NR$15+1)*($NS$15-284+1)/$NU$15,$NN$15/$NT$15)),0)</f>
        <v/>
      </c>
      <c r="KC15" s="228">
        <f>IF(AND(285&gt;=$NR$15,285&lt;=$NS$15),IF($NP$15="Single_Point",IF(285=$NR$15,$NN$15,0),IF($NP$15="Bell_Curve",$NN$15*(285-$NR$15+1)*($NS$15-285+1)/$NU$15,$NN$15/$NT$15)),0)</f>
        <v/>
      </c>
      <c r="KD15" s="228">
        <f>IF(AND(286&gt;=$NR$15,286&lt;=$NS$15),IF($NP$15="Single_Point",IF(286=$NR$15,$NN$15,0),IF($NP$15="Bell_Curve",$NN$15*(286-$NR$15+1)*($NS$15-286+1)/$NU$15,$NN$15/$NT$15)),0)</f>
        <v/>
      </c>
      <c r="KE15" s="228">
        <f>IF(AND(287&gt;=$NR$15,287&lt;=$NS$15),IF($NP$15="Single_Point",IF(287=$NR$15,$NN$15,0),IF($NP$15="Bell_Curve",$NN$15*(287-$NR$15+1)*($NS$15-287+1)/$NU$15,$NN$15/$NT$15)),0)</f>
        <v/>
      </c>
      <c r="KF15" s="228">
        <f>IF(AND(288&gt;=$NR$15,288&lt;=$NS$15),IF($NP$15="Single_Point",IF(288=$NR$15,$NN$15,0),IF($NP$15="Bell_Curve",$NN$15*(288-$NR$15+1)*($NS$15-288+1)/$NU$15,$NN$15/$NT$15)),0)</f>
        <v/>
      </c>
      <c r="KG15" s="228">
        <f>IF(AND(289&gt;=$NR$15,289&lt;=$NS$15),IF($NP$15="Single_Point",IF(289=$NR$15,$NN$15,0),IF($NP$15="Bell_Curve",$NN$15*(289-$NR$15+1)*($NS$15-289+1)/$NU$15,$NN$15/$NT$15)),0)</f>
        <v/>
      </c>
      <c r="KH15" s="228">
        <f>IF(AND(290&gt;=$NR$15,290&lt;=$NS$15),IF($NP$15="Single_Point",IF(290=$NR$15,$NN$15,0),IF($NP$15="Bell_Curve",$NN$15*(290-$NR$15+1)*($NS$15-290+1)/$NU$15,$NN$15/$NT$15)),0)</f>
        <v/>
      </c>
      <c r="KI15" s="228">
        <f>IF(AND(291&gt;=$NR$15,291&lt;=$NS$15),IF($NP$15="Single_Point",IF(291=$NR$15,$NN$15,0),IF($NP$15="Bell_Curve",$NN$15*(291-$NR$15+1)*($NS$15-291+1)/$NU$15,$NN$15/$NT$15)),0)</f>
        <v/>
      </c>
      <c r="KJ15" s="228">
        <f>IF(AND(292&gt;=$NR$15,292&lt;=$NS$15),IF($NP$15="Single_Point",IF(292=$NR$15,$NN$15,0),IF($NP$15="Bell_Curve",$NN$15*(292-$NR$15+1)*($NS$15-292+1)/$NU$15,$NN$15/$NT$15)),0)</f>
        <v/>
      </c>
      <c r="KK15" s="228">
        <f>IF(AND(293&gt;=$NR$15,293&lt;=$NS$15),IF($NP$15="Single_Point",IF(293=$NR$15,$NN$15,0),IF($NP$15="Bell_Curve",$NN$15*(293-$NR$15+1)*($NS$15-293+1)/$NU$15,$NN$15/$NT$15)),0)</f>
        <v/>
      </c>
      <c r="KL15" s="228">
        <f>IF(AND(294&gt;=$NR$15,294&lt;=$NS$15),IF($NP$15="Single_Point",IF(294=$NR$15,$NN$15,0),IF($NP$15="Bell_Curve",$NN$15*(294-$NR$15+1)*($NS$15-294+1)/$NU$15,$NN$15/$NT$15)),0)</f>
        <v/>
      </c>
      <c r="KM15" s="228">
        <f>IF(AND(295&gt;=$NR$15,295&lt;=$NS$15),IF($NP$15="Single_Point",IF(295=$NR$15,$NN$15,0),IF($NP$15="Bell_Curve",$NN$15*(295-$NR$15+1)*($NS$15-295+1)/$NU$15,$NN$15/$NT$15)),0)</f>
        <v/>
      </c>
      <c r="KN15" s="228">
        <f>IF(AND(296&gt;=$NR$15,296&lt;=$NS$15),IF($NP$15="Single_Point",IF(296=$NR$15,$NN$15,0),IF($NP$15="Bell_Curve",$NN$15*(296-$NR$15+1)*($NS$15-296+1)/$NU$15,$NN$15/$NT$15)),0)</f>
        <v/>
      </c>
      <c r="KO15" s="228">
        <f>IF(AND(297&gt;=$NR$15,297&lt;=$NS$15),IF($NP$15="Single_Point",IF(297=$NR$15,$NN$15,0),IF($NP$15="Bell_Curve",$NN$15*(297-$NR$15+1)*($NS$15-297+1)/$NU$15,$NN$15/$NT$15)),0)</f>
        <v/>
      </c>
      <c r="KP15" s="228">
        <f>IF(AND(298&gt;=$NR$15,298&lt;=$NS$15),IF($NP$15="Single_Point",IF(298=$NR$15,$NN$15,0),IF($NP$15="Bell_Curve",$NN$15*(298-$NR$15+1)*($NS$15-298+1)/$NU$15,$NN$15/$NT$15)),0)</f>
        <v/>
      </c>
      <c r="KQ15" s="228">
        <f>IF(AND(299&gt;=$NR$15,299&lt;=$NS$15),IF($NP$15="Single_Point",IF(299=$NR$15,$NN$15,0),IF($NP$15="Bell_Curve",$NN$15*(299-$NR$15+1)*($NS$15-299+1)/$NU$15,$NN$15/$NT$15)),0)</f>
        <v/>
      </c>
      <c r="KR15" s="228">
        <f>IF(AND(300&gt;=$NR$15,300&lt;=$NS$15),IF($NP$15="Single_Point",IF(300=$NR$15,$NN$15,0),IF($NP$15="Bell_Curve",$NN$15*(300-$NR$15+1)*($NS$15-300+1)/$NU$15,$NN$15/$NT$15)),0)</f>
        <v/>
      </c>
      <c r="KS15" s="228">
        <f>IF(AND(301&gt;=$NR$15,301&lt;=$NS$15),IF($NP$15="Single_Point",IF(301=$NR$15,$NN$15,0),IF($NP$15="Bell_Curve",$NN$15*(301-$NR$15+1)*($NS$15-301+1)/$NU$15,$NN$15/$NT$15)),0)</f>
        <v/>
      </c>
      <c r="KT15" s="228">
        <f>IF(AND(302&gt;=$NR$15,302&lt;=$NS$15),IF($NP$15="Single_Point",IF(302=$NR$15,$NN$15,0),IF($NP$15="Bell_Curve",$NN$15*(302-$NR$15+1)*($NS$15-302+1)/$NU$15,$NN$15/$NT$15)),0)</f>
        <v/>
      </c>
      <c r="KU15" s="228">
        <f>IF(AND(303&gt;=$NR$15,303&lt;=$NS$15),IF($NP$15="Single_Point",IF(303=$NR$15,$NN$15,0),IF($NP$15="Bell_Curve",$NN$15*(303-$NR$15+1)*($NS$15-303+1)/$NU$15,$NN$15/$NT$15)),0)</f>
        <v/>
      </c>
      <c r="KV15" s="228">
        <f>IF(AND(304&gt;=$NR$15,304&lt;=$NS$15),IF($NP$15="Single_Point",IF(304=$NR$15,$NN$15,0),IF($NP$15="Bell_Curve",$NN$15*(304-$NR$15+1)*($NS$15-304+1)/$NU$15,$NN$15/$NT$15)),0)</f>
        <v/>
      </c>
      <c r="KW15" s="228">
        <f>IF(AND(305&gt;=$NR$15,305&lt;=$NS$15),IF($NP$15="Single_Point",IF(305=$NR$15,$NN$15,0),IF($NP$15="Bell_Curve",$NN$15*(305-$NR$15+1)*($NS$15-305+1)/$NU$15,$NN$15/$NT$15)),0)</f>
        <v/>
      </c>
      <c r="KX15" s="228">
        <f>IF(AND(306&gt;=$NR$15,306&lt;=$NS$15),IF($NP$15="Single_Point",IF(306=$NR$15,$NN$15,0),IF($NP$15="Bell_Curve",$NN$15*(306-$NR$15+1)*($NS$15-306+1)/$NU$15,$NN$15/$NT$15)),0)</f>
        <v/>
      </c>
      <c r="KY15" s="228">
        <f>IF(AND(307&gt;=$NR$15,307&lt;=$NS$15),IF($NP$15="Single_Point",IF(307=$NR$15,$NN$15,0),IF($NP$15="Bell_Curve",$NN$15*(307-$NR$15+1)*($NS$15-307+1)/$NU$15,$NN$15/$NT$15)),0)</f>
        <v/>
      </c>
      <c r="KZ15" s="228">
        <f>IF(AND(308&gt;=$NR$15,308&lt;=$NS$15),IF($NP$15="Single_Point",IF(308=$NR$15,$NN$15,0),IF($NP$15="Bell_Curve",$NN$15*(308-$NR$15+1)*($NS$15-308+1)/$NU$15,$NN$15/$NT$15)),0)</f>
        <v/>
      </c>
      <c r="LA15" s="228">
        <f>IF(AND(309&gt;=$NR$15,309&lt;=$NS$15),IF($NP$15="Single_Point",IF(309=$NR$15,$NN$15,0),IF($NP$15="Bell_Curve",$NN$15*(309-$NR$15+1)*($NS$15-309+1)/$NU$15,$NN$15/$NT$15)),0)</f>
        <v/>
      </c>
      <c r="LB15" s="228">
        <f>IF(AND(310&gt;=$NR$15,310&lt;=$NS$15),IF($NP$15="Single_Point",IF(310=$NR$15,$NN$15,0),IF($NP$15="Bell_Curve",$NN$15*(310-$NR$15+1)*($NS$15-310+1)/$NU$15,$NN$15/$NT$15)),0)</f>
        <v/>
      </c>
      <c r="LC15" s="228">
        <f>IF(AND(311&gt;=$NR$15,311&lt;=$NS$15),IF($NP$15="Single_Point",IF(311=$NR$15,$NN$15,0),IF($NP$15="Bell_Curve",$NN$15*(311-$NR$15+1)*($NS$15-311+1)/$NU$15,$NN$15/$NT$15)),0)</f>
        <v/>
      </c>
      <c r="LD15" s="228">
        <f>IF(AND(312&gt;=$NR$15,312&lt;=$NS$15),IF($NP$15="Single_Point",IF(312=$NR$15,$NN$15,0),IF($NP$15="Bell_Curve",$NN$15*(312-$NR$15+1)*($NS$15-312+1)/$NU$15,$NN$15/$NT$15)),0)</f>
        <v/>
      </c>
      <c r="LE15" s="228">
        <f>IF(AND(313&gt;=$NR$15,313&lt;=$NS$15),IF($NP$15="Single_Point",IF(313=$NR$15,$NN$15,0),IF($NP$15="Bell_Curve",$NN$15*(313-$NR$15+1)*($NS$15-313+1)/$NU$15,$NN$15/$NT$15)),0)</f>
        <v/>
      </c>
      <c r="LF15" s="228">
        <f>IF(AND(314&gt;=$NR$15,314&lt;=$NS$15),IF($NP$15="Single_Point",IF(314=$NR$15,$NN$15,0),IF($NP$15="Bell_Curve",$NN$15*(314-$NR$15+1)*($NS$15-314+1)/$NU$15,$NN$15/$NT$15)),0)</f>
        <v/>
      </c>
      <c r="LG15" s="228">
        <f>IF(AND(315&gt;=$NR$15,315&lt;=$NS$15),IF($NP$15="Single_Point",IF(315=$NR$15,$NN$15,0),IF($NP$15="Bell_Curve",$NN$15*(315-$NR$15+1)*($NS$15-315+1)/$NU$15,$NN$15/$NT$15)),0)</f>
        <v/>
      </c>
      <c r="LH15" s="228">
        <f>IF(AND(316&gt;=$NR$15,316&lt;=$NS$15),IF($NP$15="Single_Point",IF(316=$NR$15,$NN$15,0),IF($NP$15="Bell_Curve",$NN$15*(316-$NR$15+1)*($NS$15-316+1)/$NU$15,$NN$15/$NT$15)),0)</f>
        <v/>
      </c>
      <c r="LI15" s="228">
        <f>IF(AND(317&gt;=$NR$15,317&lt;=$NS$15),IF($NP$15="Single_Point",IF(317=$NR$15,$NN$15,0),IF($NP$15="Bell_Curve",$NN$15*(317-$NR$15+1)*($NS$15-317+1)/$NU$15,$NN$15/$NT$15)),0)</f>
        <v/>
      </c>
      <c r="LJ15" s="228">
        <f>IF(AND(318&gt;=$NR$15,318&lt;=$NS$15),IF($NP$15="Single_Point",IF(318=$NR$15,$NN$15,0),IF($NP$15="Bell_Curve",$NN$15*(318-$NR$15+1)*($NS$15-318+1)/$NU$15,$NN$15/$NT$15)),0)</f>
        <v/>
      </c>
      <c r="LK15" s="228">
        <f>IF(AND(319&gt;=$NR$15,319&lt;=$NS$15),IF($NP$15="Single_Point",IF(319=$NR$15,$NN$15,0),IF($NP$15="Bell_Curve",$NN$15*(319-$NR$15+1)*($NS$15-319+1)/$NU$15,$NN$15/$NT$15)),0)</f>
        <v/>
      </c>
      <c r="LL15" s="228">
        <f>IF(AND(320&gt;=$NR$15,320&lt;=$NS$15),IF($NP$15="Single_Point",IF(320=$NR$15,$NN$15,0),IF($NP$15="Bell_Curve",$NN$15*(320-$NR$15+1)*($NS$15-320+1)/$NU$15,$NN$15/$NT$15)),0)</f>
        <v/>
      </c>
      <c r="LM15" s="228">
        <f>IF(AND(321&gt;=$NR$15,321&lt;=$NS$15),IF($NP$15="Single_Point",IF(321=$NR$15,$NN$15,0),IF($NP$15="Bell_Curve",$NN$15*(321-$NR$15+1)*($NS$15-321+1)/$NU$15,$NN$15/$NT$15)),0)</f>
        <v/>
      </c>
      <c r="LN15" s="228">
        <f>IF(AND(322&gt;=$NR$15,322&lt;=$NS$15),IF($NP$15="Single_Point",IF(322=$NR$15,$NN$15,0),IF($NP$15="Bell_Curve",$NN$15*(322-$NR$15+1)*($NS$15-322+1)/$NU$15,$NN$15/$NT$15)),0)</f>
        <v/>
      </c>
      <c r="LO15" s="228">
        <f>IF(AND(323&gt;=$NR$15,323&lt;=$NS$15),IF($NP$15="Single_Point",IF(323=$NR$15,$NN$15,0),IF($NP$15="Bell_Curve",$NN$15*(323-$NR$15+1)*($NS$15-323+1)/$NU$15,$NN$15/$NT$15)),0)</f>
        <v/>
      </c>
      <c r="LP15" s="228">
        <f>IF(AND(324&gt;=$NR$15,324&lt;=$NS$15),IF($NP$15="Single_Point",IF(324=$NR$15,$NN$15,0),IF($NP$15="Bell_Curve",$NN$15*(324-$NR$15+1)*($NS$15-324+1)/$NU$15,$NN$15/$NT$15)),0)</f>
        <v/>
      </c>
      <c r="LQ15" s="228">
        <f>IF(AND(325&gt;=$NR$15,325&lt;=$NS$15),IF($NP$15="Single_Point",IF(325=$NR$15,$NN$15,0),IF($NP$15="Bell_Curve",$NN$15*(325-$NR$15+1)*($NS$15-325+1)/$NU$15,$NN$15/$NT$15)),0)</f>
        <v/>
      </c>
      <c r="LR15" s="228">
        <f>IF(AND(326&gt;=$NR$15,326&lt;=$NS$15),IF($NP$15="Single_Point",IF(326=$NR$15,$NN$15,0),IF($NP$15="Bell_Curve",$NN$15*(326-$NR$15+1)*($NS$15-326+1)/$NU$15,$NN$15/$NT$15)),0)</f>
        <v/>
      </c>
      <c r="LS15" s="228">
        <f>IF(AND(327&gt;=$NR$15,327&lt;=$NS$15),IF($NP$15="Single_Point",IF(327=$NR$15,$NN$15,0),IF($NP$15="Bell_Curve",$NN$15*(327-$NR$15+1)*($NS$15-327+1)/$NU$15,$NN$15/$NT$15)),0)</f>
        <v/>
      </c>
      <c r="LT15" s="228">
        <f>IF(AND(328&gt;=$NR$15,328&lt;=$NS$15),IF($NP$15="Single_Point",IF(328=$NR$15,$NN$15,0),IF($NP$15="Bell_Curve",$NN$15*(328-$NR$15+1)*($NS$15-328+1)/$NU$15,$NN$15/$NT$15)),0)</f>
        <v/>
      </c>
      <c r="LU15" s="228">
        <f>IF(AND(329&gt;=$NR$15,329&lt;=$NS$15),IF($NP$15="Single_Point",IF(329=$NR$15,$NN$15,0),IF($NP$15="Bell_Curve",$NN$15*(329-$NR$15+1)*($NS$15-329+1)/$NU$15,$NN$15/$NT$15)),0)</f>
        <v/>
      </c>
      <c r="LV15" s="228">
        <f>IF(AND(330&gt;=$NR$15,330&lt;=$NS$15),IF($NP$15="Single_Point",IF(330=$NR$15,$NN$15,0),IF($NP$15="Bell_Curve",$NN$15*(330-$NR$15+1)*($NS$15-330+1)/$NU$15,$NN$15/$NT$15)),0)</f>
        <v/>
      </c>
      <c r="LW15" s="228">
        <f>IF(AND(331&gt;=$NR$15,331&lt;=$NS$15),IF($NP$15="Single_Point",IF(331=$NR$15,$NN$15,0),IF($NP$15="Bell_Curve",$NN$15*(331-$NR$15+1)*($NS$15-331+1)/$NU$15,$NN$15/$NT$15)),0)</f>
        <v/>
      </c>
      <c r="LX15" s="228">
        <f>IF(AND(332&gt;=$NR$15,332&lt;=$NS$15),IF($NP$15="Single_Point",IF(332=$NR$15,$NN$15,0),IF($NP$15="Bell_Curve",$NN$15*(332-$NR$15+1)*($NS$15-332+1)/$NU$15,$NN$15/$NT$15)),0)</f>
        <v/>
      </c>
      <c r="LY15" s="228">
        <f>IF(AND(333&gt;=$NR$15,333&lt;=$NS$15),IF($NP$15="Single_Point",IF(333=$NR$15,$NN$15,0),IF($NP$15="Bell_Curve",$NN$15*(333-$NR$15+1)*($NS$15-333+1)/$NU$15,$NN$15/$NT$15)),0)</f>
        <v/>
      </c>
      <c r="LZ15" s="228">
        <f>IF(AND(334&gt;=$NR$15,334&lt;=$NS$15),IF($NP$15="Single_Point",IF(334=$NR$15,$NN$15,0),IF($NP$15="Bell_Curve",$NN$15*(334-$NR$15+1)*($NS$15-334+1)/$NU$15,$NN$15/$NT$15)),0)</f>
        <v/>
      </c>
      <c r="MA15" s="228">
        <f>IF(AND(335&gt;=$NR$15,335&lt;=$NS$15),IF($NP$15="Single_Point",IF(335=$NR$15,$NN$15,0),IF($NP$15="Bell_Curve",$NN$15*(335-$NR$15+1)*($NS$15-335+1)/$NU$15,$NN$15/$NT$15)),0)</f>
        <v/>
      </c>
      <c r="MB15" s="228">
        <f>IF(AND(336&gt;=$NR$15,336&lt;=$NS$15),IF($NP$15="Single_Point",IF(336=$NR$15,$NN$15,0),IF($NP$15="Bell_Curve",$NN$15*(336-$NR$15+1)*($NS$15-336+1)/$NU$15,$NN$15/$NT$15)),0)</f>
        <v/>
      </c>
      <c r="MC15" s="228">
        <f>IF(AND(337&gt;=$NR$15,337&lt;=$NS$15),IF($NP$15="Single_Point",IF(337=$NR$15,$NN$15,0),IF($NP$15="Bell_Curve",$NN$15*(337-$NR$15+1)*($NS$15-337+1)/$NU$15,$NN$15/$NT$15)),0)</f>
        <v/>
      </c>
      <c r="MD15" s="228">
        <f>IF(AND(338&gt;=$NR$15,338&lt;=$NS$15),IF($NP$15="Single_Point",IF(338=$NR$15,$NN$15,0),IF($NP$15="Bell_Curve",$NN$15*(338-$NR$15+1)*($NS$15-338+1)/$NU$15,$NN$15/$NT$15)),0)</f>
        <v/>
      </c>
      <c r="ME15" s="228">
        <f>IF(AND(339&gt;=$NR$15,339&lt;=$NS$15),IF($NP$15="Single_Point",IF(339=$NR$15,$NN$15,0),IF($NP$15="Bell_Curve",$NN$15*(339-$NR$15+1)*($NS$15-339+1)/$NU$15,$NN$15/$NT$15)),0)</f>
        <v/>
      </c>
      <c r="MF15" s="228">
        <f>IF(AND(340&gt;=$NR$15,340&lt;=$NS$15),IF($NP$15="Single_Point",IF(340=$NR$15,$NN$15,0),IF($NP$15="Bell_Curve",$NN$15*(340-$NR$15+1)*($NS$15-340+1)/$NU$15,$NN$15/$NT$15)),0)</f>
        <v/>
      </c>
      <c r="MG15" s="228">
        <f>IF(AND(341&gt;=$NR$15,341&lt;=$NS$15),IF($NP$15="Single_Point",IF(341=$NR$15,$NN$15,0),IF($NP$15="Bell_Curve",$NN$15*(341-$NR$15+1)*($NS$15-341+1)/$NU$15,$NN$15/$NT$15)),0)</f>
        <v/>
      </c>
      <c r="MH15" s="228">
        <f>IF(AND(342&gt;=$NR$15,342&lt;=$NS$15),IF($NP$15="Single_Point",IF(342=$NR$15,$NN$15,0),IF($NP$15="Bell_Curve",$NN$15*(342-$NR$15+1)*($NS$15-342+1)/$NU$15,$NN$15/$NT$15)),0)</f>
        <v/>
      </c>
      <c r="MI15" s="228">
        <f>IF(AND(343&gt;=$NR$15,343&lt;=$NS$15),IF($NP$15="Single_Point",IF(343=$NR$15,$NN$15,0),IF($NP$15="Bell_Curve",$NN$15*(343-$NR$15+1)*($NS$15-343+1)/$NU$15,$NN$15/$NT$15)),0)</f>
        <v/>
      </c>
      <c r="MJ15" s="228">
        <f>IF(AND(344&gt;=$NR$15,344&lt;=$NS$15),IF($NP$15="Single_Point",IF(344=$NR$15,$NN$15,0),IF($NP$15="Bell_Curve",$NN$15*(344-$NR$15+1)*($NS$15-344+1)/$NU$15,$NN$15/$NT$15)),0)</f>
        <v/>
      </c>
      <c r="MK15" s="228">
        <f>IF(AND(345&gt;=$NR$15,345&lt;=$NS$15),IF($NP$15="Single_Point",IF(345=$NR$15,$NN$15,0),IF($NP$15="Bell_Curve",$NN$15*(345-$NR$15+1)*($NS$15-345+1)/$NU$15,$NN$15/$NT$15)),0)</f>
        <v/>
      </c>
      <c r="ML15" s="228">
        <f>IF(AND(346&gt;=$NR$15,346&lt;=$NS$15),IF($NP$15="Single_Point",IF(346=$NR$15,$NN$15,0),IF($NP$15="Bell_Curve",$NN$15*(346-$NR$15+1)*($NS$15-346+1)/$NU$15,$NN$15/$NT$15)),0)</f>
        <v/>
      </c>
      <c r="MM15" s="228">
        <f>IF(AND(347&gt;=$NR$15,347&lt;=$NS$15),IF($NP$15="Single_Point",IF(347=$NR$15,$NN$15,0),IF($NP$15="Bell_Curve",$NN$15*(347-$NR$15+1)*($NS$15-347+1)/$NU$15,$NN$15/$NT$15)),0)</f>
        <v/>
      </c>
      <c r="MN15" s="228">
        <f>IF(AND(348&gt;=$NR$15,348&lt;=$NS$15),IF($NP$15="Single_Point",IF(348=$NR$15,$NN$15,0),IF($NP$15="Bell_Curve",$NN$15*(348-$NR$15+1)*($NS$15-348+1)/$NU$15,$NN$15/$NT$15)),0)</f>
        <v/>
      </c>
      <c r="MO15" s="228">
        <f>IF(AND(349&gt;=$NR$15,349&lt;=$NS$15),IF($NP$15="Single_Point",IF(349=$NR$15,$NN$15,0),IF($NP$15="Bell_Curve",$NN$15*(349-$NR$15+1)*($NS$15-349+1)/$NU$15,$NN$15/$NT$15)),0)</f>
        <v/>
      </c>
      <c r="MP15" s="228">
        <f>IF(AND(350&gt;=$NR$15,350&lt;=$NS$15),IF($NP$15="Single_Point",IF(350=$NR$15,$NN$15,0),IF($NP$15="Bell_Curve",$NN$15*(350-$NR$15+1)*($NS$15-350+1)/$NU$15,$NN$15/$NT$15)),0)</f>
        <v/>
      </c>
      <c r="MQ15" s="228">
        <f>IF(AND(351&gt;=$NR$15,351&lt;=$NS$15),IF($NP$15="Single_Point",IF(351=$NR$15,$NN$15,0),IF($NP$15="Bell_Curve",$NN$15*(351-$NR$15+1)*($NS$15-351+1)/$NU$15,$NN$15/$NT$15)),0)</f>
        <v/>
      </c>
      <c r="MR15" s="228">
        <f>IF(AND(352&gt;=$NR$15,352&lt;=$NS$15),IF($NP$15="Single_Point",IF(352=$NR$15,$NN$15,0),IF($NP$15="Bell_Curve",$NN$15*(352-$NR$15+1)*($NS$15-352+1)/$NU$15,$NN$15/$NT$15)),0)</f>
        <v/>
      </c>
      <c r="MS15" s="228">
        <f>IF(AND(353&gt;=$NR$15,353&lt;=$NS$15),IF($NP$15="Single_Point",IF(353=$NR$15,$NN$15,0),IF($NP$15="Bell_Curve",$NN$15*(353-$NR$15+1)*($NS$15-353+1)/$NU$15,$NN$15/$NT$15)),0)</f>
        <v/>
      </c>
      <c r="MT15" s="228">
        <f>IF(AND(354&gt;=$NR$15,354&lt;=$NS$15),IF($NP$15="Single_Point",IF(354=$NR$15,$NN$15,0),IF($NP$15="Bell_Curve",$NN$15*(354-$NR$15+1)*($NS$15-354+1)/$NU$15,$NN$15/$NT$15)),0)</f>
        <v/>
      </c>
      <c r="MU15" s="228">
        <f>IF(AND(355&gt;=$NR$15,355&lt;=$NS$15),IF($NP$15="Single_Point",IF(355=$NR$15,$NN$15,0),IF($NP$15="Bell_Curve",$NN$15*(355-$NR$15+1)*($NS$15-355+1)/$NU$15,$NN$15/$NT$15)),0)</f>
        <v/>
      </c>
      <c r="MV15" s="228">
        <f>IF(AND(356&gt;=$NR$15,356&lt;=$NS$15),IF($NP$15="Single_Point",IF(356=$NR$15,$NN$15,0),IF($NP$15="Bell_Curve",$NN$15*(356-$NR$15+1)*($NS$15-356+1)/$NU$15,$NN$15/$NT$15)),0)</f>
        <v/>
      </c>
      <c r="MW15" s="228">
        <f>IF(AND(357&gt;=$NR$15,357&lt;=$NS$15),IF($NP$15="Single_Point",IF(357=$NR$15,$NN$15,0),IF($NP$15="Bell_Curve",$NN$15*(357-$NR$15+1)*($NS$15-357+1)/$NU$15,$NN$15/$NT$15)),0)</f>
        <v/>
      </c>
      <c r="MX15" s="228">
        <f>IF(AND(358&gt;=$NR$15,358&lt;=$NS$15),IF($NP$15="Single_Point",IF(358=$NR$15,$NN$15,0),IF($NP$15="Bell_Curve",$NN$15*(358-$NR$15+1)*($NS$15-358+1)/$NU$15,$NN$15/$NT$15)),0)</f>
        <v/>
      </c>
      <c r="MY15" s="228">
        <f>IF(AND(359&gt;=$NR$15,359&lt;=$NS$15),IF($NP$15="Single_Point",IF(359=$NR$15,$NN$15,0),IF($NP$15="Bell_Curve",$NN$15*(359-$NR$15+1)*($NS$15-359+1)/$NU$15,$NN$15/$NT$15)),0)</f>
        <v/>
      </c>
      <c r="MZ15" s="228">
        <f>IF(AND(360&gt;=$NR$15,360&lt;=$NS$15),IF($NP$15="Single_Point",IF(360=$NR$15,$NN$15,0),IF($NP$15="Bell_Curve",$NN$15*(360-$NR$15+1)*($NS$15-360+1)/$NU$15,$NN$15/$NT$15)),0)</f>
        <v/>
      </c>
      <c r="NA15" s="228">
        <f>IF(AND(361&gt;=$NR$15,361&lt;=$NS$15),IF($NP$15="Single_Point",IF(361=$NR$15,$NN$15,0),IF($NP$15="Bell_Curve",$NN$15*(361-$NR$15+1)*($NS$15-361+1)/$NU$15,$NN$15/$NT$15)),0)</f>
        <v/>
      </c>
      <c r="NB15" s="228">
        <f>IF(AND(362&gt;=$NR$15,362&lt;=$NS$15),IF($NP$15="Single_Point",IF(362=$NR$15,$NN$15,0),IF($NP$15="Bell_Curve",$NN$15*(362-$NR$15+1)*($NS$15-362+1)/$NU$15,$NN$15/$NT$15)),0)</f>
        <v/>
      </c>
      <c r="NC15" s="228">
        <f>IF(AND(363&gt;=$NR$15,363&lt;=$NS$15),IF($NP$15="Single_Point",IF(363=$NR$15,$NN$15,0),IF($NP$15="Bell_Curve",$NN$15*(363-$NR$15+1)*($NS$15-363+1)/$NU$15,$NN$15/$NT$15)),0)</f>
        <v/>
      </c>
      <c r="ND15" s="228">
        <f>IF(AND(364&gt;=$NR$15,364&lt;=$NS$15),IF($NP$15="Single_Point",IF(364=$NR$15,$NN$15,0),IF($NP$15="Bell_Curve",$NN$15*(364-$NR$15+1)*($NS$15-364+1)/$NU$15,$NN$15/$NT$15)),0)</f>
        <v/>
      </c>
      <c r="NE15" s="228">
        <f>IF(AND(365&gt;=$NR$15,365&lt;=$NS$15),IF($NP$15="Single_Point",IF(365=$NR$15,$NN$15,0),IF($NP$15="Bell_Curve",$NN$15*(365-$NR$15+1)*($NS$15-365+1)/$NU$15,$NN$15/$NT$15)),0)</f>
        <v/>
      </c>
      <c r="NF15" s="228">
        <f>IF(AND(366&gt;=$NR$15,366&lt;=$NS$15),IF($NP$15="Single_Point",IF(366=$NR$15,$NN$15,0),IF($NP$15="Bell_Curve",$NN$15*(366-$NR$15+1)*($NS$15-366+1)/$NU$15,$NN$15/$NT$15)),0)</f>
        <v/>
      </c>
      <c r="NG15" s="228">
        <f>IF(AND(367&gt;=$NR$15,367&lt;=$NS$15),IF($NP$15="Single_Point",IF(367=$NR$15,$NN$15,0),IF($NP$15="Bell_Curve",$NN$15*(367-$NR$15+1)*($NS$15-367+1)/$NU$15,$NN$15/$NT$15)),0)</f>
        <v/>
      </c>
      <c r="NH15" s="228">
        <f>IF(AND(368&gt;=$NR$15,368&lt;=$NS$15),IF($NP$15="Single_Point",IF(368=$NR$15,$NN$15,0),IF($NP$15="Bell_Curve",$NN$15*(368-$NR$15+1)*($NS$15-368+1)/$NU$15,$NN$15/$NT$15)),0)</f>
        <v/>
      </c>
      <c r="NI15" s="228">
        <f>IF(AND(369&gt;=$NR$15,369&lt;=$NS$15),IF($NP$15="Single_Point",IF(369=$NR$15,$NN$15,0),IF($NP$15="Bell_Curve",$NN$15*(369-$NR$15+1)*($NS$15-369+1)/$NU$15,$NN$15/$NT$15)),0)</f>
        <v/>
      </c>
      <c r="NJ15" s="228">
        <f>IF(AND(370&gt;=$NR$15,370&lt;=$NS$15),IF($NP$15="Single_Point",IF(370=$NR$15,$NN$15,0),IF($NP$15="Bell_Curve",$NN$15*(370-$NR$15+1)*($NS$15-370+1)/$NU$15,$NN$15/$NT$15)),0)</f>
        <v/>
      </c>
      <c r="NK15" s="228">
        <f>IF(AND(371&gt;=$NR$15,371&lt;=$NS$15),IF($NP$15="Single_Point",IF(371=$NR$15,$NN$15,0),IF($NP$15="Bell_Curve",$NN$15*(371-$NR$15+1)*($NS$15-371+1)/$NU$15,$NN$15/$NT$15)),0)</f>
        <v/>
      </c>
      <c r="NL15" s="247">
        <f>IF(AND(372&gt;=$NR$15,372&lt;=$NS$15),IF($NP$15="Single_Point",IF(372=$NR$15,$NN$15,0),IF($NP$15="Bell_Curve",$NN$15*(372-$NR$15+1)*($NS$15-372+1)/$NU$15,$NN$15/$NT$15)),0)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36" t="inlineStr">
        <is>
          <t>Off-Site Improvements</t>
        </is>
      </c>
      <c r="D16" s="246">
        <f>SUM(E16:NL16)</f>
        <v/>
      </c>
      <c r="E16" s="228">
        <f>IF(AND(1&gt;=$NR$16,1&lt;=$NS$16),IF($NP$16="Single_Point",IF(1=$NR$16,$NN$16,0),IF($NP$16="Bell_Curve",$NN$16*(1-$NR$16+1)*($NS$16-1+1)/$NU$16,$NN$16/$NT$16)),0)</f>
        <v/>
      </c>
      <c r="F16" s="228">
        <f>IF(AND(2&gt;=$NR$16,2&lt;=$NS$16),IF($NP$16="Single_Point",IF(2=$NR$16,$NN$16,0),IF($NP$16="Bell_Curve",$NN$16*(2-$NR$16+1)*($NS$16-2+1)/$NU$16,$NN$16/$NT$16)),0)</f>
        <v/>
      </c>
      <c r="G16" s="228">
        <f>IF(AND(3&gt;=$NR$16,3&lt;=$NS$16),IF($NP$16="Single_Point",IF(3=$NR$16,$NN$16,0),IF($NP$16="Bell_Curve",$NN$16*(3-$NR$16+1)*($NS$16-3+1)/$NU$16,$NN$16/$NT$16)),0)</f>
        <v/>
      </c>
      <c r="H16" s="228">
        <f>IF(AND(4&gt;=$NR$16,4&lt;=$NS$16),IF($NP$16="Single_Point",IF(4=$NR$16,$NN$16,0),IF($NP$16="Bell_Curve",$NN$16*(4-$NR$16+1)*($NS$16-4+1)/$NU$16,$NN$16/$NT$16)),0)</f>
        <v/>
      </c>
      <c r="I16" s="228">
        <f>IF(AND(5&gt;=$NR$16,5&lt;=$NS$16),IF($NP$16="Single_Point",IF(5=$NR$16,$NN$16,0),IF($NP$16="Bell_Curve",$NN$16*(5-$NR$16+1)*($NS$16-5+1)/$NU$16,$NN$16/$NT$16)),0)</f>
        <v/>
      </c>
      <c r="J16" s="228">
        <f>IF(AND(6&gt;=$NR$16,6&lt;=$NS$16),IF($NP$16="Single_Point",IF(6=$NR$16,$NN$16,0),IF($NP$16="Bell_Curve",$NN$16*(6-$NR$16+1)*($NS$16-6+1)/$NU$16,$NN$16/$NT$16)),0)</f>
        <v/>
      </c>
      <c r="K16" s="228">
        <f>IF(AND(7&gt;=$NR$16,7&lt;=$NS$16),IF($NP$16="Single_Point",IF(7=$NR$16,$NN$16,0),IF($NP$16="Bell_Curve",$NN$16*(7-$NR$16+1)*($NS$16-7+1)/$NU$16,$NN$16/$NT$16)),0)</f>
        <v/>
      </c>
      <c r="L16" s="228">
        <f>IF(AND(8&gt;=$NR$16,8&lt;=$NS$16),IF($NP$16="Single_Point",IF(8=$NR$16,$NN$16,0),IF($NP$16="Bell_Curve",$NN$16*(8-$NR$16+1)*($NS$16-8+1)/$NU$16,$NN$16/$NT$16)),0)</f>
        <v/>
      </c>
      <c r="M16" s="228">
        <f>IF(AND(9&gt;=$NR$16,9&lt;=$NS$16),IF($NP$16="Single_Point",IF(9=$NR$16,$NN$16,0),IF($NP$16="Bell_Curve",$NN$16*(9-$NR$16+1)*($NS$16-9+1)/$NU$16,$NN$16/$NT$16)),0)</f>
        <v/>
      </c>
      <c r="N16" s="228">
        <f>IF(AND(10&gt;=$NR$16,10&lt;=$NS$16),IF($NP$16="Single_Point",IF(10=$NR$16,$NN$16,0),IF($NP$16="Bell_Curve",$NN$16*(10-$NR$16+1)*($NS$16-10+1)/$NU$16,$NN$16/$NT$16)),0)</f>
        <v/>
      </c>
      <c r="O16" s="228">
        <f>IF(AND(11&gt;=$NR$16,11&lt;=$NS$16),IF($NP$16="Single_Point",IF(11=$NR$16,$NN$16,0),IF($NP$16="Bell_Curve",$NN$16*(11-$NR$16+1)*($NS$16-11+1)/$NU$16,$NN$16/$NT$16)),0)</f>
        <v/>
      </c>
      <c r="P16" s="228">
        <f>IF(AND(12&gt;=$NR$16,12&lt;=$NS$16),IF($NP$16="Single_Point",IF(12=$NR$16,$NN$16,0),IF($NP$16="Bell_Curve",$NN$16*(12-$NR$16+1)*($NS$16-12+1)/$NU$16,$NN$16/$NT$16)),0)</f>
        <v/>
      </c>
      <c r="Q16" s="228">
        <f>IF(AND(13&gt;=$NR$16,13&lt;=$NS$16),IF($NP$16="Single_Point",IF(13=$NR$16,$NN$16,0),IF($NP$16="Bell_Curve",$NN$16*(13-$NR$16+1)*($NS$16-13+1)/$NU$16,$NN$16/$NT$16)),0)</f>
        <v/>
      </c>
      <c r="R16" s="228">
        <f>IF(AND(14&gt;=$NR$16,14&lt;=$NS$16),IF($NP$16="Single_Point",IF(14=$NR$16,$NN$16,0),IF($NP$16="Bell_Curve",$NN$16*(14-$NR$16+1)*($NS$16-14+1)/$NU$16,$NN$16/$NT$16)),0)</f>
        <v/>
      </c>
      <c r="S16" s="228">
        <f>IF(AND(15&gt;=$NR$16,15&lt;=$NS$16),IF($NP$16="Single_Point",IF(15=$NR$16,$NN$16,0),IF($NP$16="Bell_Curve",$NN$16*(15-$NR$16+1)*($NS$16-15+1)/$NU$16,$NN$16/$NT$16)),0)</f>
        <v/>
      </c>
      <c r="T16" s="228">
        <f>IF(AND(16&gt;=$NR$16,16&lt;=$NS$16),IF($NP$16="Single_Point",IF(16=$NR$16,$NN$16,0),IF($NP$16="Bell_Curve",$NN$16*(16-$NR$16+1)*($NS$16-16+1)/$NU$16,$NN$16/$NT$16)),0)</f>
        <v/>
      </c>
      <c r="U16" s="228">
        <f>IF(AND(17&gt;=$NR$16,17&lt;=$NS$16),IF($NP$16="Single_Point",IF(17=$NR$16,$NN$16,0),IF($NP$16="Bell_Curve",$NN$16*(17-$NR$16+1)*($NS$16-17+1)/$NU$16,$NN$16/$NT$16)),0)</f>
        <v/>
      </c>
      <c r="V16" s="228">
        <f>IF(AND(18&gt;=$NR$16,18&lt;=$NS$16),IF($NP$16="Single_Point",IF(18=$NR$16,$NN$16,0),IF($NP$16="Bell_Curve",$NN$16*(18-$NR$16+1)*($NS$16-18+1)/$NU$16,$NN$16/$NT$16)),0)</f>
        <v/>
      </c>
      <c r="W16" s="228">
        <f>IF(AND(19&gt;=$NR$16,19&lt;=$NS$16),IF($NP$16="Single_Point",IF(19=$NR$16,$NN$16,0),IF($NP$16="Bell_Curve",$NN$16*(19-$NR$16+1)*($NS$16-19+1)/$NU$16,$NN$16/$NT$16)),0)</f>
        <v/>
      </c>
      <c r="X16" s="228">
        <f>IF(AND(20&gt;=$NR$16,20&lt;=$NS$16),IF($NP$16="Single_Point",IF(20=$NR$16,$NN$16,0),IF($NP$16="Bell_Curve",$NN$16*(20-$NR$16+1)*($NS$16-20+1)/$NU$16,$NN$16/$NT$16)),0)</f>
        <v/>
      </c>
      <c r="Y16" s="228">
        <f>IF(AND(21&gt;=$NR$16,21&lt;=$NS$16),IF($NP$16="Single_Point",IF(21=$NR$16,$NN$16,0),IF($NP$16="Bell_Curve",$NN$16*(21-$NR$16+1)*($NS$16-21+1)/$NU$16,$NN$16/$NT$16)),0)</f>
        <v/>
      </c>
      <c r="Z16" s="228">
        <f>IF(AND(22&gt;=$NR$16,22&lt;=$NS$16),IF($NP$16="Single_Point",IF(22=$NR$16,$NN$16,0),IF($NP$16="Bell_Curve",$NN$16*(22-$NR$16+1)*($NS$16-22+1)/$NU$16,$NN$16/$NT$16)),0)</f>
        <v/>
      </c>
      <c r="AA16" s="228">
        <f>IF(AND(23&gt;=$NR$16,23&lt;=$NS$16),IF($NP$16="Single_Point",IF(23=$NR$16,$NN$16,0),IF($NP$16="Bell_Curve",$NN$16*(23-$NR$16+1)*($NS$16-23+1)/$NU$16,$NN$16/$NT$16)),0)</f>
        <v/>
      </c>
      <c r="AB16" s="228">
        <f>IF(AND(24&gt;=$NR$16,24&lt;=$NS$16),IF($NP$16="Single_Point",IF(24=$NR$16,$NN$16,0),IF($NP$16="Bell_Curve",$NN$16*(24-$NR$16+1)*($NS$16-24+1)/$NU$16,$NN$16/$NT$16)),0)</f>
        <v/>
      </c>
      <c r="AC16" s="228">
        <f>IF(AND(25&gt;=$NR$16,25&lt;=$NS$16),IF($NP$16="Single_Point",IF(25=$NR$16,$NN$16,0),IF($NP$16="Bell_Curve",$NN$16*(25-$NR$16+1)*($NS$16-25+1)/$NU$16,$NN$16/$NT$16)),0)</f>
        <v/>
      </c>
      <c r="AD16" s="228">
        <f>IF(AND(26&gt;=$NR$16,26&lt;=$NS$16),IF($NP$16="Single_Point",IF(26=$NR$16,$NN$16,0),IF($NP$16="Bell_Curve",$NN$16*(26-$NR$16+1)*($NS$16-26+1)/$NU$16,$NN$16/$NT$16)),0)</f>
        <v/>
      </c>
      <c r="AE16" s="228">
        <f>IF(AND(27&gt;=$NR$16,27&lt;=$NS$16),IF($NP$16="Single_Point",IF(27=$NR$16,$NN$16,0),IF($NP$16="Bell_Curve",$NN$16*(27-$NR$16+1)*($NS$16-27+1)/$NU$16,$NN$16/$NT$16)),0)</f>
        <v/>
      </c>
      <c r="AF16" s="228">
        <f>IF(AND(28&gt;=$NR$16,28&lt;=$NS$16),IF($NP$16="Single_Point",IF(28=$NR$16,$NN$16,0),IF($NP$16="Bell_Curve",$NN$16*(28-$NR$16+1)*($NS$16-28+1)/$NU$16,$NN$16/$NT$16)),0)</f>
        <v/>
      </c>
      <c r="AG16" s="228">
        <f>IF(AND(29&gt;=$NR$16,29&lt;=$NS$16),IF($NP$16="Single_Point",IF(29=$NR$16,$NN$16,0),IF($NP$16="Bell_Curve",$NN$16*(29-$NR$16+1)*($NS$16-29+1)/$NU$16,$NN$16/$NT$16)),0)</f>
        <v/>
      </c>
      <c r="AH16" s="228">
        <f>IF(AND(30&gt;=$NR$16,30&lt;=$NS$16),IF($NP$16="Single_Point",IF(30=$NR$16,$NN$16,0),IF($NP$16="Bell_Curve",$NN$16*(30-$NR$16+1)*($NS$16-30+1)/$NU$16,$NN$16/$NT$16)),0)</f>
        <v/>
      </c>
      <c r="AI16" s="228">
        <f>IF(AND(31&gt;=$NR$16,31&lt;=$NS$16),IF($NP$16="Single_Point",IF(31=$NR$16,$NN$16,0),IF($NP$16="Bell_Curve",$NN$16*(31-$NR$16+1)*($NS$16-31+1)/$NU$16,$NN$16/$NT$16)),0)</f>
        <v/>
      </c>
      <c r="AJ16" s="228">
        <f>IF(AND(32&gt;=$NR$16,32&lt;=$NS$16),IF($NP$16="Single_Point",IF(32=$NR$16,$NN$16,0),IF($NP$16="Bell_Curve",$NN$16*(32-$NR$16+1)*($NS$16-32+1)/$NU$16,$NN$16/$NT$16)),0)</f>
        <v/>
      </c>
      <c r="AK16" s="228">
        <f>IF(AND(33&gt;=$NR$16,33&lt;=$NS$16),IF($NP$16="Single_Point",IF(33=$NR$16,$NN$16,0),IF($NP$16="Bell_Curve",$NN$16*(33-$NR$16+1)*($NS$16-33+1)/$NU$16,$NN$16/$NT$16)),0)</f>
        <v/>
      </c>
      <c r="AL16" s="228">
        <f>IF(AND(34&gt;=$NR$16,34&lt;=$NS$16),IF($NP$16="Single_Point",IF(34=$NR$16,$NN$16,0),IF($NP$16="Bell_Curve",$NN$16*(34-$NR$16+1)*($NS$16-34+1)/$NU$16,$NN$16/$NT$16)),0)</f>
        <v/>
      </c>
      <c r="AM16" s="228">
        <f>IF(AND(35&gt;=$NR$16,35&lt;=$NS$16),IF($NP$16="Single_Point",IF(35=$NR$16,$NN$16,0),IF($NP$16="Bell_Curve",$NN$16*(35-$NR$16+1)*($NS$16-35+1)/$NU$16,$NN$16/$NT$16)),0)</f>
        <v/>
      </c>
      <c r="AN16" s="228">
        <f>IF(AND(36&gt;=$NR$16,36&lt;=$NS$16),IF($NP$16="Single_Point",IF(36=$NR$16,$NN$16,0),IF($NP$16="Bell_Curve",$NN$16*(36-$NR$16+1)*($NS$16-36+1)/$NU$16,$NN$16/$NT$16)),0)</f>
        <v/>
      </c>
      <c r="AO16" s="228">
        <f>IF(AND(37&gt;=$NR$16,37&lt;=$NS$16),IF($NP$16="Single_Point",IF(37=$NR$16,$NN$16,0),IF($NP$16="Bell_Curve",$NN$16*(37-$NR$16+1)*($NS$16-37+1)/$NU$16,$NN$16/$NT$16)),0)</f>
        <v/>
      </c>
      <c r="AP16" s="228">
        <f>IF(AND(38&gt;=$NR$16,38&lt;=$NS$16),IF($NP$16="Single_Point",IF(38=$NR$16,$NN$16,0),IF($NP$16="Bell_Curve",$NN$16*(38-$NR$16+1)*($NS$16-38+1)/$NU$16,$NN$16/$NT$16)),0)</f>
        <v/>
      </c>
      <c r="AQ16" s="228">
        <f>IF(AND(39&gt;=$NR$16,39&lt;=$NS$16),IF($NP$16="Single_Point",IF(39=$NR$16,$NN$16,0),IF($NP$16="Bell_Curve",$NN$16*(39-$NR$16+1)*($NS$16-39+1)/$NU$16,$NN$16/$NT$16)),0)</f>
        <v/>
      </c>
      <c r="AR16" s="228">
        <f>IF(AND(40&gt;=$NR$16,40&lt;=$NS$16),IF($NP$16="Single_Point",IF(40=$NR$16,$NN$16,0),IF($NP$16="Bell_Curve",$NN$16*(40-$NR$16+1)*($NS$16-40+1)/$NU$16,$NN$16/$NT$16)),0)</f>
        <v/>
      </c>
      <c r="AS16" s="228">
        <f>IF(AND(41&gt;=$NR$16,41&lt;=$NS$16),IF($NP$16="Single_Point",IF(41=$NR$16,$NN$16,0),IF($NP$16="Bell_Curve",$NN$16*(41-$NR$16+1)*($NS$16-41+1)/$NU$16,$NN$16/$NT$16)),0)</f>
        <v/>
      </c>
      <c r="AT16" s="228">
        <f>IF(AND(42&gt;=$NR$16,42&lt;=$NS$16),IF($NP$16="Single_Point",IF(42=$NR$16,$NN$16,0),IF($NP$16="Bell_Curve",$NN$16*(42-$NR$16+1)*($NS$16-42+1)/$NU$16,$NN$16/$NT$16)),0)</f>
        <v/>
      </c>
      <c r="AU16" s="228">
        <f>IF(AND(43&gt;=$NR$16,43&lt;=$NS$16),IF($NP$16="Single_Point",IF(43=$NR$16,$NN$16,0),IF($NP$16="Bell_Curve",$NN$16*(43-$NR$16+1)*($NS$16-43+1)/$NU$16,$NN$16/$NT$16)),0)</f>
        <v/>
      </c>
      <c r="AV16" s="228">
        <f>IF(AND(44&gt;=$NR$16,44&lt;=$NS$16),IF($NP$16="Single_Point",IF(44=$NR$16,$NN$16,0),IF($NP$16="Bell_Curve",$NN$16*(44-$NR$16+1)*($NS$16-44+1)/$NU$16,$NN$16/$NT$16)),0)</f>
        <v/>
      </c>
      <c r="AW16" s="228">
        <f>IF(AND(45&gt;=$NR$16,45&lt;=$NS$16),IF($NP$16="Single_Point",IF(45=$NR$16,$NN$16,0),IF($NP$16="Bell_Curve",$NN$16*(45-$NR$16+1)*($NS$16-45+1)/$NU$16,$NN$16/$NT$16)),0)</f>
        <v/>
      </c>
      <c r="AX16" s="228">
        <f>IF(AND(46&gt;=$NR$16,46&lt;=$NS$16),IF($NP$16="Single_Point",IF(46=$NR$16,$NN$16,0),IF($NP$16="Bell_Curve",$NN$16*(46-$NR$16+1)*($NS$16-46+1)/$NU$16,$NN$16/$NT$16)),0)</f>
        <v/>
      </c>
      <c r="AY16" s="228">
        <f>IF(AND(47&gt;=$NR$16,47&lt;=$NS$16),IF($NP$16="Single_Point",IF(47=$NR$16,$NN$16,0),IF($NP$16="Bell_Curve",$NN$16*(47-$NR$16+1)*($NS$16-47+1)/$NU$16,$NN$16/$NT$16)),0)</f>
        <v/>
      </c>
      <c r="AZ16" s="228">
        <f>IF(AND(48&gt;=$NR$16,48&lt;=$NS$16),IF($NP$16="Single_Point",IF(48=$NR$16,$NN$16,0),IF($NP$16="Bell_Curve",$NN$16*(48-$NR$16+1)*($NS$16-48+1)/$NU$16,$NN$16/$NT$16)),0)</f>
        <v/>
      </c>
      <c r="BA16" s="228">
        <f>IF(AND(49&gt;=$NR$16,49&lt;=$NS$16),IF($NP$16="Single_Point",IF(49=$NR$16,$NN$16,0),IF($NP$16="Bell_Curve",$NN$16*(49-$NR$16+1)*($NS$16-49+1)/$NU$16,$NN$16/$NT$16)),0)</f>
        <v/>
      </c>
      <c r="BB16" s="228">
        <f>IF(AND(50&gt;=$NR$16,50&lt;=$NS$16),IF($NP$16="Single_Point",IF(50=$NR$16,$NN$16,0),IF($NP$16="Bell_Curve",$NN$16*(50-$NR$16+1)*($NS$16-50+1)/$NU$16,$NN$16/$NT$16)),0)</f>
        <v/>
      </c>
      <c r="BC16" s="228">
        <f>IF(AND(51&gt;=$NR$16,51&lt;=$NS$16),IF($NP$16="Single_Point",IF(51=$NR$16,$NN$16,0),IF($NP$16="Bell_Curve",$NN$16*(51-$NR$16+1)*($NS$16-51+1)/$NU$16,$NN$16/$NT$16)),0)</f>
        <v/>
      </c>
      <c r="BD16" s="228">
        <f>IF(AND(52&gt;=$NR$16,52&lt;=$NS$16),IF($NP$16="Single_Point",IF(52=$NR$16,$NN$16,0),IF($NP$16="Bell_Curve",$NN$16*(52-$NR$16+1)*($NS$16-52+1)/$NU$16,$NN$16/$NT$16)),0)</f>
        <v/>
      </c>
      <c r="BE16" s="228">
        <f>IF(AND(53&gt;=$NR$16,53&lt;=$NS$16),IF($NP$16="Single_Point",IF(53=$NR$16,$NN$16,0),IF($NP$16="Bell_Curve",$NN$16*(53-$NR$16+1)*($NS$16-53+1)/$NU$16,$NN$16/$NT$16)),0)</f>
        <v/>
      </c>
      <c r="BF16" s="228">
        <f>IF(AND(54&gt;=$NR$16,54&lt;=$NS$16),IF($NP$16="Single_Point",IF(54=$NR$16,$NN$16,0),IF($NP$16="Bell_Curve",$NN$16*(54-$NR$16+1)*($NS$16-54+1)/$NU$16,$NN$16/$NT$16)),0)</f>
        <v/>
      </c>
      <c r="BG16" s="228">
        <f>IF(AND(55&gt;=$NR$16,55&lt;=$NS$16),IF($NP$16="Single_Point",IF(55=$NR$16,$NN$16,0),IF($NP$16="Bell_Curve",$NN$16*(55-$NR$16+1)*($NS$16-55+1)/$NU$16,$NN$16/$NT$16)),0)</f>
        <v/>
      </c>
      <c r="BH16" s="228">
        <f>IF(AND(56&gt;=$NR$16,56&lt;=$NS$16),IF($NP$16="Single_Point",IF(56=$NR$16,$NN$16,0),IF($NP$16="Bell_Curve",$NN$16*(56-$NR$16+1)*($NS$16-56+1)/$NU$16,$NN$16/$NT$16)),0)</f>
        <v/>
      </c>
      <c r="BI16" s="228">
        <f>IF(AND(57&gt;=$NR$16,57&lt;=$NS$16),IF($NP$16="Single_Point",IF(57=$NR$16,$NN$16,0),IF($NP$16="Bell_Curve",$NN$16*(57-$NR$16+1)*($NS$16-57+1)/$NU$16,$NN$16/$NT$16)),0)</f>
        <v/>
      </c>
      <c r="BJ16" s="228">
        <f>IF(AND(58&gt;=$NR$16,58&lt;=$NS$16),IF($NP$16="Single_Point",IF(58=$NR$16,$NN$16,0),IF($NP$16="Bell_Curve",$NN$16*(58-$NR$16+1)*($NS$16-58+1)/$NU$16,$NN$16/$NT$16)),0)</f>
        <v/>
      </c>
      <c r="BK16" s="228">
        <f>IF(AND(59&gt;=$NR$16,59&lt;=$NS$16),IF($NP$16="Single_Point",IF(59=$NR$16,$NN$16,0),IF($NP$16="Bell_Curve",$NN$16*(59-$NR$16+1)*($NS$16-59+1)/$NU$16,$NN$16/$NT$16)),0)</f>
        <v/>
      </c>
      <c r="BL16" s="228">
        <f>IF(AND(60&gt;=$NR$16,60&lt;=$NS$16),IF($NP$16="Single_Point",IF(60=$NR$16,$NN$16,0),IF($NP$16="Bell_Curve",$NN$16*(60-$NR$16+1)*($NS$16-60+1)/$NU$16,$NN$16/$NT$16)),0)</f>
        <v/>
      </c>
      <c r="BM16" s="228">
        <f>IF(AND(61&gt;=$NR$16,61&lt;=$NS$16),IF($NP$16="Single_Point",IF(61=$NR$16,$NN$16,0),IF($NP$16="Bell_Curve",$NN$16*(61-$NR$16+1)*($NS$16-61+1)/$NU$16,$NN$16/$NT$16)),0)</f>
        <v/>
      </c>
      <c r="BN16" s="228">
        <f>IF(AND(62&gt;=$NR$16,62&lt;=$NS$16),IF($NP$16="Single_Point",IF(62=$NR$16,$NN$16,0),IF($NP$16="Bell_Curve",$NN$16*(62-$NR$16+1)*($NS$16-62+1)/$NU$16,$NN$16/$NT$16)),0)</f>
        <v/>
      </c>
      <c r="BO16" s="228">
        <f>IF(AND(63&gt;=$NR$16,63&lt;=$NS$16),IF($NP$16="Single_Point",IF(63=$NR$16,$NN$16,0),IF($NP$16="Bell_Curve",$NN$16*(63-$NR$16+1)*($NS$16-63+1)/$NU$16,$NN$16/$NT$16)),0)</f>
        <v/>
      </c>
      <c r="BP16" s="228">
        <f>IF(AND(64&gt;=$NR$16,64&lt;=$NS$16),IF($NP$16="Single_Point",IF(64=$NR$16,$NN$16,0),IF($NP$16="Bell_Curve",$NN$16*(64-$NR$16+1)*($NS$16-64+1)/$NU$16,$NN$16/$NT$16)),0)</f>
        <v/>
      </c>
      <c r="BQ16" s="228">
        <f>IF(AND(65&gt;=$NR$16,65&lt;=$NS$16),IF($NP$16="Single_Point",IF(65=$NR$16,$NN$16,0),IF($NP$16="Bell_Curve",$NN$16*(65-$NR$16+1)*($NS$16-65+1)/$NU$16,$NN$16/$NT$16)),0)</f>
        <v/>
      </c>
      <c r="BR16" s="228">
        <f>IF(AND(66&gt;=$NR$16,66&lt;=$NS$16),IF($NP$16="Single_Point",IF(66=$NR$16,$NN$16,0),IF($NP$16="Bell_Curve",$NN$16*(66-$NR$16+1)*($NS$16-66+1)/$NU$16,$NN$16/$NT$16)),0)</f>
        <v/>
      </c>
      <c r="BS16" s="228">
        <f>IF(AND(67&gt;=$NR$16,67&lt;=$NS$16),IF($NP$16="Single_Point",IF(67=$NR$16,$NN$16,0),IF($NP$16="Bell_Curve",$NN$16*(67-$NR$16+1)*($NS$16-67+1)/$NU$16,$NN$16/$NT$16)),0)</f>
        <v/>
      </c>
      <c r="BT16" s="228">
        <f>IF(AND(68&gt;=$NR$16,68&lt;=$NS$16),IF($NP$16="Single_Point",IF(68=$NR$16,$NN$16,0),IF($NP$16="Bell_Curve",$NN$16*(68-$NR$16+1)*($NS$16-68+1)/$NU$16,$NN$16/$NT$16)),0)</f>
        <v/>
      </c>
      <c r="BU16" s="228">
        <f>IF(AND(69&gt;=$NR$16,69&lt;=$NS$16),IF($NP$16="Single_Point",IF(69=$NR$16,$NN$16,0),IF($NP$16="Bell_Curve",$NN$16*(69-$NR$16+1)*($NS$16-69+1)/$NU$16,$NN$16/$NT$16)),0)</f>
        <v/>
      </c>
      <c r="BV16" s="228">
        <f>IF(AND(70&gt;=$NR$16,70&lt;=$NS$16),IF($NP$16="Single_Point",IF(70=$NR$16,$NN$16,0),IF($NP$16="Bell_Curve",$NN$16*(70-$NR$16+1)*($NS$16-70+1)/$NU$16,$NN$16/$NT$16)),0)</f>
        <v/>
      </c>
      <c r="BW16" s="228">
        <f>IF(AND(71&gt;=$NR$16,71&lt;=$NS$16),IF($NP$16="Single_Point",IF(71=$NR$16,$NN$16,0),IF($NP$16="Bell_Curve",$NN$16*(71-$NR$16+1)*($NS$16-71+1)/$NU$16,$NN$16/$NT$16)),0)</f>
        <v/>
      </c>
      <c r="BX16" s="228">
        <f>IF(AND(72&gt;=$NR$16,72&lt;=$NS$16),IF($NP$16="Single_Point",IF(72=$NR$16,$NN$16,0),IF($NP$16="Bell_Curve",$NN$16*(72-$NR$16+1)*($NS$16-72+1)/$NU$16,$NN$16/$NT$16)),0)</f>
        <v/>
      </c>
      <c r="BY16" s="228">
        <f>IF(AND(73&gt;=$NR$16,73&lt;=$NS$16),IF($NP$16="Single_Point",IF(73=$NR$16,$NN$16,0),IF($NP$16="Bell_Curve",$NN$16*(73-$NR$16+1)*($NS$16-73+1)/$NU$16,$NN$16/$NT$16)),0)</f>
        <v/>
      </c>
      <c r="BZ16" s="228">
        <f>IF(AND(74&gt;=$NR$16,74&lt;=$NS$16),IF($NP$16="Single_Point",IF(74=$NR$16,$NN$16,0),IF($NP$16="Bell_Curve",$NN$16*(74-$NR$16+1)*($NS$16-74+1)/$NU$16,$NN$16/$NT$16)),0)</f>
        <v/>
      </c>
      <c r="CA16" s="228">
        <f>IF(AND(75&gt;=$NR$16,75&lt;=$NS$16),IF($NP$16="Single_Point",IF(75=$NR$16,$NN$16,0),IF($NP$16="Bell_Curve",$NN$16*(75-$NR$16+1)*($NS$16-75+1)/$NU$16,$NN$16/$NT$16)),0)</f>
        <v/>
      </c>
      <c r="CB16" s="228">
        <f>IF(AND(76&gt;=$NR$16,76&lt;=$NS$16),IF($NP$16="Single_Point",IF(76=$NR$16,$NN$16,0),IF($NP$16="Bell_Curve",$NN$16*(76-$NR$16+1)*($NS$16-76+1)/$NU$16,$NN$16/$NT$16)),0)</f>
        <v/>
      </c>
      <c r="CC16" s="228">
        <f>IF(AND(77&gt;=$NR$16,77&lt;=$NS$16),IF($NP$16="Single_Point",IF(77=$NR$16,$NN$16,0),IF($NP$16="Bell_Curve",$NN$16*(77-$NR$16+1)*($NS$16-77+1)/$NU$16,$NN$16/$NT$16)),0)</f>
        <v/>
      </c>
      <c r="CD16" s="228">
        <f>IF(AND(78&gt;=$NR$16,78&lt;=$NS$16),IF($NP$16="Single_Point",IF(78=$NR$16,$NN$16,0),IF($NP$16="Bell_Curve",$NN$16*(78-$NR$16+1)*($NS$16-78+1)/$NU$16,$NN$16/$NT$16)),0)</f>
        <v/>
      </c>
      <c r="CE16" s="228">
        <f>IF(AND(79&gt;=$NR$16,79&lt;=$NS$16),IF($NP$16="Single_Point",IF(79=$NR$16,$NN$16,0),IF($NP$16="Bell_Curve",$NN$16*(79-$NR$16+1)*($NS$16-79+1)/$NU$16,$NN$16/$NT$16)),0)</f>
        <v/>
      </c>
      <c r="CF16" s="228">
        <f>IF(AND(80&gt;=$NR$16,80&lt;=$NS$16),IF($NP$16="Single_Point",IF(80=$NR$16,$NN$16,0),IF($NP$16="Bell_Curve",$NN$16*(80-$NR$16+1)*($NS$16-80+1)/$NU$16,$NN$16/$NT$16)),0)</f>
        <v/>
      </c>
      <c r="CG16" s="228">
        <f>IF(AND(81&gt;=$NR$16,81&lt;=$NS$16),IF($NP$16="Single_Point",IF(81=$NR$16,$NN$16,0),IF($NP$16="Bell_Curve",$NN$16*(81-$NR$16+1)*($NS$16-81+1)/$NU$16,$NN$16/$NT$16)),0)</f>
        <v/>
      </c>
      <c r="CH16" s="228">
        <f>IF(AND(82&gt;=$NR$16,82&lt;=$NS$16),IF($NP$16="Single_Point",IF(82=$NR$16,$NN$16,0),IF($NP$16="Bell_Curve",$NN$16*(82-$NR$16+1)*($NS$16-82+1)/$NU$16,$NN$16/$NT$16)),0)</f>
        <v/>
      </c>
      <c r="CI16" s="228">
        <f>IF(AND(83&gt;=$NR$16,83&lt;=$NS$16),IF($NP$16="Single_Point",IF(83=$NR$16,$NN$16,0),IF($NP$16="Bell_Curve",$NN$16*(83-$NR$16+1)*($NS$16-83+1)/$NU$16,$NN$16/$NT$16)),0)</f>
        <v/>
      </c>
      <c r="CJ16" s="228">
        <f>IF(AND(84&gt;=$NR$16,84&lt;=$NS$16),IF($NP$16="Single_Point",IF(84=$NR$16,$NN$16,0),IF($NP$16="Bell_Curve",$NN$16*(84-$NR$16+1)*($NS$16-84+1)/$NU$16,$NN$16/$NT$16)),0)</f>
        <v/>
      </c>
      <c r="CK16" s="228">
        <f>IF(AND(85&gt;=$NR$16,85&lt;=$NS$16),IF($NP$16="Single_Point",IF(85=$NR$16,$NN$16,0),IF($NP$16="Bell_Curve",$NN$16*(85-$NR$16+1)*($NS$16-85+1)/$NU$16,$NN$16/$NT$16)),0)</f>
        <v/>
      </c>
      <c r="CL16" s="228">
        <f>IF(AND(86&gt;=$NR$16,86&lt;=$NS$16),IF($NP$16="Single_Point",IF(86=$NR$16,$NN$16,0),IF($NP$16="Bell_Curve",$NN$16*(86-$NR$16+1)*($NS$16-86+1)/$NU$16,$NN$16/$NT$16)),0)</f>
        <v/>
      </c>
      <c r="CM16" s="228">
        <f>IF(AND(87&gt;=$NR$16,87&lt;=$NS$16),IF($NP$16="Single_Point",IF(87=$NR$16,$NN$16,0),IF($NP$16="Bell_Curve",$NN$16*(87-$NR$16+1)*($NS$16-87+1)/$NU$16,$NN$16/$NT$16)),0)</f>
        <v/>
      </c>
      <c r="CN16" s="228">
        <f>IF(AND(88&gt;=$NR$16,88&lt;=$NS$16),IF($NP$16="Single_Point",IF(88=$NR$16,$NN$16,0),IF($NP$16="Bell_Curve",$NN$16*(88-$NR$16+1)*($NS$16-88+1)/$NU$16,$NN$16/$NT$16)),0)</f>
        <v/>
      </c>
      <c r="CO16" s="228">
        <f>IF(AND(89&gt;=$NR$16,89&lt;=$NS$16),IF($NP$16="Single_Point",IF(89=$NR$16,$NN$16,0),IF($NP$16="Bell_Curve",$NN$16*(89-$NR$16+1)*($NS$16-89+1)/$NU$16,$NN$16/$NT$16)),0)</f>
        <v/>
      </c>
      <c r="CP16" s="228">
        <f>IF(AND(90&gt;=$NR$16,90&lt;=$NS$16),IF($NP$16="Single_Point",IF(90=$NR$16,$NN$16,0),IF($NP$16="Bell_Curve",$NN$16*(90-$NR$16+1)*($NS$16-90+1)/$NU$16,$NN$16/$NT$16)),0)</f>
        <v/>
      </c>
      <c r="CQ16" s="228">
        <f>IF(AND(91&gt;=$NR$16,91&lt;=$NS$16),IF($NP$16="Single_Point",IF(91=$NR$16,$NN$16,0),IF($NP$16="Bell_Curve",$NN$16*(91-$NR$16+1)*($NS$16-91+1)/$NU$16,$NN$16/$NT$16)),0)</f>
        <v/>
      </c>
      <c r="CR16" s="228">
        <f>IF(AND(92&gt;=$NR$16,92&lt;=$NS$16),IF($NP$16="Single_Point",IF(92=$NR$16,$NN$16,0),IF($NP$16="Bell_Curve",$NN$16*(92-$NR$16+1)*($NS$16-92+1)/$NU$16,$NN$16/$NT$16)),0)</f>
        <v/>
      </c>
      <c r="CS16" s="228">
        <f>IF(AND(93&gt;=$NR$16,93&lt;=$NS$16),IF($NP$16="Single_Point",IF(93=$NR$16,$NN$16,0),IF($NP$16="Bell_Curve",$NN$16*(93-$NR$16+1)*($NS$16-93+1)/$NU$16,$NN$16/$NT$16)),0)</f>
        <v/>
      </c>
      <c r="CT16" s="228">
        <f>IF(AND(94&gt;=$NR$16,94&lt;=$NS$16),IF($NP$16="Single_Point",IF(94=$NR$16,$NN$16,0),IF($NP$16="Bell_Curve",$NN$16*(94-$NR$16+1)*($NS$16-94+1)/$NU$16,$NN$16/$NT$16)),0)</f>
        <v/>
      </c>
      <c r="CU16" s="228">
        <f>IF(AND(95&gt;=$NR$16,95&lt;=$NS$16),IF($NP$16="Single_Point",IF(95=$NR$16,$NN$16,0),IF($NP$16="Bell_Curve",$NN$16*(95-$NR$16+1)*($NS$16-95+1)/$NU$16,$NN$16/$NT$16)),0)</f>
        <v/>
      </c>
      <c r="CV16" s="228">
        <f>IF(AND(96&gt;=$NR$16,96&lt;=$NS$16),IF($NP$16="Single_Point",IF(96=$NR$16,$NN$16,0),IF($NP$16="Bell_Curve",$NN$16*(96-$NR$16+1)*($NS$16-96+1)/$NU$16,$NN$16/$NT$16)),0)</f>
        <v/>
      </c>
      <c r="CW16" s="228">
        <f>IF(AND(97&gt;=$NR$16,97&lt;=$NS$16),IF($NP$16="Single_Point",IF(97=$NR$16,$NN$16,0),IF($NP$16="Bell_Curve",$NN$16*(97-$NR$16+1)*($NS$16-97+1)/$NU$16,$NN$16/$NT$16)),0)</f>
        <v/>
      </c>
      <c r="CX16" s="228">
        <f>IF(AND(98&gt;=$NR$16,98&lt;=$NS$16),IF($NP$16="Single_Point",IF(98=$NR$16,$NN$16,0),IF($NP$16="Bell_Curve",$NN$16*(98-$NR$16+1)*($NS$16-98+1)/$NU$16,$NN$16/$NT$16)),0)</f>
        <v/>
      </c>
      <c r="CY16" s="228">
        <f>IF(AND(99&gt;=$NR$16,99&lt;=$NS$16),IF($NP$16="Single_Point",IF(99=$NR$16,$NN$16,0),IF($NP$16="Bell_Curve",$NN$16*(99-$NR$16+1)*($NS$16-99+1)/$NU$16,$NN$16/$NT$16)),0)</f>
        <v/>
      </c>
      <c r="CZ16" s="228">
        <f>IF(AND(100&gt;=$NR$16,100&lt;=$NS$16),IF($NP$16="Single_Point",IF(100=$NR$16,$NN$16,0),IF($NP$16="Bell_Curve",$NN$16*(100-$NR$16+1)*($NS$16-100+1)/$NU$16,$NN$16/$NT$16)),0)</f>
        <v/>
      </c>
      <c r="DA16" s="228">
        <f>IF(AND(101&gt;=$NR$16,101&lt;=$NS$16),IF($NP$16="Single_Point",IF(101=$NR$16,$NN$16,0),IF($NP$16="Bell_Curve",$NN$16*(101-$NR$16+1)*($NS$16-101+1)/$NU$16,$NN$16/$NT$16)),0)</f>
        <v/>
      </c>
      <c r="DB16" s="228">
        <f>IF(AND(102&gt;=$NR$16,102&lt;=$NS$16),IF($NP$16="Single_Point",IF(102=$NR$16,$NN$16,0),IF($NP$16="Bell_Curve",$NN$16*(102-$NR$16+1)*($NS$16-102+1)/$NU$16,$NN$16/$NT$16)),0)</f>
        <v/>
      </c>
      <c r="DC16" s="228">
        <f>IF(AND(103&gt;=$NR$16,103&lt;=$NS$16),IF($NP$16="Single_Point",IF(103=$NR$16,$NN$16,0),IF($NP$16="Bell_Curve",$NN$16*(103-$NR$16+1)*($NS$16-103+1)/$NU$16,$NN$16/$NT$16)),0)</f>
        <v/>
      </c>
      <c r="DD16" s="228">
        <f>IF(AND(104&gt;=$NR$16,104&lt;=$NS$16),IF($NP$16="Single_Point",IF(104=$NR$16,$NN$16,0),IF($NP$16="Bell_Curve",$NN$16*(104-$NR$16+1)*($NS$16-104+1)/$NU$16,$NN$16/$NT$16)),0)</f>
        <v/>
      </c>
      <c r="DE16" s="228">
        <f>IF(AND(105&gt;=$NR$16,105&lt;=$NS$16),IF($NP$16="Single_Point",IF(105=$NR$16,$NN$16,0),IF($NP$16="Bell_Curve",$NN$16*(105-$NR$16+1)*($NS$16-105+1)/$NU$16,$NN$16/$NT$16)),0)</f>
        <v/>
      </c>
      <c r="DF16" s="228">
        <f>IF(AND(106&gt;=$NR$16,106&lt;=$NS$16),IF($NP$16="Single_Point",IF(106=$NR$16,$NN$16,0),IF($NP$16="Bell_Curve",$NN$16*(106-$NR$16+1)*($NS$16-106+1)/$NU$16,$NN$16/$NT$16)),0)</f>
        <v/>
      </c>
      <c r="DG16" s="228">
        <f>IF(AND(107&gt;=$NR$16,107&lt;=$NS$16),IF($NP$16="Single_Point",IF(107=$NR$16,$NN$16,0),IF($NP$16="Bell_Curve",$NN$16*(107-$NR$16+1)*($NS$16-107+1)/$NU$16,$NN$16/$NT$16)),0)</f>
        <v/>
      </c>
      <c r="DH16" s="228">
        <f>IF(AND(108&gt;=$NR$16,108&lt;=$NS$16),IF($NP$16="Single_Point",IF(108=$NR$16,$NN$16,0),IF($NP$16="Bell_Curve",$NN$16*(108-$NR$16+1)*($NS$16-108+1)/$NU$16,$NN$16/$NT$16)),0)</f>
        <v/>
      </c>
      <c r="DI16" s="228">
        <f>IF(AND(109&gt;=$NR$16,109&lt;=$NS$16),IF($NP$16="Single_Point",IF(109=$NR$16,$NN$16,0),IF($NP$16="Bell_Curve",$NN$16*(109-$NR$16+1)*($NS$16-109+1)/$NU$16,$NN$16/$NT$16)),0)</f>
        <v/>
      </c>
      <c r="DJ16" s="228">
        <f>IF(AND(110&gt;=$NR$16,110&lt;=$NS$16),IF($NP$16="Single_Point",IF(110=$NR$16,$NN$16,0),IF($NP$16="Bell_Curve",$NN$16*(110-$NR$16+1)*($NS$16-110+1)/$NU$16,$NN$16/$NT$16)),0)</f>
        <v/>
      </c>
      <c r="DK16" s="228">
        <f>IF(AND(111&gt;=$NR$16,111&lt;=$NS$16),IF($NP$16="Single_Point",IF(111=$NR$16,$NN$16,0),IF($NP$16="Bell_Curve",$NN$16*(111-$NR$16+1)*($NS$16-111+1)/$NU$16,$NN$16/$NT$16)),0)</f>
        <v/>
      </c>
      <c r="DL16" s="228">
        <f>IF(AND(112&gt;=$NR$16,112&lt;=$NS$16),IF($NP$16="Single_Point",IF(112=$NR$16,$NN$16,0),IF($NP$16="Bell_Curve",$NN$16*(112-$NR$16+1)*($NS$16-112+1)/$NU$16,$NN$16/$NT$16)),0)</f>
        <v/>
      </c>
      <c r="DM16" s="228">
        <f>IF(AND(113&gt;=$NR$16,113&lt;=$NS$16),IF($NP$16="Single_Point",IF(113=$NR$16,$NN$16,0),IF($NP$16="Bell_Curve",$NN$16*(113-$NR$16+1)*($NS$16-113+1)/$NU$16,$NN$16/$NT$16)),0)</f>
        <v/>
      </c>
      <c r="DN16" s="228">
        <f>IF(AND(114&gt;=$NR$16,114&lt;=$NS$16),IF($NP$16="Single_Point",IF(114=$NR$16,$NN$16,0),IF($NP$16="Bell_Curve",$NN$16*(114-$NR$16+1)*($NS$16-114+1)/$NU$16,$NN$16/$NT$16)),0)</f>
        <v/>
      </c>
      <c r="DO16" s="228">
        <f>IF(AND(115&gt;=$NR$16,115&lt;=$NS$16),IF($NP$16="Single_Point",IF(115=$NR$16,$NN$16,0),IF($NP$16="Bell_Curve",$NN$16*(115-$NR$16+1)*($NS$16-115+1)/$NU$16,$NN$16/$NT$16)),0)</f>
        <v/>
      </c>
      <c r="DP16" s="228">
        <f>IF(AND(116&gt;=$NR$16,116&lt;=$NS$16),IF($NP$16="Single_Point",IF(116=$NR$16,$NN$16,0),IF($NP$16="Bell_Curve",$NN$16*(116-$NR$16+1)*($NS$16-116+1)/$NU$16,$NN$16/$NT$16)),0)</f>
        <v/>
      </c>
      <c r="DQ16" s="228">
        <f>IF(AND(117&gt;=$NR$16,117&lt;=$NS$16),IF($NP$16="Single_Point",IF(117=$NR$16,$NN$16,0),IF($NP$16="Bell_Curve",$NN$16*(117-$NR$16+1)*($NS$16-117+1)/$NU$16,$NN$16/$NT$16)),0)</f>
        <v/>
      </c>
      <c r="DR16" s="228">
        <f>IF(AND(118&gt;=$NR$16,118&lt;=$NS$16),IF($NP$16="Single_Point",IF(118=$NR$16,$NN$16,0),IF($NP$16="Bell_Curve",$NN$16*(118-$NR$16+1)*($NS$16-118+1)/$NU$16,$NN$16/$NT$16)),0)</f>
        <v/>
      </c>
      <c r="DS16" s="228">
        <f>IF(AND(119&gt;=$NR$16,119&lt;=$NS$16),IF($NP$16="Single_Point",IF(119=$NR$16,$NN$16,0),IF($NP$16="Bell_Curve",$NN$16*(119-$NR$16+1)*($NS$16-119+1)/$NU$16,$NN$16/$NT$16)),0)</f>
        <v/>
      </c>
      <c r="DT16" s="228">
        <f>IF(AND(120&gt;=$NR$16,120&lt;=$NS$16),IF($NP$16="Single_Point",IF(120=$NR$16,$NN$16,0),IF($NP$16="Bell_Curve",$NN$16*(120-$NR$16+1)*($NS$16-120+1)/$NU$16,$NN$16/$NT$16)),0)</f>
        <v/>
      </c>
      <c r="DU16" s="228">
        <f>IF(AND(121&gt;=$NR$16,121&lt;=$NS$16),IF($NP$16="Single_Point",IF(121=$NR$16,$NN$16,0),IF($NP$16="Bell_Curve",$NN$16*(121-$NR$16+1)*($NS$16-121+1)/$NU$16,$NN$16/$NT$16)),0)</f>
        <v/>
      </c>
      <c r="DV16" s="228">
        <f>IF(AND(122&gt;=$NR$16,122&lt;=$NS$16),IF($NP$16="Single_Point",IF(122=$NR$16,$NN$16,0),IF($NP$16="Bell_Curve",$NN$16*(122-$NR$16+1)*($NS$16-122+1)/$NU$16,$NN$16/$NT$16)),0)</f>
        <v/>
      </c>
      <c r="DW16" s="228">
        <f>IF(AND(123&gt;=$NR$16,123&lt;=$NS$16),IF($NP$16="Single_Point",IF(123=$NR$16,$NN$16,0),IF($NP$16="Bell_Curve",$NN$16*(123-$NR$16+1)*($NS$16-123+1)/$NU$16,$NN$16/$NT$16)),0)</f>
        <v/>
      </c>
      <c r="DX16" s="228">
        <f>IF(AND(124&gt;=$NR$16,124&lt;=$NS$16),IF($NP$16="Single_Point",IF(124=$NR$16,$NN$16,0),IF($NP$16="Bell_Curve",$NN$16*(124-$NR$16+1)*($NS$16-124+1)/$NU$16,$NN$16/$NT$16)),0)</f>
        <v/>
      </c>
      <c r="DY16" s="228">
        <f>IF(AND(125&gt;=$NR$16,125&lt;=$NS$16),IF($NP$16="Single_Point",IF(125=$NR$16,$NN$16,0),IF($NP$16="Bell_Curve",$NN$16*(125-$NR$16+1)*($NS$16-125+1)/$NU$16,$NN$16/$NT$16)),0)</f>
        <v/>
      </c>
      <c r="DZ16" s="228">
        <f>IF(AND(126&gt;=$NR$16,126&lt;=$NS$16),IF($NP$16="Single_Point",IF(126=$NR$16,$NN$16,0),IF($NP$16="Bell_Curve",$NN$16*(126-$NR$16+1)*($NS$16-126+1)/$NU$16,$NN$16/$NT$16)),0)</f>
        <v/>
      </c>
      <c r="EA16" s="228">
        <f>IF(AND(127&gt;=$NR$16,127&lt;=$NS$16),IF($NP$16="Single_Point",IF(127=$NR$16,$NN$16,0),IF($NP$16="Bell_Curve",$NN$16*(127-$NR$16+1)*($NS$16-127+1)/$NU$16,$NN$16/$NT$16)),0)</f>
        <v/>
      </c>
      <c r="EB16" s="228">
        <f>IF(AND(128&gt;=$NR$16,128&lt;=$NS$16),IF($NP$16="Single_Point",IF(128=$NR$16,$NN$16,0),IF($NP$16="Bell_Curve",$NN$16*(128-$NR$16+1)*($NS$16-128+1)/$NU$16,$NN$16/$NT$16)),0)</f>
        <v/>
      </c>
      <c r="EC16" s="228">
        <f>IF(AND(129&gt;=$NR$16,129&lt;=$NS$16),IF($NP$16="Single_Point",IF(129=$NR$16,$NN$16,0),IF($NP$16="Bell_Curve",$NN$16*(129-$NR$16+1)*($NS$16-129+1)/$NU$16,$NN$16/$NT$16)),0)</f>
        <v/>
      </c>
      <c r="ED16" s="228">
        <f>IF(AND(130&gt;=$NR$16,130&lt;=$NS$16),IF($NP$16="Single_Point",IF(130=$NR$16,$NN$16,0),IF($NP$16="Bell_Curve",$NN$16*(130-$NR$16+1)*($NS$16-130+1)/$NU$16,$NN$16/$NT$16)),0)</f>
        <v/>
      </c>
      <c r="EE16" s="228">
        <f>IF(AND(131&gt;=$NR$16,131&lt;=$NS$16),IF($NP$16="Single_Point",IF(131=$NR$16,$NN$16,0),IF($NP$16="Bell_Curve",$NN$16*(131-$NR$16+1)*($NS$16-131+1)/$NU$16,$NN$16/$NT$16)),0)</f>
        <v/>
      </c>
      <c r="EF16" s="228">
        <f>IF(AND(132&gt;=$NR$16,132&lt;=$NS$16),IF($NP$16="Single_Point",IF(132=$NR$16,$NN$16,0),IF($NP$16="Bell_Curve",$NN$16*(132-$NR$16+1)*($NS$16-132+1)/$NU$16,$NN$16/$NT$16)),0)</f>
        <v/>
      </c>
      <c r="EG16" s="228">
        <f>IF(AND(133&gt;=$NR$16,133&lt;=$NS$16),IF($NP$16="Single_Point",IF(133=$NR$16,$NN$16,0),IF($NP$16="Bell_Curve",$NN$16*(133-$NR$16+1)*($NS$16-133+1)/$NU$16,$NN$16/$NT$16)),0)</f>
        <v/>
      </c>
      <c r="EH16" s="228">
        <f>IF(AND(134&gt;=$NR$16,134&lt;=$NS$16),IF($NP$16="Single_Point",IF(134=$NR$16,$NN$16,0),IF($NP$16="Bell_Curve",$NN$16*(134-$NR$16+1)*($NS$16-134+1)/$NU$16,$NN$16/$NT$16)),0)</f>
        <v/>
      </c>
      <c r="EI16" s="228">
        <f>IF(AND(135&gt;=$NR$16,135&lt;=$NS$16),IF($NP$16="Single_Point",IF(135=$NR$16,$NN$16,0),IF($NP$16="Bell_Curve",$NN$16*(135-$NR$16+1)*($NS$16-135+1)/$NU$16,$NN$16/$NT$16)),0)</f>
        <v/>
      </c>
      <c r="EJ16" s="228">
        <f>IF(AND(136&gt;=$NR$16,136&lt;=$NS$16),IF($NP$16="Single_Point",IF(136=$NR$16,$NN$16,0),IF($NP$16="Bell_Curve",$NN$16*(136-$NR$16+1)*($NS$16-136+1)/$NU$16,$NN$16/$NT$16)),0)</f>
        <v/>
      </c>
      <c r="EK16" s="228">
        <f>IF(AND(137&gt;=$NR$16,137&lt;=$NS$16),IF($NP$16="Single_Point",IF(137=$NR$16,$NN$16,0),IF($NP$16="Bell_Curve",$NN$16*(137-$NR$16+1)*($NS$16-137+1)/$NU$16,$NN$16/$NT$16)),0)</f>
        <v/>
      </c>
      <c r="EL16" s="228">
        <f>IF(AND(138&gt;=$NR$16,138&lt;=$NS$16),IF($NP$16="Single_Point",IF(138=$NR$16,$NN$16,0),IF($NP$16="Bell_Curve",$NN$16*(138-$NR$16+1)*($NS$16-138+1)/$NU$16,$NN$16/$NT$16)),0)</f>
        <v/>
      </c>
      <c r="EM16" s="228">
        <f>IF(AND(139&gt;=$NR$16,139&lt;=$NS$16),IF($NP$16="Single_Point",IF(139=$NR$16,$NN$16,0),IF($NP$16="Bell_Curve",$NN$16*(139-$NR$16+1)*($NS$16-139+1)/$NU$16,$NN$16/$NT$16)),0)</f>
        <v/>
      </c>
      <c r="EN16" s="228">
        <f>IF(AND(140&gt;=$NR$16,140&lt;=$NS$16),IF($NP$16="Single_Point",IF(140=$NR$16,$NN$16,0),IF($NP$16="Bell_Curve",$NN$16*(140-$NR$16+1)*($NS$16-140+1)/$NU$16,$NN$16/$NT$16)),0)</f>
        <v/>
      </c>
      <c r="EO16" s="228">
        <f>IF(AND(141&gt;=$NR$16,141&lt;=$NS$16),IF($NP$16="Single_Point",IF(141=$NR$16,$NN$16,0),IF($NP$16="Bell_Curve",$NN$16*(141-$NR$16+1)*($NS$16-141+1)/$NU$16,$NN$16/$NT$16)),0)</f>
        <v/>
      </c>
      <c r="EP16" s="228">
        <f>IF(AND(142&gt;=$NR$16,142&lt;=$NS$16),IF($NP$16="Single_Point",IF(142=$NR$16,$NN$16,0),IF($NP$16="Bell_Curve",$NN$16*(142-$NR$16+1)*($NS$16-142+1)/$NU$16,$NN$16/$NT$16)),0)</f>
        <v/>
      </c>
      <c r="EQ16" s="228">
        <f>IF(AND(143&gt;=$NR$16,143&lt;=$NS$16),IF($NP$16="Single_Point",IF(143=$NR$16,$NN$16,0),IF($NP$16="Bell_Curve",$NN$16*(143-$NR$16+1)*($NS$16-143+1)/$NU$16,$NN$16/$NT$16)),0)</f>
        <v/>
      </c>
      <c r="ER16" s="228">
        <f>IF(AND(144&gt;=$NR$16,144&lt;=$NS$16),IF($NP$16="Single_Point",IF(144=$NR$16,$NN$16,0),IF($NP$16="Bell_Curve",$NN$16*(144-$NR$16+1)*($NS$16-144+1)/$NU$16,$NN$16/$NT$16)),0)</f>
        <v/>
      </c>
      <c r="ES16" s="228">
        <f>IF(AND(145&gt;=$NR$16,145&lt;=$NS$16),IF($NP$16="Single_Point",IF(145=$NR$16,$NN$16,0),IF($NP$16="Bell_Curve",$NN$16*(145-$NR$16+1)*($NS$16-145+1)/$NU$16,$NN$16/$NT$16)),0)</f>
        <v/>
      </c>
      <c r="ET16" s="228">
        <f>IF(AND(146&gt;=$NR$16,146&lt;=$NS$16),IF($NP$16="Single_Point",IF(146=$NR$16,$NN$16,0),IF($NP$16="Bell_Curve",$NN$16*(146-$NR$16+1)*($NS$16-146+1)/$NU$16,$NN$16/$NT$16)),0)</f>
        <v/>
      </c>
      <c r="EU16" s="228">
        <f>IF(AND(147&gt;=$NR$16,147&lt;=$NS$16),IF($NP$16="Single_Point",IF(147=$NR$16,$NN$16,0),IF($NP$16="Bell_Curve",$NN$16*(147-$NR$16+1)*($NS$16-147+1)/$NU$16,$NN$16/$NT$16)),0)</f>
        <v/>
      </c>
      <c r="EV16" s="228">
        <f>IF(AND(148&gt;=$NR$16,148&lt;=$NS$16),IF($NP$16="Single_Point",IF(148=$NR$16,$NN$16,0),IF($NP$16="Bell_Curve",$NN$16*(148-$NR$16+1)*($NS$16-148+1)/$NU$16,$NN$16/$NT$16)),0)</f>
        <v/>
      </c>
      <c r="EW16" s="228">
        <f>IF(AND(149&gt;=$NR$16,149&lt;=$NS$16),IF($NP$16="Single_Point",IF(149=$NR$16,$NN$16,0),IF($NP$16="Bell_Curve",$NN$16*(149-$NR$16+1)*($NS$16-149+1)/$NU$16,$NN$16/$NT$16)),0)</f>
        <v/>
      </c>
      <c r="EX16" s="228">
        <f>IF(AND(150&gt;=$NR$16,150&lt;=$NS$16),IF($NP$16="Single_Point",IF(150=$NR$16,$NN$16,0),IF($NP$16="Bell_Curve",$NN$16*(150-$NR$16+1)*($NS$16-150+1)/$NU$16,$NN$16/$NT$16)),0)</f>
        <v/>
      </c>
      <c r="EY16" s="228">
        <f>IF(AND(151&gt;=$NR$16,151&lt;=$NS$16),IF($NP$16="Single_Point",IF(151=$NR$16,$NN$16,0),IF($NP$16="Bell_Curve",$NN$16*(151-$NR$16+1)*($NS$16-151+1)/$NU$16,$NN$16/$NT$16)),0)</f>
        <v/>
      </c>
      <c r="EZ16" s="228">
        <f>IF(AND(152&gt;=$NR$16,152&lt;=$NS$16),IF($NP$16="Single_Point",IF(152=$NR$16,$NN$16,0),IF($NP$16="Bell_Curve",$NN$16*(152-$NR$16+1)*($NS$16-152+1)/$NU$16,$NN$16/$NT$16)),0)</f>
        <v/>
      </c>
      <c r="FA16" s="228">
        <f>IF(AND(153&gt;=$NR$16,153&lt;=$NS$16),IF($NP$16="Single_Point",IF(153=$NR$16,$NN$16,0),IF($NP$16="Bell_Curve",$NN$16*(153-$NR$16+1)*($NS$16-153+1)/$NU$16,$NN$16/$NT$16)),0)</f>
        <v/>
      </c>
      <c r="FB16" s="228">
        <f>IF(AND(154&gt;=$NR$16,154&lt;=$NS$16),IF($NP$16="Single_Point",IF(154=$NR$16,$NN$16,0),IF($NP$16="Bell_Curve",$NN$16*(154-$NR$16+1)*($NS$16-154+1)/$NU$16,$NN$16/$NT$16)),0)</f>
        <v/>
      </c>
      <c r="FC16" s="228">
        <f>IF(AND(155&gt;=$NR$16,155&lt;=$NS$16),IF($NP$16="Single_Point",IF(155=$NR$16,$NN$16,0),IF($NP$16="Bell_Curve",$NN$16*(155-$NR$16+1)*($NS$16-155+1)/$NU$16,$NN$16/$NT$16)),0)</f>
        <v/>
      </c>
      <c r="FD16" s="228">
        <f>IF(AND(156&gt;=$NR$16,156&lt;=$NS$16),IF($NP$16="Single_Point",IF(156=$NR$16,$NN$16,0),IF($NP$16="Bell_Curve",$NN$16*(156-$NR$16+1)*($NS$16-156+1)/$NU$16,$NN$16/$NT$16)),0)</f>
        <v/>
      </c>
      <c r="FE16" s="228">
        <f>IF(AND(157&gt;=$NR$16,157&lt;=$NS$16),IF($NP$16="Single_Point",IF(157=$NR$16,$NN$16,0),IF($NP$16="Bell_Curve",$NN$16*(157-$NR$16+1)*($NS$16-157+1)/$NU$16,$NN$16/$NT$16)),0)</f>
        <v/>
      </c>
      <c r="FF16" s="228">
        <f>IF(AND(158&gt;=$NR$16,158&lt;=$NS$16),IF($NP$16="Single_Point",IF(158=$NR$16,$NN$16,0),IF($NP$16="Bell_Curve",$NN$16*(158-$NR$16+1)*($NS$16-158+1)/$NU$16,$NN$16/$NT$16)),0)</f>
        <v/>
      </c>
      <c r="FG16" s="228">
        <f>IF(AND(159&gt;=$NR$16,159&lt;=$NS$16),IF($NP$16="Single_Point",IF(159=$NR$16,$NN$16,0),IF($NP$16="Bell_Curve",$NN$16*(159-$NR$16+1)*($NS$16-159+1)/$NU$16,$NN$16/$NT$16)),0)</f>
        <v/>
      </c>
      <c r="FH16" s="228">
        <f>IF(AND(160&gt;=$NR$16,160&lt;=$NS$16),IF($NP$16="Single_Point",IF(160=$NR$16,$NN$16,0),IF($NP$16="Bell_Curve",$NN$16*(160-$NR$16+1)*($NS$16-160+1)/$NU$16,$NN$16/$NT$16)),0)</f>
        <v/>
      </c>
      <c r="FI16" s="228">
        <f>IF(AND(161&gt;=$NR$16,161&lt;=$NS$16),IF($NP$16="Single_Point",IF(161=$NR$16,$NN$16,0),IF($NP$16="Bell_Curve",$NN$16*(161-$NR$16+1)*($NS$16-161+1)/$NU$16,$NN$16/$NT$16)),0)</f>
        <v/>
      </c>
      <c r="FJ16" s="228">
        <f>IF(AND(162&gt;=$NR$16,162&lt;=$NS$16),IF($NP$16="Single_Point",IF(162=$NR$16,$NN$16,0),IF($NP$16="Bell_Curve",$NN$16*(162-$NR$16+1)*($NS$16-162+1)/$NU$16,$NN$16/$NT$16)),0)</f>
        <v/>
      </c>
      <c r="FK16" s="228">
        <f>IF(AND(163&gt;=$NR$16,163&lt;=$NS$16),IF($NP$16="Single_Point",IF(163=$NR$16,$NN$16,0),IF($NP$16="Bell_Curve",$NN$16*(163-$NR$16+1)*($NS$16-163+1)/$NU$16,$NN$16/$NT$16)),0)</f>
        <v/>
      </c>
      <c r="FL16" s="228">
        <f>IF(AND(164&gt;=$NR$16,164&lt;=$NS$16),IF($NP$16="Single_Point",IF(164=$NR$16,$NN$16,0),IF($NP$16="Bell_Curve",$NN$16*(164-$NR$16+1)*($NS$16-164+1)/$NU$16,$NN$16/$NT$16)),0)</f>
        <v/>
      </c>
      <c r="FM16" s="228">
        <f>IF(AND(165&gt;=$NR$16,165&lt;=$NS$16),IF($NP$16="Single_Point",IF(165=$NR$16,$NN$16,0),IF($NP$16="Bell_Curve",$NN$16*(165-$NR$16+1)*($NS$16-165+1)/$NU$16,$NN$16/$NT$16)),0)</f>
        <v/>
      </c>
      <c r="FN16" s="228">
        <f>IF(AND(166&gt;=$NR$16,166&lt;=$NS$16),IF($NP$16="Single_Point",IF(166=$NR$16,$NN$16,0),IF($NP$16="Bell_Curve",$NN$16*(166-$NR$16+1)*($NS$16-166+1)/$NU$16,$NN$16/$NT$16)),0)</f>
        <v/>
      </c>
      <c r="FO16" s="228">
        <f>IF(AND(167&gt;=$NR$16,167&lt;=$NS$16),IF($NP$16="Single_Point",IF(167=$NR$16,$NN$16,0),IF($NP$16="Bell_Curve",$NN$16*(167-$NR$16+1)*($NS$16-167+1)/$NU$16,$NN$16/$NT$16)),0)</f>
        <v/>
      </c>
      <c r="FP16" s="228">
        <f>IF(AND(168&gt;=$NR$16,168&lt;=$NS$16),IF($NP$16="Single_Point",IF(168=$NR$16,$NN$16,0),IF($NP$16="Bell_Curve",$NN$16*(168-$NR$16+1)*($NS$16-168+1)/$NU$16,$NN$16/$NT$16)),0)</f>
        <v/>
      </c>
      <c r="FQ16" s="228">
        <f>IF(AND(169&gt;=$NR$16,169&lt;=$NS$16),IF($NP$16="Single_Point",IF(169=$NR$16,$NN$16,0),IF($NP$16="Bell_Curve",$NN$16*(169-$NR$16+1)*($NS$16-169+1)/$NU$16,$NN$16/$NT$16)),0)</f>
        <v/>
      </c>
      <c r="FR16" s="228">
        <f>IF(AND(170&gt;=$NR$16,170&lt;=$NS$16),IF($NP$16="Single_Point",IF(170=$NR$16,$NN$16,0),IF($NP$16="Bell_Curve",$NN$16*(170-$NR$16+1)*($NS$16-170+1)/$NU$16,$NN$16/$NT$16)),0)</f>
        <v/>
      </c>
      <c r="FS16" s="228">
        <f>IF(AND(171&gt;=$NR$16,171&lt;=$NS$16),IF($NP$16="Single_Point",IF(171=$NR$16,$NN$16,0),IF($NP$16="Bell_Curve",$NN$16*(171-$NR$16+1)*($NS$16-171+1)/$NU$16,$NN$16/$NT$16)),0)</f>
        <v/>
      </c>
      <c r="FT16" s="228">
        <f>IF(AND(172&gt;=$NR$16,172&lt;=$NS$16),IF($NP$16="Single_Point",IF(172=$NR$16,$NN$16,0),IF($NP$16="Bell_Curve",$NN$16*(172-$NR$16+1)*($NS$16-172+1)/$NU$16,$NN$16/$NT$16)),0)</f>
        <v/>
      </c>
      <c r="FU16" s="228">
        <f>IF(AND(173&gt;=$NR$16,173&lt;=$NS$16),IF($NP$16="Single_Point",IF(173=$NR$16,$NN$16,0),IF($NP$16="Bell_Curve",$NN$16*(173-$NR$16+1)*($NS$16-173+1)/$NU$16,$NN$16/$NT$16)),0)</f>
        <v/>
      </c>
      <c r="FV16" s="228">
        <f>IF(AND(174&gt;=$NR$16,174&lt;=$NS$16),IF($NP$16="Single_Point",IF(174=$NR$16,$NN$16,0),IF($NP$16="Bell_Curve",$NN$16*(174-$NR$16+1)*($NS$16-174+1)/$NU$16,$NN$16/$NT$16)),0)</f>
        <v/>
      </c>
      <c r="FW16" s="228">
        <f>IF(AND(175&gt;=$NR$16,175&lt;=$NS$16),IF($NP$16="Single_Point",IF(175=$NR$16,$NN$16,0),IF($NP$16="Bell_Curve",$NN$16*(175-$NR$16+1)*($NS$16-175+1)/$NU$16,$NN$16/$NT$16)),0)</f>
        <v/>
      </c>
      <c r="FX16" s="228">
        <f>IF(AND(176&gt;=$NR$16,176&lt;=$NS$16),IF($NP$16="Single_Point",IF(176=$NR$16,$NN$16,0),IF($NP$16="Bell_Curve",$NN$16*(176-$NR$16+1)*($NS$16-176+1)/$NU$16,$NN$16/$NT$16)),0)</f>
        <v/>
      </c>
      <c r="FY16" s="228">
        <f>IF(AND(177&gt;=$NR$16,177&lt;=$NS$16),IF($NP$16="Single_Point",IF(177=$NR$16,$NN$16,0),IF($NP$16="Bell_Curve",$NN$16*(177-$NR$16+1)*($NS$16-177+1)/$NU$16,$NN$16/$NT$16)),0)</f>
        <v/>
      </c>
      <c r="FZ16" s="228">
        <f>IF(AND(178&gt;=$NR$16,178&lt;=$NS$16),IF($NP$16="Single_Point",IF(178=$NR$16,$NN$16,0),IF($NP$16="Bell_Curve",$NN$16*(178-$NR$16+1)*($NS$16-178+1)/$NU$16,$NN$16/$NT$16)),0)</f>
        <v/>
      </c>
      <c r="GA16" s="228">
        <f>IF(AND(179&gt;=$NR$16,179&lt;=$NS$16),IF($NP$16="Single_Point",IF(179=$NR$16,$NN$16,0),IF($NP$16="Bell_Curve",$NN$16*(179-$NR$16+1)*($NS$16-179+1)/$NU$16,$NN$16/$NT$16)),0)</f>
        <v/>
      </c>
      <c r="GB16" s="228">
        <f>IF(AND(180&gt;=$NR$16,180&lt;=$NS$16),IF($NP$16="Single_Point",IF(180=$NR$16,$NN$16,0),IF($NP$16="Bell_Curve",$NN$16*(180-$NR$16+1)*($NS$16-180+1)/$NU$16,$NN$16/$NT$16)),0)</f>
        <v/>
      </c>
      <c r="GC16" s="228">
        <f>IF(AND(181&gt;=$NR$16,181&lt;=$NS$16),IF($NP$16="Single_Point",IF(181=$NR$16,$NN$16,0),IF($NP$16="Bell_Curve",$NN$16*(181-$NR$16+1)*($NS$16-181+1)/$NU$16,$NN$16/$NT$16)),0)</f>
        <v/>
      </c>
      <c r="GD16" s="228">
        <f>IF(AND(182&gt;=$NR$16,182&lt;=$NS$16),IF($NP$16="Single_Point",IF(182=$NR$16,$NN$16,0),IF($NP$16="Bell_Curve",$NN$16*(182-$NR$16+1)*($NS$16-182+1)/$NU$16,$NN$16/$NT$16)),0)</f>
        <v/>
      </c>
      <c r="GE16" s="228">
        <f>IF(AND(183&gt;=$NR$16,183&lt;=$NS$16),IF($NP$16="Single_Point",IF(183=$NR$16,$NN$16,0),IF($NP$16="Bell_Curve",$NN$16*(183-$NR$16+1)*($NS$16-183+1)/$NU$16,$NN$16/$NT$16)),0)</f>
        <v/>
      </c>
      <c r="GF16" s="228">
        <f>IF(AND(184&gt;=$NR$16,184&lt;=$NS$16),IF($NP$16="Single_Point",IF(184=$NR$16,$NN$16,0),IF($NP$16="Bell_Curve",$NN$16*(184-$NR$16+1)*($NS$16-184+1)/$NU$16,$NN$16/$NT$16)),0)</f>
        <v/>
      </c>
      <c r="GG16" s="228">
        <f>IF(AND(185&gt;=$NR$16,185&lt;=$NS$16),IF($NP$16="Single_Point",IF(185=$NR$16,$NN$16,0),IF($NP$16="Bell_Curve",$NN$16*(185-$NR$16+1)*($NS$16-185+1)/$NU$16,$NN$16/$NT$16)),0)</f>
        <v/>
      </c>
      <c r="GH16" s="228">
        <f>IF(AND(186&gt;=$NR$16,186&lt;=$NS$16),IF($NP$16="Single_Point",IF(186=$NR$16,$NN$16,0),IF($NP$16="Bell_Curve",$NN$16*(186-$NR$16+1)*($NS$16-186+1)/$NU$16,$NN$16/$NT$16)),0)</f>
        <v/>
      </c>
      <c r="GI16" s="228">
        <f>IF(AND(187&gt;=$NR$16,187&lt;=$NS$16),IF($NP$16="Single_Point",IF(187=$NR$16,$NN$16,0),IF($NP$16="Bell_Curve",$NN$16*(187-$NR$16+1)*($NS$16-187+1)/$NU$16,$NN$16/$NT$16)),0)</f>
        <v/>
      </c>
      <c r="GJ16" s="228">
        <f>IF(AND(188&gt;=$NR$16,188&lt;=$NS$16),IF($NP$16="Single_Point",IF(188=$NR$16,$NN$16,0),IF($NP$16="Bell_Curve",$NN$16*(188-$NR$16+1)*($NS$16-188+1)/$NU$16,$NN$16/$NT$16)),0)</f>
        <v/>
      </c>
      <c r="GK16" s="228">
        <f>IF(AND(189&gt;=$NR$16,189&lt;=$NS$16),IF($NP$16="Single_Point",IF(189=$NR$16,$NN$16,0),IF($NP$16="Bell_Curve",$NN$16*(189-$NR$16+1)*($NS$16-189+1)/$NU$16,$NN$16/$NT$16)),0)</f>
        <v/>
      </c>
      <c r="GL16" s="228">
        <f>IF(AND(190&gt;=$NR$16,190&lt;=$NS$16),IF($NP$16="Single_Point",IF(190=$NR$16,$NN$16,0),IF($NP$16="Bell_Curve",$NN$16*(190-$NR$16+1)*($NS$16-190+1)/$NU$16,$NN$16/$NT$16)),0)</f>
        <v/>
      </c>
      <c r="GM16" s="228">
        <f>IF(AND(191&gt;=$NR$16,191&lt;=$NS$16),IF($NP$16="Single_Point",IF(191=$NR$16,$NN$16,0),IF($NP$16="Bell_Curve",$NN$16*(191-$NR$16+1)*($NS$16-191+1)/$NU$16,$NN$16/$NT$16)),0)</f>
        <v/>
      </c>
      <c r="GN16" s="228">
        <f>IF(AND(192&gt;=$NR$16,192&lt;=$NS$16),IF($NP$16="Single_Point",IF(192=$NR$16,$NN$16,0),IF($NP$16="Bell_Curve",$NN$16*(192-$NR$16+1)*($NS$16-192+1)/$NU$16,$NN$16/$NT$16)),0)</f>
        <v/>
      </c>
      <c r="GO16" s="228">
        <f>IF(AND(193&gt;=$NR$16,193&lt;=$NS$16),IF($NP$16="Single_Point",IF(193=$NR$16,$NN$16,0),IF($NP$16="Bell_Curve",$NN$16*(193-$NR$16+1)*($NS$16-193+1)/$NU$16,$NN$16/$NT$16)),0)</f>
        <v/>
      </c>
      <c r="GP16" s="228">
        <f>IF(AND(194&gt;=$NR$16,194&lt;=$NS$16),IF($NP$16="Single_Point",IF(194=$NR$16,$NN$16,0),IF($NP$16="Bell_Curve",$NN$16*(194-$NR$16+1)*($NS$16-194+1)/$NU$16,$NN$16/$NT$16)),0)</f>
        <v/>
      </c>
      <c r="GQ16" s="228">
        <f>IF(AND(195&gt;=$NR$16,195&lt;=$NS$16),IF($NP$16="Single_Point",IF(195=$NR$16,$NN$16,0),IF($NP$16="Bell_Curve",$NN$16*(195-$NR$16+1)*($NS$16-195+1)/$NU$16,$NN$16/$NT$16)),0)</f>
        <v/>
      </c>
      <c r="GR16" s="228">
        <f>IF(AND(196&gt;=$NR$16,196&lt;=$NS$16),IF($NP$16="Single_Point",IF(196=$NR$16,$NN$16,0),IF($NP$16="Bell_Curve",$NN$16*(196-$NR$16+1)*($NS$16-196+1)/$NU$16,$NN$16/$NT$16)),0)</f>
        <v/>
      </c>
      <c r="GS16" s="228">
        <f>IF(AND(197&gt;=$NR$16,197&lt;=$NS$16),IF($NP$16="Single_Point",IF(197=$NR$16,$NN$16,0),IF($NP$16="Bell_Curve",$NN$16*(197-$NR$16+1)*($NS$16-197+1)/$NU$16,$NN$16/$NT$16)),0)</f>
        <v/>
      </c>
      <c r="GT16" s="228">
        <f>IF(AND(198&gt;=$NR$16,198&lt;=$NS$16),IF($NP$16="Single_Point",IF(198=$NR$16,$NN$16,0),IF($NP$16="Bell_Curve",$NN$16*(198-$NR$16+1)*($NS$16-198+1)/$NU$16,$NN$16/$NT$16)),0)</f>
        <v/>
      </c>
      <c r="GU16" s="228">
        <f>IF(AND(199&gt;=$NR$16,199&lt;=$NS$16),IF($NP$16="Single_Point",IF(199=$NR$16,$NN$16,0),IF($NP$16="Bell_Curve",$NN$16*(199-$NR$16+1)*($NS$16-199+1)/$NU$16,$NN$16/$NT$16)),0)</f>
        <v/>
      </c>
      <c r="GV16" s="228">
        <f>IF(AND(200&gt;=$NR$16,200&lt;=$NS$16),IF($NP$16="Single_Point",IF(200=$NR$16,$NN$16,0),IF($NP$16="Bell_Curve",$NN$16*(200-$NR$16+1)*($NS$16-200+1)/$NU$16,$NN$16/$NT$16)),0)</f>
        <v/>
      </c>
      <c r="GW16" s="228">
        <f>IF(AND(201&gt;=$NR$16,201&lt;=$NS$16),IF($NP$16="Single_Point",IF(201=$NR$16,$NN$16,0),IF($NP$16="Bell_Curve",$NN$16*(201-$NR$16+1)*($NS$16-201+1)/$NU$16,$NN$16/$NT$16)),0)</f>
        <v/>
      </c>
      <c r="GX16" s="228">
        <f>IF(AND(202&gt;=$NR$16,202&lt;=$NS$16),IF($NP$16="Single_Point",IF(202=$NR$16,$NN$16,0),IF($NP$16="Bell_Curve",$NN$16*(202-$NR$16+1)*($NS$16-202+1)/$NU$16,$NN$16/$NT$16)),0)</f>
        <v/>
      </c>
      <c r="GY16" s="228">
        <f>IF(AND(203&gt;=$NR$16,203&lt;=$NS$16),IF($NP$16="Single_Point",IF(203=$NR$16,$NN$16,0),IF($NP$16="Bell_Curve",$NN$16*(203-$NR$16+1)*($NS$16-203+1)/$NU$16,$NN$16/$NT$16)),0)</f>
        <v/>
      </c>
      <c r="GZ16" s="228">
        <f>IF(AND(204&gt;=$NR$16,204&lt;=$NS$16),IF($NP$16="Single_Point",IF(204=$NR$16,$NN$16,0),IF($NP$16="Bell_Curve",$NN$16*(204-$NR$16+1)*($NS$16-204+1)/$NU$16,$NN$16/$NT$16)),0)</f>
        <v/>
      </c>
      <c r="HA16" s="228">
        <f>IF(AND(205&gt;=$NR$16,205&lt;=$NS$16),IF($NP$16="Single_Point",IF(205=$NR$16,$NN$16,0),IF($NP$16="Bell_Curve",$NN$16*(205-$NR$16+1)*($NS$16-205+1)/$NU$16,$NN$16/$NT$16)),0)</f>
        <v/>
      </c>
      <c r="HB16" s="228">
        <f>IF(AND(206&gt;=$NR$16,206&lt;=$NS$16),IF($NP$16="Single_Point",IF(206=$NR$16,$NN$16,0),IF($NP$16="Bell_Curve",$NN$16*(206-$NR$16+1)*($NS$16-206+1)/$NU$16,$NN$16/$NT$16)),0)</f>
        <v/>
      </c>
      <c r="HC16" s="228">
        <f>IF(AND(207&gt;=$NR$16,207&lt;=$NS$16),IF($NP$16="Single_Point",IF(207=$NR$16,$NN$16,0),IF($NP$16="Bell_Curve",$NN$16*(207-$NR$16+1)*($NS$16-207+1)/$NU$16,$NN$16/$NT$16)),0)</f>
        <v/>
      </c>
      <c r="HD16" s="228">
        <f>IF(AND(208&gt;=$NR$16,208&lt;=$NS$16),IF($NP$16="Single_Point",IF(208=$NR$16,$NN$16,0),IF($NP$16="Bell_Curve",$NN$16*(208-$NR$16+1)*($NS$16-208+1)/$NU$16,$NN$16/$NT$16)),0)</f>
        <v/>
      </c>
      <c r="HE16" s="228">
        <f>IF(AND(209&gt;=$NR$16,209&lt;=$NS$16),IF($NP$16="Single_Point",IF(209=$NR$16,$NN$16,0),IF($NP$16="Bell_Curve",$NN$16*(209-$NR$16+1)*($NS$16-209+1)/$NU$16,$NN$16/$NT$16)),0)</f>
        <v/>
      </c>
      <c r="HF16" s="228">
        <f>IF(AND(210&gt;=$NR$16,210&lt;=$NS$16),IF($NP$16="Single_Point",IF(210=$NR$16,$NN$16,0),IF($NP$16="Bell_Curve",$NN$16*(210-$NR$16+1)*($NS$16-210+1)/$NU$16,$NN$16/$NT$16)),0)</f>
        <v/>
      </c>
      <c r="HG16" s="228">
        <f>IF(AND(211&gt;=$NR$16,211&lt;=$NS$16),IF($NP$16="Single_Point",IF(211=$NR$16,$NN$16,0),IF($NP$16="Bell_Curve",$NN$16*(211-$NR$16+1)*($NS$16-211+1)/$NU$16,$NN$16/$NT$16)),0)</f>
        <v/>
      </c>
      <c r="HH16" s="228">
        <f>IF(AND(212&gt;=$NR$16,212&lt;=$NS$16),IF($NP$16="Single_Point",IF(212=$NR$16,$NN$16,0),IF($NP$16="Bell_Curve",$NN$16*(212-$NR$16+1)*($NS$16-212+1)/$NU$16,$NN$16/$NT$16)),0)</f>
        <v/>
      </c>
      <c r="HI16" s="228">
        <f>IF(AND(213&gt;=$NR$16,213&lt;=$NS$16),IF($NP$16="Single_Point",IF(213=$NR$16,$NN$16,0),IF($NP$16="Bell_Curve",$NN$16*(213-$NR$16+1)*($NS$16-213+1)/$NU$16,$NN$16/$NT$16)),0)</f>
        <v/>
      </c>
      <c r="HJ16" s="228">
        <f>IF(AND(214&gt;=$NR$16,214&lt;=$NS$16),IF($NP$16="Single_Point",IF(214=$NR$16,$NN$16,0),IF($NP$16="Bell_Curve",$NN$16*(214-$NR$16+1)*($NS$16-214+1)/$NU$16,$NN$16/$NT$16)),0)</f>
        <v/>
      </c>
      <c r="HK16" s="228">
        <f>IF(AND(215&gt;=$NR$16,215&lt;=$NS$16),IF($NP$16="Single_Point",IF(215=$NR$16,$NN$16,0),IF($NP$16="Bell_Curve",$NN$16*(215-$NR$16+1)*($NS$16-215+1)/$NU$16,$NN$16/$NT$16)),0)</f>
        <v/>
      </c>
      <c r="HL16" s="228">
        <f>IF(AND(216&gt;=$NR$16,216&lt;=$NS$16),IF($NP$16="Single_Point",IF(216=$NR$16,$NN$16,0),IF($NP$16="Bell_Curve",$NN$16*(216-$NR$16+1)*($NS$16-216+1)/$NU$16,$NN$16/$NT$16)),0)</f>
        <v/>
      </c>
      <c r="HM16" s="228">
        <f>IF(AND(217&gt;=$NR$16,217&lt;=$NS$16),IF($NP$16="Single_Point",IF(217=$NR$16,$NN$16,0),IF($NP$16="Bell_Curve",$NN$16*(217-$NR$16+1)*($NS$16-217+1)/$NU$16,$NN$16/$NT$16)),0)</f>
        <v/>
      </c>
      <c r="HN16" s="228">
        <f>IF(AND(218&gt;=$NR$16,218&lt;=$NS$16),IF($NP$16="Single_Point",IF(218=$NR$16,$NN$16,0),IF($NP$16="Bell_Curve",$NN$16*(218-$NR$16+1)*($NS$16-218+1)/$NU$16,$NN$16/$NT$16)),0)</f>
        <v/>
      </c>
      <c r="HO16" s="228">
        <f>IF(AND(219&gt;=$NR$16,219&lt;=$NS$16),IF($NP$16="Single_Point",IF(219=$NR$16,$NN$16,0),IF($NP$16="Bell_Curve",$NN$16*(219-$NR$16+1)*($NS$16-219+1)/$NU$16,$NN$16/$NT$16)),0)</f>
        <v/>
      </c>
      <c r="HP16" s="228">
        <f>IF(AND(220&gt;=$NR$16,220&lt;=$NS$16),IF($NP$16="Single_Point",IF(220=$NR$16,$NN$16,0),IF($NP$16="Bell_Curve",$NN$16*(220-$NR$16+1)*($NS$16-220+1)/$NU$16,$NN$16/$NT$16)),0)</f>
        <v/>
      </c>
      <c r="HQ16" s="228">
        <f>IF(AND(221&gt;=$NR$16,221&lt;=$NS$16),IF($NP$16="Single_Point",IF(221=$NR$16,$NN$16,0),IF($NP$16="Bell_Curve",$NN$16*(221-$NR$16+1)*($NS$16-221+1)/$NU$16,$NN$16/$NT$16)),0)</f>
        <v/>
      </c>
      <c r="HR16" s="228">
        <f>IF(AND(222&gt;=$NR$16,222&lt;=$NS$16),IF($NP$16="Single_Point",IF(222=$NR$16,$NN$16,0),IF($NP$16="Bell_Curve",$NN$16*(222-$NR$16+1)*($NS$16-222+1)/$NU$16,$NN$16/$NT$16)),0)</f>
        <v/>
      </c>
      <c r="HS16" s="228">
        <f>IF(AND(223&gt;=$NR$16,223&lt;=$NS$16),IF($NP$16="Single_Point",IF(223=$NR$16,$NN$16,0),IF($NP$16="Bell_Curve",$NN$16*(223-$NR$16+1)*($NS$16-223+1)/$NU$16,$NN$16/$NT$16)),0)</f>
        <v/>
      </c>
      <c r="HT16" s="228">
        <f>IF(AND(224&gt;=$NR$16,224&lt;=$NS$16),IF($NP$16="Single_Point",IF(224=$NR$16,$NN$16,0),IF($NP$16="Bell_Curve",$NN$16*(224-$NR$16+1)*($NS$16-224+1)/$NU$16,$NN$16/$NT$16)),0)</f>
        <v/>
      </c>
      <c r="HU16" s="228">
        <f>IF(AND(225&gt;=$NR$16,225&lt;=$NS$16),IF($NP$16="Single_Point",IF(225=$NR$16,$NN$16,0),IF($NP$16="Bell_Curve",$NN$16*(225-$NR$16+1)*($NS$16-225+1)/$NU$16,$NN$16/$NT$16)),0)</f>
        <v/>
      </c>
      <c r="HV16" s="228">
        <f>IF(AND(226&gt;=$NR$16,226&lt;=$NS$16),IF($NP$16="Single_Point",IF(226=$NR$16,$NN$16,0),IF($NP$16="Bell_Curve",$NN$16*(226-$NR$16+1)*($NS$16-226+1)/$NU$16,$NN$16/$NT$16)),0)</f>
        <v/>
      </c>
      <c r="HW16" s="228">
        <f>IF(AND(227&gt;=$NR$16,227&lt;=$NS$16),IF($NP$16="Single_Point",IF(227=$NR$16,$NN$16,0),IF($NP$16="Bell_Curve",$NN$16*(227-$NR$16+1)*($NS$16-227+1)/$NU$16,$NN$16/$NT$16)),0)</f>
        <v/>
      </c>
      <c r="HX16" s="228">
        <f>IF(AND(228&gt;=$NR$16,228&lt;=$NS$16),IF($NP$16="Single_Point",IF(228=$NR$16,$NN$16,0),IF($NP$16="Bell_Curve",$NN$16*(228-$NR$16+1)*($NS$16-228+1)/$NU$16,$NN$16/$NT$16)),0)</f>
        <v/>
      </c>
      <c r="HY16" s="228">
        <f>IF(AND(229&gt;=$NR$16,229&lt;=$NS$16),IF($NP$16="Single_Point",IF(229=$NR$16,$NN$16,0),IF($NP$16="Bell_Curve",$NN$16*(229-$NR$16+1)*($NS$16-229+1)/$NU$16,$NN$16/$NT$16)),0)</f>
        <v/>
      </c>
      <c r="HZ16" s="228">
        <f>IF(AND(230&gt;=$NR$16,230&lt;=$NS$16),IF($NP$16="Single_Point",IF(230=$NR$16,$NN$16,0),IF($NP$16="Bell_Curve",$NN$16*(230-$NR$16+1)*($NS$16-230+1)/$NU$16,$NN$16/$NT$16)),0)</f>
        <v/>
      </c>
      <c r="IA16" s="228">
        <f>IF(AND(231&gt;=$NR$16,231&lt;=$NS$16),IF($NP$16="Single_Point",IF(231=$NR$16,$NN$16,0),IF($NP$16="Bell_Curve",$NN$16*(231-$NR$16+1)*($NS$16-231+1)/$NU$16,$NN$16/$NT$16)),0)</f>
        <v/>
      </c>
      <c r="IB16" s="228">
        <f>IF(AND(232&gt;=$NR$16,232&lt;=$NS$16),IF($NP$16="Single_Point",IF(232=$NR$16,$NN$16,0),IF($NP$16="Bell_Curve",$NN$16*(232-$NR$16+1)*($NS$16-232+1)/$NU$16,$NN$16/$NT$16)),0)</f>
        <v/>
      </c>
      <c r="IC16" s="228">
        <f>IF(AND(233&gt;=$NR$16,233&lt;=$NS$16),IF($NP$16="Single_Point",IF(233=$NR$16,$NN$16,0),IF($NP$16="Bell_Curve",$NN$16*(233-$NR$16+1)*($NS$16-233+1)/$NU$16,$NN$16/$NT$16)),0)</f>
        <v/>
      </c>
      <c r="ID16" s="228">
        <f>IF(AND(234&gt;=$NR$16,234&lt;=$NS$16),IF($NP$16="Single_Point",IF(234=$NR$16,$NN$16,0),IF($NP$16="Bell_Curve",$NN$16*(234-$NR$16+1)*($NS$16-234+1)/$NU$16,$NN$16/$NT$16)),0)</f>
        <v/>
      </c>
      <c r="IE16" s="228">
        <f>IF(AND(235&gt;=$NR$16,235&lt;=$NS$16),IF($NP$16="Single_Point",IF(235=$NR$16,$NN$16,0),IF($NP$16="Bell_Curve",$NN$16*(235-$NR$16+1)*($NS$16-235+1)/$NU$16,$NN$16/$NT$16)),0)</f>
        <v/>
      </c>
      <c r="IF16" s="228">
        <f>IF(AND(236&gt;=$NR$16,236&lt;=$NS$16),IF($NP$16="Single_Point",IF(236=$NR$16,$NN$16,0),IF($NP$16="Bell_Curve",$NN$16*(236-$NR$16+1)*($NS$16-236+1)/$NU$16,$NN$16/$NT$16)),0)</f>
        <v/>
      </c>
      <c r="IG16" s="228">
        <f>IF(AND(237&gt;=$NR$16,237&lt;=$NS$16),IF($NP$16="Single_Point",IF(237=$NR$16,$NN$16,0),IF($NP$16="Bell_Curve",$NN$16*(237-$NR$16+1)*($NS$16-237+1)/$NU$16,$NN$16/$NT$16)),0)</f>
        <v/>
      </c>
      <c r="IH16" s="228">
        <f>IF(AND(238&gt;=$NR$16,238&lt;=$NS$16),IF($NP$16="Single_Point",IF(238=$NR$16,$NN$16,0),IF($NP$16="Bell_Curve",$NN$16*(238-$NR$16+1)*($NS$16-238+1)/$NU$16,$NN$16/$NT$16)),0)</f>
        <v/>
      </c>
      <c r="II16" s="228">
        <f>IF(AND(239&gt;=$NR$16,239&lt;=$NS$16),IF($NP$16="Single_Point",IF(239=$NR$16,$NN$16,0),IF($NP$16="Bell_Curve",$NN$16*(239-$NR$16+1)*($NS$16-239+1)/$NU$16,$NN$16/$NT$16)),0)</f>
        <v/>
      </c>
      <c r="IJ16" s="228">
        <f>IF(AND(240&gt;=$NR$16,240&lt;=$NS$16),IF($NP$16="Single_Point",IF(240=$NR$16,$NN$16,0),IF($NP$16="Bell_Curve",$NN$16*(240-$NR$16+1)*($NS$16-240+1)/$NU$16,$NN$16/$NT$16)),0)</f>
        <v/>
      </c>
      <c r="IK16" s="228">
        <f>IF(AND(241&gt;=$NR$16,241&lt;=$NS$16),IF($NP$16="Single_Point",IF(241=$NR$16,$NN$16,0),IF($NP$16="Bell_Curve",$NN$16*(241-$NR$16+1)*($NS$16-241+1)/$NU$16,$NN$16/$NT$16)),0)</f>
        <v/>
      </c>
      <c r="IL16" s="228">
        <f>IF(AND(242&gt;=$NR$16,242&lt;=$NS$16),IF($NP$16="Single_Point",IF(242=$NR$16,$NN$16,0),IF($NP$16="Bell_Curve",$NN$16*(242-$NR$16+1)*($NS$16-242+1)/$NU$16,$NN$16/$NT$16)),0)</f>
        <v/>
      </c>
      <c r="IM16" s="228">
        <f>IF(AND(243&gt;=$NR$16,243&lt;=$NS$16),IF($NP$16="Single_Point",IF(243=$NR$16,$NN$16,0),IF($NP$16="Bell_Curve",$NN$16*(243-$NR$16+1)*($NS$16-243+1)/$NU$16,$NN$16/$NT$16)),0)</f>
        <v/>
      </c>
      <c r="IN16" s="228">
        <f>IF(AND(244&gt;=$NR$16,244&lt;=$NS$16),IF($NP$16="Single_Point",IF(244=$NR$16,$NN$16,0),IF($NP$16="Bell_Curve",$NN$16*(244-$NR$16+1)*($NS$16-244+1)/$NU$16,$NN$16/$NT$16)),0)</f>
        <v/>
      </c>
      <c r="IO16" s="228">
        <f>IF(AND(245&gt;=$NR$16,245&lt;=$NS$16),IF($NP$16="Single_Point",IF(245=$NR$16,$NN$16,0),IF($NP$16="Bell_Curve",$NN$16*(245-$NR$16+1)*($NS$16-245+1)/$NU$16,$NN$16/$NT$16)),0)</f>
        <v/>
      </c>
      <c r="IP16" s="228">
        <f>IF(AND(246&gt;=$NR$16,246&lt;=$NS$16),IF($NP$16="Single_Point",IF(246=$NR$16,$NN$16,0),IF($NP$16="Bell_Curve",$NN$16*(246-$NR$16+1)*($NS$16-246+1)/$NU$16,$NN$16/$NT$16)),0)</f>
        <v/>
      </c>
      <c r="IQ16" s="228">
        <f>IF(AND(247&gt;=$NR$16,247&lt;=$NS$16),IF($NP$16="Single_Point",IF(247=$NR$16,$NN$16,0),IF($NP$16="Bell_Curve",$NN$16*(247-$NR$16+1)*($NS$16-247+1)/$NU$16,$NN$16/$NT$16)),0)</f>
        <v/>
      </c>
      <c r="IR16" s="228">
        <f>IF(AND(248&gt;=$NR$16,248&lt;=$NS$16),IF($NP$16="Single_Point",IF(248=$NR$16,$NN$16,0),IF($NP$16="Bell_Curve",$NN$16*(248-$NR$16+1)*($NS$16-248+1)/$NU$16,$NN$16/$NT$16)),0)</f>
        <v/>
      </c>
      <c r="IS16" s="228">
        <f>IF(AND(249&gt;=$NR$16,249&lt;=$NS$16),IF($NP$16="Single_Point",IF(249=$NR$16,$NN$16,0),IF($NP$16="Bell_Curve",$NN$16*(249-$NR$16+1)*($NS$16-249+1)/$NU$16,$NN$16/$NT$16)),0)</f>
        <v/>
      </c>
      <c r="IT16" s="228">
        <f>IF(AND(250&gt;=$NR$16,250&lt;=$NS$16),IF($NP$16="Single_Point",IF(250=$NR$16,$NN$16,0),IF($NP$16="Bell_Curve",$NN$16*(250-$NR$16+1)*($NS$16-250+1)/$NU$16,$NN$16/$NT$16)),0)</f>
        <v/>
      </c>
      <c r="IU16" s="228">
        <f>IF(AND(251&gt;=$NR$16,251&lt;=$NS$16),IF($NP$16="Single_Point",IF(251=$NR$16,$NN$16,0),IF($NP$16="Bell_Curve",$NN$16*(251-$NR$16+1)*($NS$16-251+1)/$NU$16,$NN$16/$NT$16)),0)</f>
        <v/>
      </c>
      <c r="IV16" s="228">
        <f>IF(AND(252&gt;=$NR$16,252&lt;=$NS$16),IF($NP$16="Single_Point",IF(252=$NR$16,$NN$16,0),IF($NP$16="Bell_Curve",$NN$16*(252-$NR$16+1)*($NS$16-252+1)/$NU$16,$NN$16/$NT$16)),0)</f>
        <v/>
      </c>
      <c r="IW16" s="228">
        <f>IF(AND(253&gt;=$NR$16,253&lt;=$NS$16),IF($NP$16="Single_Point",IF(253=$NR$16,$NN$16,0),IF($NP$16="Bell_Curve",$NN$16*(253-$NR$16+1)*($NS$16-253+1)/$NU$16,$NN$16/$NT$16)),0)</f>
        <v/>
      </c>
      <c r="IX16" s="228">
        <f>IF(AND(254&gt;=$NR$16,254&lt;=$NS$16),IF($NP$16="Single_Point",IF(254=$NR$16,$NN$16,0),IF($NP$16="Bell_Curve",$NN$16*(254-$NR$16+1)*($NS$16-254+1)/$NU$16,$NN$16/$NT$16)),0)</f>
        <v/>
      </c>
      <c r="IY16" s="228">
        <f>IF(AND(255&gt;=$NR$16,255&lt;=$NS$16),IF($NP$16="Single_Point",IF(255=$NR$16,$NN$16,0),IF($NP$16="Bell_Curve",$NN$16*(255-$NR$16+1)*($NS$16-255+1)/$NU$16,$NN$16/$NT$16)),0)</f>
        <v/>
      </c>
      <c r="IZ16" s="228">
        <f>IF(AND(256&gt;=$NR$16,256&lt;=$NS$16),IF($NP$16="Single_Point",IF(256=$NR$16,$NN$16,0),IF($NP$16="Bell_Curve",$NN$16*(256-$NR$16+1)*($NS$16-256+1)/$NU$16,$NN$16/$NT$16)),0)</f>
        <v/>
      </c>
      <c r="JA16" s="228">
        <f>IF(AND(257&gt;=$NR$16,257&lt;=$NS$16),IF($NP$16="Single_Point",IF(257=$NR$16,$NN$16,0),IF($NP$16="Bell_Curve",$NN$16*(257-$NR$16+1)*($NS$16-257+1)/$NU$16,$NN$16/$NT$16)),0)</f>
        <v/>
      </c>
      <c r="JB16" s="228">
        <f>IF(AND(258&gt;=$NR$16,258&lt;=$NS$16),IF($NP$16="Single_Point",IF(258=$NR$16,$NN$16,0),IF($NP$16="Bell_Curve",$NN$16*(258-$NR$16+1)*($NS$16-258+1)/$NU$16,$NN$16/$NT$16)),0)</f>
        <v/>
      </c>
      <c r="JC16" s="228">
        <f>IF(AND(259&gt;=$NR$16,259&lt;=$NS$16),IF($NP$16="Single_Point",IF(259=$NR$16,$NN$16,0),IF($NP$16="Bell_Curve",$NN$16*(259-$NR$16+1)*($NS$16-259+1)/$NU$16,$NN$16/$NT$16)),0)</f>
        <v/>
      </c>
      <c r="JD16" s="228">
        <f>IF(AND(260&gt;=$NR$16,260&lt;=$NS$16),IF($NP$16="Single_Point",IF(260=$NR$16,$NN$16,0),IF($NP$16="Bell_Curve",$NN$16*(260-$NR$16+1)*($NS$16-260+1)/$NU$16,$NN$16/$NT$16)),0)</f>
        <v/>
      </c>
      <c r="JE16" s="228">
        <f>IF(AND(261&gt;=$NR$16,261&lt;=$NS$16),IF($NP$16="Single_Point",IF(261=$NR$16,$NN$16,0),IF($NP$16="Bell_Curve",$NN$16*(261-$NR$16+1)*($NS$16-261+1)/$NU$16,$NN$16/$NT$16)),0)</f>
        <v/>
      </c>
      <c r="JF16" s="228">
        <f>IF(AND(262&gt;=$NR$16,262&lt;=$NS$16),IF($NP$16="Single_Point",IF(262=$NR$16,$NN$16,0),IF($NP$16="Bell_Curve",$NN$16*(262-$NR$16+1)*($NS$16-262+1)/$NU$16,$NN$16/$NT$16)),0)</f>
        <v/>
      </c>
      <c r="JG16" s="228">
        <f>IF(AND(263&gt;=$NR$16,263&lt;=$NS$16),IF($NP$16="Single_Point",IF(263=$NR$16,$NN$16,0),IF($NP$16="Bell_Curve",$NN$16*(263-$NR$16+1)*($NS$16-263+1)/$NU$16,$NN$16/$NT$16)),0)</f>
        <v/>
      </c>
      <c r="JH16" s="228">
        <f>IF(AND(264&gt;=$NR$16,264&lt;=$NS$16),IF($NP$16="Single_Point",IF(264=$NR$16,$NN$16,0),IF($NP$16="Bell_Curve",$NN$16*(264-$NR$16+1)*($NS$16-264+1)/$NU$16,$NN$16/$NT$16)),0)</f>
        <v/>
      </c>
      <c r="JI16" s="228">
        <f>IF(AND(265&gt;=$NR$16,265&lt;=$NS$16),IF($NP$16="Single_Point",IF(265=$NR$16,$NN$16,0),IF($NP$16="Bell_Curve",$NN$16*(265-$NR$16+1)*($NS$16-265+1)/$NU$16,$NN$16/$NT$16)),0)</f>
        <v/>
      </c>
      <c r="JJ16" s="228">
        <f>IF(AND(266&gt;=$NR$16,266&lt;=$NS$16),IF($NP$16="Single_Point",IF(266=$NR$16,$NN$16,0),IF($NP$16="Bell_Curve",$NN$16*(266-$NR$16+1)*($NS$16-266+1)/$NU$16,$NN$16/$NT$16)),0)</f>
        <v/>
      </c>
      <c r="JK16" s="228">
        <f>IF(AND(267&gt;=$NR$16,267&lt;=$NS$16),IF($NP$16="Single_Point",IF(267=$NR$16,$NN$16,0),IF($NP$16="Bell_Curve",$NN$16*(267-$NR$16+1)*($NS$16-267+1)/$NU$16,$NN$16/$NT$16)),0)</f>
        <v/>
      </c>
      <c r="JL16" s="228">
        <f>IF(AND(268&gt;=$NR$16,268&lt;=$NS$16),IF($NP$16="Single_Point",IF(268=$NR$16,$NN$16,0),IF($NP$16="Bell_Curve",$NN$16*(268-$NR$16+1)*($NS$16-268+1)/$NU$16,$NN$16/$NT$16)),0)</f>
        <v/>
      </c>
      <c r="JM16" s="228">
        <f>IF(AND(269&gt;=$NR$16,269&lt;=$NS$16),IF($NP$16="Single_Point",IF(269=$NR$16,$NN$16,0),IF($NP$16="Bell_Curve",$NN$16*(269-$NR$16+1)*($NS$16-269+1)/$NU$16,$NN$16/$NT$16)),0)</f>
        <v/>
      </c>
      <c r="JN16" s="228">
        <f>IF(AND(270&gt;=$NR$16,270&lt;=$NS$16),IF($NP$16="Single_Point",IF(270=$NR$16,$NN$16,0),IF($NP$16="Bell_Curve",$NN$16*(270-$NR$16+1)*($NS$16-270+1)/$NU$16,$NN$16/$NT$16)),0)</f>
        <v/>
      </c>
      <c r="JO16" s="228">
        <f>IF(AND(271&gt;=$NR$16,271&lt;=$NS$16),IF($NP$16="Single_Point",IF(271=$NR$16,$NN$16,0),IF($NP$16="Bell_Curve",$NN$16*(271-$NR$16+1)*($NS$16-271+1)/$NU$16,$NN$16/$NT$16)),0)</f>
        <v/>
      </c>
      <c r="JP16" s="228">
        <f>IF(AND(272&gt;=$NR$16,272&lt;=$NS$16),IF($NP$16="Single_Point",IF(272=$NR$16,$NN$16,0),IF($NP$16="Bell_Curve",$NN$16*(272-$NR$16+1)*($NS$16-272+1)/$NU$16,$NN$16/$NT$16)),0)</f>
        <v/>
      </c>
      <c r="JQ16" s="228">
        <f>IF(AND(273&gt;=$NR$16,273&lt;=$NS$16),IF($NP$16="Single_Point",IF(273=$NR$16,$NN$16,0),IF($NP$16="Bell_Curve",$NN$16*(273-$NR$16+1)*($NS$16-273+1)/$NU$16,$NN$16/$NT$16)),0)</f>
        <v/>
      </c>
      <c r="JR16" s="228">
        <f>IF(AND(274&gt;=$NR$16,274&lt;=$NS$16),IF($NP$16="Single_Point",IF(274=$NR$16,$NN$16,0),IF($NP$16="Bell_Curve",$NN$16*(274-$NR$16+1)*($NS$16-274+1)/$NU$16,$NN$16/$NT$16)),0)</f>
        <v/>
      </c>
      <c r="JS16" s="228">
        <f>IF(AND(275&gt;=$NR$16,275&lt;=$NS$16),IF($NP$16="Single_Point",IF(275=$NR$16,$NN$16,0),IF($NP$16="Bell_Curve",$NN$16*(275-$NR$16+1)*($NS$16-275+1)/$NU$16,$NN$16/$NT$16)),0)</f>
        <v/>
      </c>
      <c r="JT16" s="228">
        <f>IF(AND(276&gt;=$NR$16,276&lt;=$NS$16),IF($NP$16="Single_Point",IF(276=$NR$16,$NN$16,0),IF($NP$16="Bell_Curve",$NN$16*(276-$NR$16+1)*($NS$16-276+1)/$NU$16,$NN$16/$NT$16)),0)</f>
        <v/>
      </c>
      <c r="JU16" s="228">
        <f>IF(AND(277&gt;=$NR$16,277&lt;=$NS$16),IF($NP$16="Single_Point",IF(277=$NR$16,$NN$16,0),IF($NP$16="Bell_Curve",$NN$16*(277-$NR$16+1)*($NS$16-277+1)/$NU$16,$NN$16/$NT$16)),0)</f>
        <v/>
      </c>
      <c r="JV16" s="228">
        <f>IF(AND(278&gt;=$NR$16,278&lt;=$NS$16),IF($NP$16="Single_Point",IF(278=$NR$16,$NN$16,0),IF($NP$16="Bell_Curve",$NN$16*(278-$NR$16+1)*($NS$16-278+1)/$NU$16,$NN$16/$NT$16)),0)</f>
        <v/>
      </c>
      <c r="JW16" s="228">
        <f>IF(AND(279&gt;=$NR$16,279&lt;=$NS$16),IF($NP$16="Single_Point",IF(279=$NR$16,$NN$16,0),IF($NP$16="Bell_Curve",$NN$16*(279-$NR$16+1)*($NS$16-279+1)/$NU$16,$NN$16/$NT$16)),0)</f>
        <v/>
      </c>
      <c r="JX16" s="228">
        <f>IF(AND(280&gt;=$NR$16,280&lt;=$NS$16),IF($NP$16="Single_Point",IF(280=$NR$16,$NN$16,0),IF($NP$16="Bell_Curve",$NN$16*(280-$NR$16+1)*($NS$16-280+1)/$NU$16,$NN$16/$NT$16)),0)</f>
        <v/>
      </c>
      <c r="JY16" s="228">
        <f>IF(AND(281&gt;=$NR$16,281&lt;=$NS$16),IF($NP$16="Single_Point",IF(281=$NR$16,$NN$16,0),IF($NP$16="Bell_Curve",$NN$16*(281-$NR$16+1)*($NS$16-281+1)/$NU$16,$NN$16/$NT$16)),0)</f>
        <v/>
      </c>
      <c r="JZ16" s="228">
        <f>IF(AND(282&gt;=$NR$16,282&lt;=$NS$16),IF($NP$16="Single_Point",IF(282=$NR$16,$NN$16,0),IF($NP$16="Bell_Curve",$NN$16*(282-$NR$16+1)*($NS$16-282+1)/$NU$16,$NN$16/$NT$16)),0)</f>
        <v/>
      </c>
      <c r="KA16" s="228">
        <f>IF(AND(283&gt;=$NR$16,283&lt;=$NS$16),IF($NP$16="Single_Point",IF(283=$NR$16,$NN$16,0),IF($NP$16="Bell_Curve",$NN$16*(283-$NR$16+1)*($NS$16-283+1)/$NU$16,$NN$16/$NT$16)),0)</f>
        <v/>
      </c>
      <c r="KB16" s="228">
        <f>IF(AND(284&gt;=$NR$16,284&lt;=$NS$16),IF($NP$16="Single_Point",IF(284=$NR$16,$NN$16,0),IF($NP$16="Bell_Curve",$NN$16*(284-$NR$16+1)*($NS$16-284+1)/$NU$16,$NN$16/$NT$16)),0)</f>
        <v/>
      </c>
      <c r="KC16" s="228">
        <f>IF(AND(285&gt;=$NR$16,285&lt;=$NS$16),IF($NP$16="Single_Point",IF(285=$NR$16,$NN$16,0),IF($NP$16="Bell_Curve",$NN$16*(285-$NR$16+1)*($NS$16-285+1)/$NU$16,$NN$16/$NT$16)),0)</f>
        <v/>
      </c>
      <c r="KD16" s="228">
        <f>IF(AND(286&gt;=$NR$16,286&lt;=$NS$16),IF($NP$16="Single_Point",IF(286=$NR$16,$NN$16,0),IF($NP$16="Bell_Curve",$NN$16*(286-$NR$16+1)*($NS$16-286+1)/$NU$16,$NN$16/$NT$16)),0)</f>
        <v/>
      </c>
      <c r="KE16" s="228">
        <f>IF(AND(287&gt;=$NR$16,287&lt;=$NS$16),IF($NP$16="Single_Point",IF(287=$NR$16,$NN$16,0),IF($NP$16="Bell_Curve",$NN$16*(287-$NR$16+1)*($NS$16-287+1)/$NU$16,$NN$16/$NT$16)),0)</f>
        <v/>
      </c>
      <c r="KF16" s="228">
        <f>IF(AND(288&gt;=$NR$16,288&lt;=$NS$16),IF($NP$16="Single_Point",IF(288=$NR$16,$NN$16,0),IF($NP$16="Bell_Curve",$NN$16*(288-$NR$16+1)*($NS$16-288+1)/$NU$16,$NN$16/$NT$16)),0)</f>
        <v/>
      </c>
      <c r="KG16" s="228">
        <f>IF(AND(289&gt;=$NR$16,289&lt;=$NS$16),IF($NP$16="Single_Point",IF(289=$NR$16,$NN$16,0),IF($NP$16="Bell_Curve",$NN$16*(289-$NR$16+1)*($NS$16-289+1)/$NU$16,$NN$16/$NT$16)),0)</f>
        <v/>
      </c>
      <c r="KH16" s="228">
        <f>IF(AND(290&gt;=$NR$16,290&lt;=$NS$16),IF($NP$16="Single_Point",IF(290=$NR$16,$NN$16,0),IF($NP$16="Bell_Curve",$NN$16*(290-$NR$16+1)*($NS$16-290+1)/$NU$16,$NN$16/$NT$16)),0)</f>
        <v/>
      </c>
      <c r="KI16" s="228">
        <f>IF(AND(291&gt;=$NR$16,291&lt;=$NS$16),IF($NP$16="Single_Point",IF(291=$NR$16,$NN$16,0),IF($NP$16="Bell_Curve",$NN$16*(291-$NR$16+1)*($NS$16-291+1)/$NU$16,$NN$16/$NT$16)),0)</f>
        <v/>
      </c>
      <c r="KJ16" s="228">
        <f>IF(AND(292&gt;=$NR$16,292&lt;=$NS$16),IF($NP$16="Single_Point",IF(292=$NR$16,$NN$16,0),IF($NP$16="Bell_Curve",$NN$16*(292-$NR$16+1)*($NS$16-292+1)/$NU$16,$NN$16/$NT$16)),0)</f>
        <v/>
      </c>
      <c r="KK16" s="228">
        <f>IF(AND(293&gt;=$NR$16,293&lt;=$NS$16),IF($NP$16="Single_Point",IF(293=$NR$16,$NN$16,0),IF($NP$16="Bell_Curve",$NN$16*(293-$NR$16+1)*($NS$16-293+1)/$NU$16,$NN$16/$NT$16)),0)</f>
        <v/>
      </c>
      <c r="KL16" s="228">
        <f>IF(AND(294&gt;=$NR$16,294&lt;=$NS$16),IF($NP$16="Single_Point",IF(294=$NR$16,$NN$16,0),IF($NP$16="Bell_Curve",$NN$16*(294-$NR$16+1)*($NS$16-294+1)/$NU$16,$NN$16/$NT$16)),0)</f>
        <v/>
      </c>
      <c r="KM16" s="228">
        <f>IF(AND(295&gt;=$NR$16,295&lt;=$NS$16),IF($NP$16="Single_Point",IF(295=$NR$16,$NN$16,0),IF($NP$16="Bell_Curve",$NN$16*(295-$NR$16+1)*($NS$16-295+1)/$NU$16,$NN$16/$NT$16)),0)</f>
        <v/>
      </c>
      <c r="KN16" s="228">
        <f>IF(AND(296&gt;=$NR$16,296&lt;=$NS$16),IF($NP$16="Single_Point",IF(296=$NR$16,$NN$16,0),IF($NP$16="Bell_Curve",$NN$16*(296-$NR$16+1)*($NS$16-296+1)/$NU$16,$NN$16/$NT$16)),0)</f>
        <v/>
      </c>
      <c r="KO16" s="228">
        <f>IF(AND(297&gt;=$NR$16,297&lt;=$NS$16),IF($NP$16="Single_Point",IF(297=$NR$16,$NN$16,0),IF($NP$16="Bell_Curve",$NN$16*(297-$NR$16+1)*($NS$16-297+1)/$NU$16,$NN$16/$NT$16)),0)</f>
        <v/>
      </c>
      <c r="KP16" s="228">
        <f>IF(AND(298&gt;=$NR$16,298&lt;=$NS$16),IF($NP$16="Single_Point",IF(298=$NR$16,$NN$16,0),IF($NP$16="Bell_Curve",$NN$16*(298-$NR$16+1)*($NS$16-298+1)/$NU$16,$NN$16/$NT$16)),0)</f>
        <v/>
      </c>
      <c r="KQ16" s="228">
        <f>IF(AND(299&gt;=$NR$16,299&lt;=$NS$16),IF($NP$16="Single_Point",IF(299=$NR$16,$NN$16,0),IF($NP$16="Bell_Curve",$NN$16*(299-$NR$16+1)*($NS$16-299+1)/$NU$16,$NN$16/$NT$16)),0)</f>
        <v/>
      </c>
      <c r="KR16" s="228">
        <f>IF(AND(300&gt;=$NR$16,300&lt;=$NS$16),IF($NP$16="Single_Point",IF(300=$NR$16,$NN$16,0),IF($NP$16="Bell_Curve",$NN$16*(300-$NR$16+1)*($NS$16-300+1)/$NU$16,$NN$16/$NT$16)),0)</f>
        <v/>
      </c>
      <c r="KS16" s="228">
        <f>IF(AND(301&gt;=$NR$16,301&lt;=$NS$16),IF($NP$16="Single_Point",IF(301=$NR$16,$NN$16,0),IF($NP$16="Bell_Curve",$NN$16*(301-$NR$16+1)*($NS$16-301+1)/$NU$16,$NN$16/$NT$16)),0)</f>
        <v/>
      </c>
      <c r="KT16" s="228">
        <f>IF(AND(302&gt;=$NR$16,302&lt;=$NS$16),IF($NP$16="Single_Point",IF(302=$NR$16,$NN$16,0),IF($NP$16="Bell_Curve",$NN$16*(302-$NR$16+1)*($NS$16-302+1)/$NU$16,$NN$16/$NT$16)),0)</f>
        <v/>
      </c>
      <c r="KU16" s="228">
        <f>IF(AND(303&gt;=$NR$16,303&lt;=$NS$16),IF($NP$16="Single_Point",IF(303=$NR$16,$NN$16,0),IF($NP$16="Bell_Curve",$NN$16*(303-$NR$16+1)*($NS$16-303+1)/$NU$16,$NN$16/$NT$16)),0)</f>
        <v/>
      </c>
      <c r="KV16" s="228">
        <f>IF(AND(304&gt;=$NR$16,304&lt;=$NS$16),IF($NP$16="Single_Point",IF(304=$NR$16,$NN$16,0),IF($NP$16="Bell_Curve",$NN$16*(304-$NR$16+1)*($NS$16-304+1)/$NU$16,$NN$16/$NT$16)),0)</f>
        <v/>
      </c>
      <c r="KW16" s="228">
        <f>IF(AND(305&gt;=$NR$16,305&lt;=$NS$16),IF($NP$16="Single_Point",IF(305=$NR$16,$NN$16,0),IF($NP$16="Bell_Curve",$NN$16*(305-$NR$16+1)*($NS$16-305+1)/$NU$16,$NN$16/$NT$16)),0)</f>
        <v/>
      </c>
      <c r="KX16" s="228">
        <f>IF(AND(306&gt;=$NR$16,306&lt;=$NS$16),IF($NP$16="Single_Point",IF(306=$NR$16,$NN$16,0),IF($NP$16="Bell_Curve",$NN$16*(306-$NR$16+1)*($NS$16-306+1)/$NU$16,$NN$16/$NT$16)),0)</f>
        <v/>
      </c>
      <c r="KY16" s="228">
        <f>IF(AND(307&gt;=$NR$16,307&lt;=$NS$16),IF($NP$16="Single_Point",IF(307=$NR$16,$NN$16,0),IF($NP$16="Bell_Curve",$NN$16*(307-$NR$16+1)*($NS$16-307+1)/$NU$16,$NN$16/$NT$16)),0)</f>
        <v/>
      </c>
      <c r="KZ16" s="228">
        <f>IF(AND(308&gt;=$NR$16,308&lt;=$NS$16),IF($NP$16="Single_Point",IF(308=$NR$16,$NN$16,0),IF($NP$16="Bell_Curve",$NN$16*(308-$NR$16+1)*($NS$16-308+1)/$NU$16,$NN$16/$NT$16)),0)</f>
        <v/>
      </c>
      <c r="LA16" s="228">
        <f>IF(AND(309&gt;=$NR$16,309&lt;=$NS$16),IF($NP$16="Single_Point",IF(309=$NR$16,$NN$16,0),IF($NP$16="Bell_Curve",$NN$16*(309-$NR$16+1)*($NS$16-309+1)/$NU$16,$NN$16/$NT$16)),0)</f>
        <v/>
      </c>
      <c r="LB16" s="228">
        <f>IF(AND(310&gt;=$NR$16,310&lt;=$NS$16),IF($NP$16="Single_Point",IF(310=$NR$16,$NN$16,0),IF($NP$16="Bell_Curve",$NN$16*(310-$NR$16+1)*($NS$16-310+1)/$NU$16,$NN$16/$NT$16)),0)</f>
        <v/>
      </c>
      <c r="LC16" s="228">
        <f>IF(AND(311&gt;=$NR$16,311&lt;=$NS$16),IF($NP$16="Single_Point",IF(311=$NR$16,$NN$16,0),IF($NP$16="Bell_Curve",$NN$16*(311-$NR$16+1)*($NS$16-311+1)/$NU$16,$NN$16/$NT$16)),0)</f>
        <v/>
      </c>
      <c r="LD16" s="228">
        <f>IF(AND(312&gt;=$NR$16,312&lt;=$NS$16),IF($NP$16="Single_Point",IF(312=$NR$16,$NN$16,0),IF($NP$16="Bell_Curve",$NN$16*(312-$NR$16+1)*($NS$16-312+1)/$NU$16,$NN$16/$NT$16)),0)</f>
        <v/>
      </c>
      <c r="LE16" s="228">
        <f>IF(AND(313&gt;=$NR$16,313&lt;=$NS$16),IF($NP$16="Single_Point",IF(313=$NR$16,$NN$16,0),IF($NP$16="Bell_Curve",$NN$16*(313-$NR$16+1)*($NS$16-313+1)/$NU$16,$NN$16/$NT$16)),0)</f>
        <v/>
      </c>
      <c r="LF16" s="228">
        <f>IF(AND(314&gt;=$NR$16,314&lt;=$NS$16),IF($NP$16="Single_Point",IF(314=$NR$16,$NN$16,0),IF($NP$16="Bell_Curve",$NN$16*(314-$NR$16+1)*($NS$16-314+1)/$NU$16,$NN$16/$NT$16)),0)</f>
        <v/>
      </c>
      <c r="LG16" s="228">
        <f>IF(AND(315&gt;=$NR$16,315&lt;=$NS$16),IF($NP$16="Single_Point",IF(315=$NR$16,$NN$16,0),IF($NP$16="Bell_Curve",$NN$16*(315-$NR$16+1)*($NS$16-315+1)/$NU$16,$NN$16/$NT$16)),0)</f>
        <v/>
      </c>
      <c r="LH16" s="228">
        <f>IF(AND(316&gt;=$NR$16,316&lt;=$NS$16),IF($NP$16="Single_Point",IF(316=$NR$16,$NN$16,0),IF($NP$16="Bell_Curve",$NN$16*(316-$NR$16+1)*($NS$16-316+1)/$NU$16,$NN$16/$NT$16)),0)</f>
        <v/>
      </c>
      <c r="LI16" s="228">
        <f>IF(AND(317&gt;=$NR$16,317&lt;=$NS$16),IF($NP$16="Single_Point",IF(317=$NR$16,$NN$16,0),IF($NP$16="Bell_Curve",$NN$16*(317-$NR$16+1)*($NS$16-317+1)/$NU$16,$NN$16/$NT$16)),0)</f>
        <v/>
      </c>
      <c r="LJ16" s="228">
        <f>IF(AND(318&gt;=$NR$16,318&lt;=$NS$16),IF($NP$16="Single_Point",IF(318=$NR$16,$NN$16,0),IF($NP$16="Bell_Curve",$NN$16*(318-$NR$16+1)*($NS$16-318+1)/$NU$16,$NN$16/$NT$16)),0)</f>
        <v/>
      </c>
      <c r="LK16" s="228">
        <f>IF(AND(319&gt;=$NR$16,319&lt;=$NS$16),IF($NP$16="Single_Point",IF(319=$NR$16,$NN$16,0),IF($NP$16="Bell_Curve",$NN$16*(319-$NR$16+1)*($NS$16-319+1)/$NU$16,$NN$16/$NT$16)),0)</f>
        <v/>
      </c>
      <c r="LL16" s="228">
        <f>IF(AND(320&gt;=$NR$16,320&lt;=$NS$16),IF($NP$16="Single_Point",IF(320=$NR$16,$NN$16,0),IF($NP$16="Bell_Curve",$NN$16*(320-$NR$16+1)*($NS$16-320+1)/$NU$16,$NN$16/$NT$16)),0)</f>
        <v/>
      </c>
      <c r="LM16" s="228">
        <f>IF(AND(321&gt;=$NR$16,321&lt;=$NS$16),IF($NP$16="Single_Point",IF(321=$NR$16,$NN$16,0),IF($NP$16="Bell_Curve",$NN$16*(321-$NR$16+1)*($NS$16-321+1)/$NU$16,$NN$16/$NT$16)),0)</f>
        <v/>
      </c>
      <c r="LN16" s="228">
        <f>IF(AND(322&gt;=$NR$16,322&lt;=$NS$16),IF($NP$16="Single_Point",IF(322=$NR$16,$NN$16,0),IF($NP$16="Bell_Curve",$NN$16*(322-$NR$16+1)*($NS$16-322+1)/$NU$16,$NN$16/$NT$16)),0)</f>
        <v/>
      </c>
      <c r="LO16" s="228">
        <f>IF(AND(323&gt;=$NR$16,323&lt;=$NS$16),IF($NP$16="Single_Point",IF(323=$NR$16,$NN$16,0),IF($NP$16="Bell_Curve",$NN$16*(323-$NR$16+1)*($NS$16-323+1)/$NU$16,$NN$16/$NT$16)),0)</f>
        <v/>
      </c>
      <c r="LP16" s="228">
        <f>IF(AND(324&gt;=$NR$16,324&lt;=$NS$16),IF($NP$16="Single_Point",IF(324=$NR$16,$NN$16,0),IF($NP$16="Bell_Curve",$NN$16*(324-$NR$16+1)*($NS$16-324+1)/$NU$16,$NN$16/$NT$16)),0)</f>
        <v/>
      </c>
      <c r="LQ16" s="228">
        <f>IF(AND(325&gt;=$NR$16,325&lt;=$NS$16),IF($NP$16="Single_Point",IF(325=$NR$16,$NN$16,0),IF($NP$16="Bell_Curve",$NN$16*(325-$NR$16+1)*($NS$16-325+1)/$NU$16,$NN$16/$NT$16)),0)</f>
        <v/>
      </c>
      <c r="LR16" s="228">
        <f>IF(AND(326&gt;=$NR$16,326&lt;=$NS$16),IF($NP$16="Single_Point",IF(326=$NR$16,$NN$16,0),IF($NP$16="Bell_Curve",$NN$16*(326-$NR$16+1)*($NS$16-326+1)/$NU$16,$NN$16/$NT$16)),0)</f>
        <v/>
      </c>
      <c r="LS16" s="228">
        <f>IF(AND(327&gt;=$NR$16,327&lt;=$NS$16),IF($NP$16="Single_Point",IF(327=$NR$16,$NN$16,0),IF($NP$16="Bell_Curve",$NN$16*(327-$NR$16+1)*($NS$16-327+1)/$NU$16,$NN$16/$NT$16)),0)</f>
        <v/>
      </c>
      <c r="LT16" s="228">
        <f>IF(AND(328&gt;=$NR$16,328&lt;=$NS$16),IF($NP$16="Single_Point",IF(328=$NR$16,$NN$16,0),IF($NP$16="Bell_Curve",$NN$16*(328-$NR$16+1)*($NS$16-328+1)/$NU$16,$NN$16/$NT$16)),0)</f>
        <v/>
      </c>
      <c r="LU16" s="228">
        <f>IF(AND(329&gt;=$NR$16,329&lt;=$NS$16),IF($NP$16="Single_Point",IF(329=$NR$16,$NN$16,0),IF($NP$16="Bell_Curve",$NN$16*(329-$NR$16+1)*($NS$16-329+1)/$NU$16,$NN$16/$NT$16)),0)</f>
        <v/>
      </c>
      <c r="LV16" s="228">
        <f>IF(AND(330&gt;=$NR$16,330&lt;=$NS$16),IF($NP$16="Single_Point",IF(330=$NR$16,$NN$16,0),IF($NP$16="Bell_Curve",$NN$16*(330-$NR$16+1)*($NS$16-330+1)/$NU$16,$NN$16/$NT$16)),0)</f>
        <v/>
      </c>
      <c r="LW16" s="228">
        <f>IF(AND(331&gt;=$NR$16,331&lt;=$NS$16),IF($NP$16="Single_Point",IF(331=$NR$16,$NN$16,0),IF($NP$16="Bell_Curve",$NN$16*(331-$NR$16+1)*($NS$16-331+1)/$NU$16,$NN$16/$NT$16)),0)</f>
        <v/>
      </c>
      <c r="LX16" s="228">
        <f>IF(AND(332&gt;=$NR$16,332&lt;=$NS$16),IF($NP$16="Single_Point",IF(332=$NR$16,$NN$16,0),IF($NP$16="Bell_Curve",$NN$16*(332-$NR$16+1)*($NS$16-332+1)/$NU$16,$NN$16/$NT$16)),0)</f>
        <v/>
      </c>
      <c r="LY16" s="228">
        <f>IF(AND(333&gt;=$NR$16,333&lt;=$NS$16),IF($NP$16="Single_Point",IF(333=$NR$16,$NN$16,0),IF($NP$16="Bell_Curve",$NN$16*(333-$NR$16+1)*($NS$16-333+1)/$NU$16,$NN$16/$NT$16)),0)</f>
        <v/>
      </c>
      <c r="LZ16" s="228">
        <f>IF(AND(334&gt;=$NR$16,334&lt;=$NS$16),IF($NP$16="Single_Point",IF(334=$NR$16,$NN$16,0),IF($NP$16="Bell_Curve",$NN$16*(334-$NR$16+1)*($NS$16-334+1)/$NU$16,$NN$16/$NT$16)),0)</f>
        <v/>
      </c>
      <c r="MA16" s="228">
        <f>IF(AND(335&gt;=$NR$16,335&lt;=$NS$16),IF($NP$16="Single_Point",IF(335=$NR$16,$NN$16,0),IF($NP$16="Bell_Curve",$NN$16*(335-$NR$16+1)*($NS$16-335+1)/$NU$16,$NN$16/$NT$16)),0)</f>
        <v/>
      </c>
      <c r="MB16" s="228">
        <f>IF(AND(336&gt;=$NR$16,336&lt;=$NS$16),IF($NP$16="Single_Point",IF(336=$NR$16,$NN$16,0),IF($NP$16="Bell_Curve",$NN$16*(336-$NR$16+1)*($NS$16-336+1)/$NU$16,$NN$16/$NT$16)),0)</f>
        <v/>
      </c>
      <c r="MC16" s="228">
        <f>IF(AND(337&gt;=$NR$16,337&lt;=$NS$16),IF($NP$16="Single_Point",IF(337=$NR$16,$NN$16,0),IF($NP$16="Bell_Curve",$NN$16*(337-$NR$16+1)*($NS$16-337+1)/$NU$16,$NN$16/$NT$16)),0)</f>
        <v/>
      </c>
      <c r="MD16" s="228">
        <f>IF(AND(338&gt;=$NR$16,338&lt;=$NS$16),IF($NP$16="Single_Point",IF(338=$NR$16,$NN$16,0),IF($NP$16="Bell_Curve",$NN$16*(338-$NR$16+1)*($NS$16-338+1)/$NU$16,$NN$16/$NT$16)),0)</f>
        <v/>
      </c>
      <c r="ME16" s="228">
        <f>IF(AND(339&gt;=$NR$16,339&lt;=$NS$16),IF($NP$16="Single_Point",IF(339=$NR$16,$NN$16,0),IF($NP$16="Bell_Curve",$NN$16*(339-$NR$16+1)*($NS$16-339+1)/$NU$16,$NN$16/$NT$16)),0)</f>
        <v/>
      </c>
      <c r="MF16" s="228">
        <f>IF(AND(340&gt;=$NR$16,340&lt;=$NS$16),IF($NP$16="Single_Point",IF(340=$NR$16,$NN$16,0),IF($NP$16="Bell_Curve",$NN$16*(340-$NR$16+1)*($NS$16-340+1)/$NU$16,$NN$16/$NT$16)),0)</f>
        <v/>
      </c>
      <c r="MG16" s="228">
        <f>IF(AND(341&gt;=$NR$16,341&lt;=$NS$16),IF($NP$16="Single_Point",IF(341=$NR$16,$NN$16,0),IF($NP$16="Bell_Curve",$NN$16*(341-$NR$16+1)*($NS$16-341+1)/$NU$16,$NN$16/$NT$16)),0)</f>
        <v/>
      </c>
      <c r="MH16" s="228">
        <f>IF(AND(342&gt;=$NR$16,342&lt;=$NS$16),IF($NP$16="Single_Point",IF(342=$NR$16,$NN$16,0),IF($NP$16="Bell_Curve",$NN$16*(342-$NR$16+1)*($NS$16-342+1)/$NU$16,$NN$16/$NT$16)),0)</f>
        <v/>
      </c>
      <c r="MI16" s="228">
        <f>IF(AND(343&gt;=$NR$16,343&lt;=$NS$16),IF($NP$16="Single_Point",IF(343=$NR$16,$NN$16,0),IF($NP$16="Bell_Curve",$NN$16*(343-$NR$16+1)*($NS$16-343+1)/$NU$16,$NN$16/$NT$16)),0)</f>
        <v/>
      </c>
      <c r="MJ16" s="228">
        <f>IF(AND(344&gt;=$NR$16,344&lt;=$NS$16),IF($NP$16="Single_Point",IF(344=$NR$16,$NN$16,0),IF($NP$16="Bell_Curve",$NN$16*(344-$NR$16+1)*($NS$16-344+1)/$NU$16,$NN$16/$NT$16)),0)</f>
        <v/>
      </c>
      <c r="MK16" s="228">
        <f>IF(AND(345&gt;=$NR$16,345&lt;=$NS$16),IF($NP$16="Single_Point",IF(345=$NR$16,$NN$16,0),IF($NP$16="Bell_Curve",$NN$16*(345-$NR$16+1)*($NS$16-345+1)/$NU$16,$NN$16/$NT$16)),0)</f>
        <v/>
      </c>
      <c r="ML16" s="228">
        <f>IF(AND(346&gt;=$NR$16,346&lt;=$NS$16),IF($NP$16="Single_Point",IF(346=$NR$16,$NN$16,0),IF($NP$16="Bell_Curve",$NN$16*(346-$NR$16+1)*($NS$16-346+1)/$NU$16,$NN$16/$NT$16)),0)</f>
        <v/>
      </c>
      <c r="MM16" s="228">
        <f>IF(AND(347&gt;=$NR$16,347&lt;=$NS$16),IF($NP$16="Single_Point",IF(347=$NR$16,$NN$16,0),IF($NP$16="Bell_Curve",$NN$16*(347-$NR$16+1)*($NS$16-347+1)/$NU$16,$NN$16/$NT$16)),0)</f>
        <v/>
      </c>
      <c r="MN16" s="228">
        <f>IF(AND(348&gt;=$NR$16,348&lt;=$NS$16),IF($NP$16="Single_Point",IF(348=$NR$16,$NN$16,0),IF($NP$16="Bell_Curve",$NN$16*(348-$NR$16+1)*($NS$16-348+1)/$NU$16,$NN$16/$NT$16)),0)</f>
        <v/>
      </c>
      <c r="MO16" s="228">
        <f>IF(AND(349&gt;=$NR$16,349&lt;=$NS$16),IF($NP$16="Single_Point",IF(349=$NR$16,$NN$16,0),IF($NP$16="Bell_Curve",$NN$16*(349-$NR$16+1)*($NS$16-349+1)/$NU$16,$NN$16/$NT$16)),0)</f>
        <v/>
      </c>
      <c r="MP16" s="228">
        <f>IF(AND(350&gt;=$NR$16,350&lt;=$NS$16),IF($NP$16="Single_Point",IF(350=$NR$16,$NN$16,0),IF($NP$16="Bell_Curve",$NN$16*(350-$NR$16+1)*($NS$16-350+1)/$NU$16,$NN$16/$NT$16)),0)</f>
        <v/>
      </c>
      <c r="MQ16" s="228">
        <f>IF(AND(351&gt;=$NR$16,351&lt;=$NS$16),IF($NP$16="Single_Point",IF(351=$NR$16,$NN$16,0),IF($NP$16="Bell_Curve",$NN$16*(351-$NR$16+1)*($NS$16-351+1)/$NU$16,$NN$16/$NT$16)),0)</f>
        <v/>
      </c>
      <c r="MR16" s="228">
        <f>IF(AND(352&gt;=$NR$16,352&lt;=$NS$16),IF($NP$16="Single_Point",IF(352=$NR$16,$NN$16,0),IF($NP$16="Bell_Curve",$NN$16*(352-$NR$16+1)*($NS$16-352+1)/$NU$16,$NN$16/$NT$16)),0)</f>
        <v/>
      </c>
      <c r="MS16" s="228">
        <f>IF(AND(353&gt;=$NR$16,353&lt;=$NS$16),IF($NP$16="Single_Point",IF(353=$NR$16,$NN$16,0),IF($NP$16="Bell_Curve",$NN$16*(353-$NR$16+1)*($NS$16-353+1)/$NU$16,$NN$16/$NT$16)),0)</f>
        <v/>
      </c>
      <c r="MT16" s="228">
        <f>IF(AND(354&gt;=$NR$16,354&lt;=$NS$16),IF($NP$16="Single_Point",IF(354=$NR$16,$NN$16,0),IF($NP$16="Bell_Curve",$NN$16*(354-$NR$16+1)*($NS$16-354+1)/$NU$16,$NN$16/$NT$16)),0)</f>
        <v/>
      </c>
      <c r="MU16" s="228">
        <f>IF(AND(355&gt;=$NR$16,355&lt;=$NS$16),IF($NP$16="Single_Point",IF(355=$NR$16,$NN$16,0),IF($NP$16="Bell_Curve",$NN$16*(355-$NR$16+1)*($NS$16-355+1)/$NU$16,$NN$16/$NT$16)),0)</f>
        <v/>
      </c>
      <c r="MV16" s="228">
        <f>IF(AND(356&gt;=$NR$16,356&lt;=$NS$16),IF($NP$16="Single_Point",IF(356=$NR$16,$NN$16,0),IF($NP$16="Bell_Curve",$NN$16*(356-$NR$16+1)*($NS$16-356+1)/$NU$16,$NN$16/$NT$16)),0)</f>
        <v/>
      </c>
      <c r="MW16" s="228">
        <f>IF(AND(357&gt;=$NR$16,357&lt;=$NS$16),IF($NP$16="Single_Point",IF(357=$NR$16,$NN$16,0),IF($NP$16="Bell_Curve",$NN$16*(357-$NR$16+1)*($NS$16-357+1)/$NU$16,$NN$16/$NT$16)),0)</f>
        <v/>
      </c>
      <c r="MX16" s="228">
        <f>IF(AND(358&gt;=$NR$16,358&lt;=$NS$16),IF($NP$16="Single_Point",IF(358=$NR$16,$NN$16,0),IF($NP$16="Bell_Curve",$NN$16*(358-$NR$16+1)*($NS$16-358+1)/$NU$16,$NN$16/$NT$16)),0)</f>
        <v/>
      </c>
      <c r="MY16" s="228">
        <f>IF(AND(359&gt;=$NR$16,359&lt;=$NS$16),IF($NP$16="Single_Point",IF(359=$NR$16,$NN$16,0),IF($NP$16="Bell_Curve",$NN$16*(359-$NR$16+1)*($NS$16-359+1)/$NU$16,$NN$16/$NT$16)),0)</f>
        <v/>
      </c>
      <c r="MZ16" s="228">
        <f>IF(AND(360&gt;=$NR$16,360&lt;=$NS$16),IF($NP$16="Single_Point",IF(360=$NR$16,$NN$16,0),IF($NP$16="Bell_Curve",$NN$16*(360-$NR$16+1)*($NS$16-360+1)/$NU$16,$NN$16/$NT$16)),0)</f>
        <v/>
      </c>
      <c r="NA16" s="228">
        <f>IF(AND(361&gt;=$NR$16,361&lt;=$NS$16),IF($NP$16="Single_Point",IF(361=$NR$16,$NN$16,0),IF($NP$16="Bell_Curve",$NN$16*(361-$NR$16+1)*($NS$16-361+1)/$NU$16,$NN$16/$NT$16)),0)</f>
        <v/>
      </c>
      <c r="NB16" s="228">
        <f>IF(AND(362&gt;=$NR$16,362&lt;=$NS$16),IF($NP$16="Single_Point",IF(362=$NR$16,$NN$16,0),IF($NP$16="Bell_Curve",$NN$16*(362-$NR$16+1)*($NS$16-362+1)/$NU$16,$NN$16/$NT$16)),0)</f>
        <v/>
      </c>
      <c r="NC16" s="228">
        <f>IF(AND(363&gt;=$NR$16,363&lt;=$NS$16),IF($NP$16="Single_Point",IF(363=$NR$16,$NN$16,0),IF($NP$16="Bell_Curve",$NN$16*(363-$NR$16+1)*($NS$16-363+1)/$NU$16,$NN$16/$NT$16)),0)</f>
        <v/>
      </c>
      <c r="ND16" s="228">
        <f>IF(AND(364&gt;=$NR$16,364&lt;=$NS$16),IF($NP$16="Single_Point",IF(364=$NR$16,$NN$16,0),IF($NP$16="Bell_Curve",$NN$16*(364-$NR$16+1)*($NS$16-364+1)/$NU$16,$NN$16/$NT$16)),0)</f>
        <v/>
      </c>
      <c r="NE16" s="228">
        <f>IF(AND(365&gt;=$NR$16,365&lt;=$NS$16),IF($NP$16="Single_Point",IF(365=$NR$16,$NN$16,0),IF($NP$16="Bell_Curve",$NN$16*(365-$NR$16+1)*($NS$16-365+1)/$NU$16,$NN$16/$NT$16)),0)</f>
        <v/>
      </c>
      <c r="NF16" s="228">
        <f>IF(AND(366&gt;=$NR$16,366&lt;=$NS$16),IF($NP$16="Single_Point",IF(366=$NR$16,$NN$16,0),IF($NP$16="Bell_Curve",$NN$16*(366-$NR$16+1)*($NS$16-366+1)/$NU$16,$NN$16/$NT$16)),0)</f>
        <v/>
      </c>
      <c r="NG16" s="228">
        <f>IF(AND(367&gt;=$NR$16,367&lt;=$NS$16),IF($NP$16="Single_Point",IF(367=$NR$16,$NN$16,0),IF($NP$16="Bell_Curve",$NN$16*(367-$NR$16+1)*($NS$16-367+1)/$NU$16,$NN$16/$NT$16)),0)</f>
        <v/>
      </c>
      <c r="NH16" s="228">
        <f>IF(AND(368&gt;=$NR$16,368&lt;=$NS$16),IF($NP$16="Single_Point",IF(368=$NR$16,$NN$16,0),IF($NP$16="Bell_Curve",$NN$16*(368-$NR$16+1)*($NS$16-368+1)/$NU$16,$NN$16/$NT$16)),0)</f>
        <v/>
      </c>
      <c r="NI16" s="228">
        <f>IF(AND(369&gt;=$NR$16,369&lt;=$NS$16),IF($NP$16="Single_Point",IF(369=$NR$16,$NN$16,0),IF($NP$16="Bell_Curve",$NN$16*(369-$NR$16+1)*($NS$16-369+1)/$NU$16,$NN$16/$NT$16)),0)</f>
        <v/>
      </c>
      <c r="NJ16" s="228">
        <f>IF(AND(370&gt;=$NR$16,370&lt;=$NS$16),IF($NP$16="Single_Point",IF(370=$NR$16,$NN$16,0),IF($NP$16="Bell_Curve",$NN$16*(370-$NR$16+1)*($NS$16-370+1)/$NU$16,$NN$16/$NT$16)),0)</f>
        <v/>
      </c>
      <c r="NK16" s="228">
        <f>IF(AND(371&gt;=$NR$16,371&lt;=$NS$16),IF($NP$16="Single_Point",IF(371=$NR$16,$NN$16,0),IF($NP$16="Bell_Curve",$NN$16*(371-$NR$16+1)*($NS$16-371+1)/$NU$16,$NN$16/$NT$16)),0)</f>
        <v/>
      </c>
      <c r="NL16" s="247">
        <f>IF(AND(372&gt;=$NR$16,372&lt;=$NS$16),IF($NP$16="Single_Point",IF(372=$NR$16,$NN$16,0),IF($NP$16="Bell_Curve",$NN$16*(372-$NR$16+1)*($NS$16-372+1)/$NU$16,$NN$16/$NT$16)),0)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36" t="inlineStr">
        <is>
          <t>Utilities &amp; Hookups</t>
        </is>
      </c>
      <c r="D17" s="246">
        <f>SUM(E17:NL17)</f>
        <v/>
      </c>
      <c r="E17" s="228">
        <f>IF(AND(1&gt;=$NR$17,1&lt;=$NS$17),IF($NP$17="Single_Point",IF(1=$NR$17,$NN$17,0),IF($NP$17="Bell_Curve",$NN$17*(1-$NR$17+1)*($NS$17-1+1)/$NU$17,$NN$17/$NT$17)),0)</f>
        <v/>
      </c>
      <c r="F17" s="228">
        <f>IF(AND(2&gt;=$NR$17,2&lt;=$NS$17),IF($NP$17="Single_Point",IF(2=$NR$17,$NN$17,0),IF($NP$17="Bell_Curve",$NN$17*(2-$NR$17+1)*($NS$17-2+1)/$NU$17,$NN$17/$NT$17)),0)</f>
        <v/>
      </c>
      <c r="G17" s="228">
        <f>IF(AND(3&gt;=$NR$17,3&lt;=$NS$17),IF($NP$17="Single_Point",IF(3=$NR$17,$NN$17,0),IF($NP$17="Bell_Curve",$NN$17*(3-$NR$17+1)*($NS$17-3+1)/$NU$17,$NN$17/$NT$17)),0)</f>
        <v/>
      </c>
      <c r="H17" s="228">
        <f>IF(AND(4&gt;=$NR$17,4&lt;=$NS$17),IF($NP$17="Single_Point",IF(4=$NR$17,$NN$17,0),IF($NP$17="Bell_Curve",$NN$17*(4-$NR$17+1)*($NS$17-4+1)/$NU$17,$NN$17/$NT$17)),0)</f>
        <v/>
      </c>
      <c r="I17" s="228">
        <f>IF(AND(5&gt;=$NR$17,5&lt;=$NS$17),IF($NP$17="Single_Point",IF(5=$NR$17,$NN$17,0),IF($NP$17="Bell_Curve",$NN$17*(5-$NR$17+1)*($NS$17-5+1)/$NU$17,$NN$17/$NT$17)),0)</f>
        <v/>
      </c>
      <c r="J17" s="228">
        <f>IF(AND(6&gt;=$NR$17,6&lt;=$NS$17),IF($NP$17="Single_Point",IF(6=$NR$17,$NN$17,0),IF($NP$17="Bell_Curve",$NN$17*(6-$NR$17+1)*($NS$17-6+1)/$NU$17,$NN$17/$NT$17)),0)</f>
        <v/>
      </c>
      <c r="K17" s="228">
        <f>IF(AND(7&gt;=$NR$17,7&lt;=$NS$17),IF($NP$17="Single_Point",IF(7=$NR$17,$NN$17,0),IF($NP$17="Bell_Curve",$NN$17*(7-$NR$17+1)*($NS$17-7+1)/$NU$17,$NN$17/$NT$17)),0)</f>
        <v/>
      </c>
      <c r="L17" s="228">
        <f>IF(AND(8&gt;=$NR$17,8&lt;=$NS$17),IF($NP$17="Single_Point",IF(8=$NR$17,$NN$17,0),IF($NP$17="Bell_Curve",$NN$17*(8-$NR$17+1)*($NS$17-8+1)/$NU$17,$NN$17/$NT$17)),0)</f>
        <v/>
      </c>
      <c r="M17" s="228">
        <f>IF(AND(9&gt;=$NR$17,9&lt;=$NS$17),IF($NP$17="Single_Point",IF(9=$NR$17,$NN$17,0),IF($NP$17="Bell_Curve",$NN$17*(9-$NR$17+1)*($NS$17-9+1)/$NU$17,$NN$17/$NT$17)),0)</f>
        <v/>
      </c>
      <c r="N17" s="228">
        <f>IF(AND(10&gt;=$NR$17,10&lt;=$NS$17),IF($NP$17="Single_Point",IF(10=$NR$17,$NN$17,0),IF($NP$17="Bell_Curve",$NN$17*(10-$NR$17+1)*($NS$17-10+1)/$NU$17,$NN$17/$NT$17)),0)</f>
        <v/>
      </c>
      <c r="O17" s="228">
        <f>IF(AND(11&gt;=$NR$17,11&lt;=$NS$17),IF($NP$17="Single_Point",IF(11=$NR$17,$NN$17,0),IF($NP$17="Bell_Curve",$NN$17*(11-$NR$17+1)*($NS$17-11+1)/$NU$17,$NN$17/$NT$17)),0)</f>
        <v/>
      </c>
      <c r="P17" s="228">
        <f>IF(AND(12&gt;=$NR$17,12&lt;=$NS$17),IF($NP$17="Single_Point",IF(12=$NR$17,$NN$17,0),IF($NP$17="Bell_Curve",$NN$17*(12-$NR$17+1)*($NS$17-12+1)/$NU$17,$NN$17/$NT$17)),0)</f>
        <v/>
      </c>
      <c r="Q17" s="228">
        <f>IF(AND(13&gt;=$NR$17,13&lt;=$NS$17),IF($NP$17="Single_Point",IF(13=$NR$17,$NN$17,0),IF($NP$17="Bell_Curve",$NN$17*(13-$NR$17+1)*($NS$17-13+1)/$NU$17,$NN$17/$NT$17)),0)</f>
        <v/>
      </c>
      <c r="R17" s="228">
        <f>IF(AND(14&gt;=$NR$17,14&lt;=$NS$17),IF($NP$17="Single_Point",IF(14=$NR$17,$NN$17,0),IF($NP$17="Bell_Curve",$NN$17*(14-$NR$17+1)*($NS$17-14+1)/$NU$17,$NN$17/$NT$17)),0)</f>
        <v/>
      </c>
      <c r="S17" s="228">
        <f>IF(AND(15&gt;=$NR$17,15&lt;=$NS$17),IF($NP$17="Single_Point",IF(15=$NR$17,$NN$17,0),IF($NP$17="Bell_Curve",$NN$17*(15-$NR$17+1)*($NS$17-15+1)/$NU$17,$NN$17/$NT$17)),0)</f>
        <v/>
      </c>
      <c r="T17" s="228">
        <f>IF(AND(16&gt;=$NR$17,16&lt;=$NS$17),IF($NP$17="Single_Point",IF(16=$NR$17,$NN$17,0),IF($NP$17="Bell_Curve",$NN$17*(16-$NR$17+1)*($NS$17-16+1)/$NU$17,$NN$17/$NT$17)),0)</f>
        <v/>
      </c>
      <c r="U17" s="228">
        <f>IF(AND(17&gt;=$NR$17,17&lt;=$NS$17),IF($NP$17="Single_Point",IF(17=$NR$17,$NN$17,0),IF($NP$17="Bell_Curve",$NN$17*(17-$NR$17+1)*($NS$17-17+1)/$NU$17,$NN$17/$NT$17)),0)</f>
        <v/>
      </c>
      <c r="V17" s="228">
        <f>IF(AND(18&gt;=$NR$17,18&lt;=$NS$17),IF($NP$17="Single_Point",IF(18=$NR$17,$NN$17,0),IF($NP$17="Bell_Curve",$NN$17*(18-$NR$17+1)*($NS$17-18+1)/$NU$17,$NN$17/$NT$17)),0)</f>
        <v/>
      </c>
      <c r="W17" s="228">
        <f>IF(AND(19&gt;=$NR$17,19&lt;=$NS$17),IF($NP$17="Single_Point",IF(19=$NR$17,$NN$17,0),IF($NP$17="Bell_Curve",$NN$17*(19-$NR$17+1)*($NS$17-19+1)/$NU$17,$NN$17/$NT$17)),0)</f>
        <v/>
      </c>
      <c r="X17" s="228">
        <f>IF(AND(20&gt;=$NR$17,20&lt;=$NS$17),IF($NP$17="Single_Point",IF(20=$NR$17,$NN$17,0),IF($NP$17="Bell_Curve",$NN$17*(20-$NR$17+1)*($NS$17-20+1)/$NU$17,$NN$17/$NT$17)),0)</f>
        <v/>
      </c>
      <c r="Y17" s="228">
        <f>IF(AND(21&gt;=$NR$17,21&lt;=$NS$17),IF($NP$17="Single_Point",IF(21=$NR$17,$NN$17,0),IF($NP$17="Bell_Curve",$NN$17*(21-$NR$17+1)*($NS$17-21+1)/$NU$17,$NN$17/$NT$17)),0)</f>
        <v/>
      </c>
      <c r="Z17" s="228">
        <f>IF(AND(22&gt;=$NR$17,22&lt;=$NS$17),IF($NP$17="Single_Point",IF(22=$NR$17,$NN$17,0),IF($NP$17="Bell_Curve",$NN$17*(22-$NR$17+1)*($NS$17-22+1)/$NU$17,$NN$17/$NT$17)),0)</f>
        <v/>
      </c>
      <c r="AA17" s="228">
        <f>IF(AND(23&gt;=$NR$17,23&lt;=$NS$17),IF($NP$17="Single_Point",IF(23=$NR$17,$NN$17,0),IF($NP$17="Bell_Curve",$NN$17*(23-$NR$17+1)*($NS$17-23+1)/$NU$17,$NN$17/$NT$17)),0)</f>
        <v/>
      </c>
      <c r="AB17" s="228">
        <f>IF(AND(24&gt;=$NR$17,24&lt;=$NS$17),IF($NP$17="Single_Point",IF(24=$NR$17,$NN$17,0),IF($NP$17="Bell_Curve",$NN$17*(24-$NR$17+1)*($NS$17-24+1)/$NU$17,$NN$17/$NT$17)),0)</f>
        <v/>
      </c>
      <c r="AC17" s="228">
        <f>IF(AND(25&gt;=$NR$17,25&lt;=$NS$17),IF($NP$17="Single_Point",IF(25=$NR$17,$NN$17,0),IF($NP$17="Bell_Curve",$NN$17*(25-$NR$17+1)*($NS$17-25+1)/$NU$17,$NN$17/$NT$17)),0)</f>
        <v/>
      </c>
      <c r="AD17" s="228">
        <f>IF(AND(26&gt;=$NR$17,26&lt;=$NS$17),IF($NP$17="Single_Point",IF(26=$NR$17,$NN$17,0),IF($NP$17="Bell_Curve",$NN$17*(26-$NR$17+1)*($NS$17-26+1)/$NU$17,$NN$17/$NT$17)),0)</f>
        <v/>
      </c>
      <c r="AE17" s="228">
        <f>IF(AND(27&gt;=$NR$17,27&lt;=$NS$17),IF($NP$17="Single_Point",IF(27=$NR$17,$NN$17,0),IF($NP$17="Bell_Curve",$NN$17*(27-$NR$17+1)*($NS$17-27+1)/$NU$17,$NN$17/$NT$17)),0)</f>
        <v/>
      </c>
      <c r="AF17" s="228">
        <f>IF(AND(28&gt;=$NR$17,28&lt;=$NS$17),IF($NP$17="Single_Point",IF(28=$NR$17,$NN$17,0),IF($NP$17="Bell_Curve",$NN$17*(28-$NR$17+1)*($NS$17-28+1)/$NU$17,$NN$17/$NT$17)),0)</f>
        <v/>
      </c>
      <c r="AG17" s="228">
        <f>IF(AND(29&gt;=$NR$17,29&lt;=$NS$17),IF($NP$17="Single_Point",IF(29=$NR$17,$NN$17,0),IF($NP$17="Bell_Curve",$NN$17*(29-$NR$17+1)*($NS$17-29+1)/$NU$17,$NN$17/$NT$17)),0)</f>
        <v/>
      </c>
      <c r="AH17" s="228">
        <f>IF(AND(30&gt;=$NR$17,30&lt;=$NS$17),IF($NP$17="Single_Point",IF(30=$NR$17,$NN$17,0),IF($NP$17="Bell_Curve",$NN$17*(30-$NR$17+1)*($NS$17-30+1)/$NU$17,$NN$17/$NT$17)),0)</f>
        <v/>
      </c>
      <c r="AI17" s="228">
        <f>IF(AND(31&gt;=$NR$17,31&lt;=$NS$17),IF($NP$17="Single_Point",IF(31=$NR$17,$NN$17,0),IF($NP$17="Bell_Curve",$NN$17*(31-$NR$17+1)*($NS$17-31+1)/$NU$17,$NN$17/$NT$17)),0)</f>
        <v/>
      </c>
      <c r="AJ17" s="228">
        <f>IF(AND(32&gt;=$NR$17,32&lt;=$NS$17),IF($NP$17="Single_Point",IF(32=$NR$17,$NN$17,0),IF($NP$17="Bell_Curve",$NN$17*(32-$NR$17+1)*($NS$17-32+1)/$NU$17,$NN$17/$NT$17)),0)</f>
        <v/>
      </c>
      <c r="AK17" s="228">
        <f>IF(AND(33&gt;=$NR$17,33&lt;=$NS$17),IF($NP$17="Single_Point",IF(33=$NR$17,$NN$17,0),IF($NP$17="Bell_Curve",$NN$17*(33-$NR$17+1)*($NS$17-33+1)/$NU$17,$NN$17/$NT$17)),0)</f>
        <v/>
      </c>
      <c r="AL17" s="228">
        <f>IF(AND(34&gt;=$NR$17,34&lt;=$NS$17),IF($NP$17="Single_Point",IF(34=$NR$17,$NN$17,0),IF($NP$17="Bell_Curve",$NN$17*(34-$NR$17+1)*($NS$17-34+1)/$NU$17,$NN$17/$NT$17)),0)</f>
        <v/>
      </c>
      <c r="AM17" s="228">
        <f>IF(AND(35&gt;=$NR$17,35&lt;=$NS$17),IF($NP$17="Single_Point",IF(35=$NR$17,$NN$17,0),IF($NP$17="Bell_Curve",$NN$17*(35-$NR$17+1)*($NS$17-35+1)/$NU$17,$NN$17/$NT$17)),0)</f>
        <v/>
      </c>
      <c r="AN17" s="228">
        <f>IF(AND(36&gt;=$NR$17,36&lt;=$NS$17),IF($NP$17="Single_Point",IF(36=$NR$17,$NN$17,0),IF($NP$17="Bell_Curve",$NN$17*(36-$NR$17+1)*($NS$17-36+1)/$NU$17,$NN$17/$NT$17)),0)</f>
        <v/>
      </c>
      <c r="AO17" s="228">
        <f>IF(AND(37&gt;=$NR$17,37&lt;=$NS$17),IF($NP$17="Single_Point",IF(37=$NR$17,$NN$17,0),IF($NP$17="Bell_Curve",$NN$17*(37-$NR$17+1)*($NS$17-37+1)/$NU$17,$NN$17/$NT$17)),0)</f>
        <v/>
      </c>
      <c r="AP17" s="228">
        <f>IF(AND(38&gt;=$NR$17,38&lt;=$NS$17),IF($NP$17="Single_Point",IF(38=$NR$17,$NN$17,0),IF($NP$17="Bell_Curve",$NN$17*(38-$NR$17+1)*($NS$17-38+1)/$NU$17,$NN$17/$NT$17)),0)</f>
        <v/>
      </c>
      <c r="AQ17" s="228">
        <f>IF(AND(39&gt;=$NR$17,39&lt;=$NS$17),IF($NP$17="Single_Point",IF(39=$NR$17,$NN$17,0),IF($NP$17="Bell_Curve",$NN$17*(39-$NR$17+1)*($NS$17-39+1)/$NU$17,$NN$17/$NT$17)),0)</f>
        <v/>
      </c>
      <c r="AR17" s="228">
        <f>IF(AND(40&gt;=$NR$17,40&lt;=$NS$17),IF($NP$17="Single_Point",IF(40=$NR$17,$NN$17,0),IF($NP$17="Bell_Curve",$NN$17*(40-$NR$17+1)*($NS$17-40+1)/$NU$17,$NN$17/$NT$17)),0)</f>
        <v/>
      </c>
      <c r="AS17" s="228">
        <f>IF(AND(41&gt;=$NR$17,41&lt;=$NS$17),IF($NP$17="Single_Point",IF(41=$NR$17,$NN$17,0),IF($NP$17="Bell_Curve",$NN$17*(41-$NR$17+1)*($NS$17-41+1)/$NU$17,$NN$17/$NT$17)),0)</f>
        <v/>
      </c>
      <c r="AT17" s="228">
        <f>IF(AND(42&gt;=$NR$17,42&lt;=$NS$17),IF($NP$17="Single_Point",IF(42=$NR$17,$NN$17,0),IF($NP$17="Bell_Curve",$NN$17*(42-$NR$17+1)*($NS$17-42+1)/$NU$17,$NN$17/$NT$17)),0)</f>
        <v/>
      </c>
      <c r="AU17" s="228">
        <f>IF(AND(43&gt;=$NR$17,43&lt;=$NS$17),IF($NP$17="Single_Point",IF(43=$NR$17,$NN$17,0),IF($NP$17="Bell_Curve",$NN$17*(43-$NR$17+1)*($NS$17-43+1)/$NU$17,$NN$17/$NT$17)),0)</f>
        <v/>
      </c>
      <c r="AV17" s="228">
        <f>IF(AND(44&gt;=$NR$17,44&lt;=$NS$17),IF($NP$17="Single_Point",IF(44=$NR$17,$NN$17,0),IF($NP$17="Bell_Curve",$NN$17*(44-$NR$17+1)*($NS$17-44+1)/$NU$17,$NN$17/$NT$17)),0)</f>
        <v/>
      </c>
      <c r="AW17" s="228">
        <f>IF(AND(45&gt;=$NR$17,45&lt;=$NS$17),IF($NP$17="Single_Point",IF(45=$NR$17,$NN$17,0),IF($NP$17="Bell_Curve",$NN$17*(45-$NR$17+1)*($NS$17-45+1)/$NU$17,$NN$17/$NT$17)),0)</f>
        <v/>
      </c>
      <c r="AX17" s="228">
        <f>IF(AND(46&gt;=$NR$17,46&lt;=$NS$17),IF($NP$17="Single_Point",IF(46=$NR$17,$NN$17,0),IF($NP$17="Bell_Curve",$NN$17*(46-$NR$17+1)*($NS$17-46+1)/$NU$17,$NN$17/$NT$17)),0)</f>
        <v/>
      </c>
      <c r="AY17" s="228">
        <f>IF(AND(47&gt;=$NR$17,47&lt;=$NS$17),IF($NP$17="Single_Point",IF(47=$NR$17,$NN$17,0),IF($NP$17="Bell_Curve",$NN$17*(47-$NR$17+1)*($NS$17-47+1)/$NU$17,$NN$17/$NT$17)),0)</f>
        <v/>
      </c>
      <c r="AZ17" s="228">
        <f>IF(AND(48&gt;=$NR$17,48&lt;=$NS$17),IF($NP$17="Single_Point",IF(48=$NR$17,$NN$17,0),IF($NP$17="Bell_Curve",$NN$17*(48-$NR$17+1)*($NS$17-48+1)/$NU$17,$NN$17/$NT$17)),0)</f>
        <v/>
      </c>
      <c r="BA17" s="228">
        <f>IF(AND(49&gt;=$NR$17,49&lt;=$NS$17),IF($NP$17="Single_Point",IF(49=$NR$17,$NN$17,0),IF($NP$17="Bell_Curve",$NN$17*(49-$NR$17+1)*($NS$17-49+1)/$NU$17,$NN$17/$NT$17)),0)</f>
        <v/>
      </c>
      <c r="BB17" s="228">
        <f>IF(AND(50&gt;=$NR$17,50&lt;=$NS$17),IF($NP$17="Single_Point",IF(50=$NR$17,$NN$17,0),IF($NP$17="Bell_Curve",$NN$17*(50-$NR$17+1)*($NS$17-50+1)/$NU$17,$NN$17/$NT$17)),0)</f>
        <v/>
      </c>
      <c r="BC17" s="228">
        <f>IF(AND(51&gt;=$NR$17,51&lt;=$NS$17),IF($NP$17="Single_Point",IF(51=$NR$17,$NN$17,0),IF($NP$17="Bell_Curve",$NN$17*(51-$NR$17+1)*($NS$17-51+1)/$NU$17,$NN$17/$NT$17)),0)</f>
        <v/>
      </c>
      <c r="BD17" s="228">
        <f>IF(AND(52&gt;=$NR$17,52&lt;=$NS$17),IF($NP$17="Single_Point",IF(52=$NR$17,$NN$17,0),IF($NP$17="Bell_Curve",$NN$17*(52-$NR$17+1)*($NS$17-52+1)/$NU$17,$NN$17/$NT$17)),0)</f>
        <v/>
      </c>
      <c r="BE17" s="228">
        <f>IF(AND(53&gt;=$NR$17,53&lt;=$NS$17),IF($NP$17="Single_Point",IF(53=$NR$17,$NN$17,0),IF($NP$17="Bell_Curve",$NN$17*(53-$NR$17+1)*($NS$17-53+1)/$NU$17,$NN$17/$NT$17)),0)</f>
        <v/>
      </c>
      <c r="BF17" s="228">
        <f>IF(AND(54&gt;=$NR$17,54&lt;=$NS$17),IF($NP$17="Single_Point",IF(54=$NR$17,$NN$17,0),IF($NP$17="Bell_Curve",$NN$17*(54-$NR$17+1)*($NS$17-54+1)/$NU$17,$NN$17/$NT$17)),0)</f>
        <v/>
      </c>
      <c r="BG17" s="228">
        <f>IF(AND(55&gt;=$NR$17,55&lt;=$NS$17),IF($NP$17="Single_Point",IF(55=$NR$17,$NN$17,0),IF($NP$17="Bell_Curve",$NN$17*(55-$NR$17+1)*($NS$17-55+1)/$NU$17,$NN$17/$NT$17)),0)</f>
        <v/>
      </c>
      <c r="BH17" s="228">
        <f>IF(AND(56&gt;=$NR$17,56&lt;=$NS$17),IF($NP$17="Single_Point",IF(56=$NR$17,$NN$17,0),IF($NP$17="Bell_Curve",$NN$17*(56-$NR$17+1)*($NS$17-56+1)/$NU$17,$NN$17/$NT$17)),0)</f>
        <v/>
      </c>
      <c r="BI17" s="228">
        <f>IF(AND(57&gt;=$NR$17,57&lt;=$NS$17),IF($NP$17="Single_Point",IF(57=$NR$17,$NN$17,0),IF($NP$17="Bell_Curve",$NN$17*(57-$NR$17+1)*($NS$17-57+1)/$NU$17,$NN$17/$NT$17)),0)</f>
        <v/>
      </c>
      <c r="BJ17" s="228">
        <f>IF(AND(58&gt;=$NR$17,58&lt;=$NS$17),IF($NP$17="Single_Point",IF(58=$NR$17,$NN$17,0),IF($NP$17="Bell_Curve",$NN$17*(58-$NR$17+1)*($NS$17-58+1)/$NU$17,$NN$17/$NT$17)),0)</f>
        <v/>
      </c>
      <c r="BK17" s="228">
        <f>IF(AND(59&gt;=$NR$17,59&lt;=$NS$17),IF($NP$17="Single_Point",IF(59=$NR$17,$NN$17,0),IF($NP$17="Bell_Curve",$NN$17*(59-$NR$17+1)*($NS$17-59+1)/$NU$17,$NN$17/$NT$17)),0)</f>
        <v/>
      </c>
      <c r="BL17" s="228">
        <f>IF(AND(60&gt;=$NR$17,60&lt;=$NS$17),IF($NP$17="Single_Point",IF(60=$NR$17,$NN$17,0),IF($NP$17="Bell_Curve",$NN$17*(60-$NR$17+1)*($NS$17-60+1)/$NU$17,$NN$17/$NT$17)),0)</f>
        <v/>
      </c>
      <c r="BM17" s="228">
        <f>IF(AND(61&gt;=$NR$17,61&lt;=$NS$17),IF($NP$17="Single_Point",IF(61=$NR$17,$NN$17,0),IF($NP$17="Bell_Curve",$NN$17*(61-$NR$17+1)*($NS$17-61+1)/$NU$17,$NN$17/$NT$17)),0)</f>
        <v/>
      </c>
      <c r="BN17" s="228">
        <f>IF(AND(62&gt;=$NR$17,62&lt;=$NS$17),IF($NP$17="Single_Point",IF(62=$NR$17,$NN$17,0),IF($NP$17="Bell_Curve",$NN$17*(62-$NR$17+1)*($NS$17-62+1)/$NU$17,$NN$17/$NT$17)),0)</f>
        <v/>
      </c>
      <c r="BO17" s="228">
        <f>IF(AND(63&gt;=$NR$17,63&lt;=$NS$17),IF($NP$17="Single_Point",IF(63=$NR$17,$NN$17,0),IF($NP$17="Bell_Curve",$NN$17*(63-$NR$17+1)*($NS$17-63+1)/$NU$17,$NN$17/$NT$17)),0)</f>
        <v/>
      </c>
      <c r="BP17" s="228">
        <f>IF(AND(64&gt;=$NR$17,64&lt;=$NS$17),IF($NP$17="Single_Point",IF(64=$NR$17,$NN$17,0),IF($NP$17="Bell_Curve",$NN$17*(64-$NR$17+1)*($NS$17-64+1)/$NU$17,$NN$17/$NT$17)),0)</f>
        <v/>
      </c>
      <c r="BQ17" s="228">
        <f>IF(AND(65&gt;=$NR$17,65&lt;=$NS$17),IF($NP$17="Single_Point",IF(65=$NR$17,$NN$17,0),IF($NP$17="Bell_Curve",$NN$17*(65-$NR$17+1)*($NS$17-65+1)/$NU$17,$NN$17/$NT$17)),0)</f>
        <v/>
      </c>
      <c r="BR17" s="228">
        <f>IF(AND(66&gt;=$NR$17,66&lt;=$NS$17),IF($NP$17="Single_Point",IF(66=$NR$17,$NN$17,0),IF($NP$17="Bell_Curve",$NN$17*(66-$NR$17+1)*($NS$17-66+1)/$NU$17,$NN$17/$NT$17)),0)</f>
        <v/>
      </c>
      <c r="BS17" s="228">
        <f>IF(AND(67&gt;=$NR$17,67&lt;=$NS$17),IF($NP$17="Single_Point",IF(67=$NR$17,$NN$17,0),IF($NP$17="Bell_Curve",$NN$17*(67-$NR$17+1)*($NS$17-67+1)/$NU$17,$NN$17/$NT$17)),0)</f>
        <v/>
      </c>
      <c r="BT17" s="228">
        <f>IF(AND(68&gt;=$NR$17,68&lt;=$NS$17),IF($NP$17="Single_Point",IF(68=$NR$17,$NN$17,0),IF($NP$17="Bell_Curve",$NN$17*(68-$NR$17+1)*($NS$17-68+1)/$NU$17,$NN$17/$NT$17)),0)</f>
        <v/>
      </c>
      <c r="BU17" s="228">
        <f>IF(AND(69&gt;=$NR$17,69&lt;=$NS$17),IF($NP$17="Single_Point",IF(69=$NR$17,$NN$17,0),IF($NP$17="Bell_Curve",$NN$17*(69-$NR$17+1)*($NS$17-69+1)/$NU$17,$NN$17/$NT$17)),0)</f>
        <v/>
      </c>
      <c r="BV17" s="228">
        <f>IF(AND(70&gt;=$NR$17,70&lt;=$NS$17),IF($NP$17="Single_Point",IF(70=$NR$17,$NN$17,0),IF($NP$17="Bell_Curve",$NN$17*(70-$NR$17+1)*($NS$17-70+1)/$NU$17,$NN$17/$NT$17)),0)</f>
        <v/>
      </c>
      <c r="BW17" s="228">
        <f>IF(AND(71&gt;=$NR$17,71&lt;=$NS$17),IF($NP$17="Single_Point",IF(71=$NR$17,$NN$17,0),IF($NP$17="Bell_Curve",$NN$17*(71-$NR$17+1)*($NS$17-71+1)/$NU$17,$NN$17/$NT$17)),0)</f>
        <v/>
      </c>
      <c r="BX17" s="228">
        <f>IF(AND(72&gt;=$NR$17,72&lt;=$NS$17),IF($NP$17="Single_Point",IF(72=$NR$17,$NN$17,0),IF($NP$17="Bell_Curve",$NN$17*(72-$NR$17+1)*($NS$17-72+1)/$NU$17,$NN$17/$NT$17)),0)</f>
        <v/>
      </c>
      <c r="BY17" s="228">
        <f>IF(AND(73&gt;=$NR$17,73&lt;=$NS$17),IF($NP$17="Single_Point",IF(73=$NR$17,$NN$17,0),IF($NP$17="Bell_Curve",$NN$17*(73-$NR$17+1)*($NS$17-73+1)/$NU$17,$NN$17/$NT$17)),0)</f>
        <v/>
      </c>
      <c r="BZ17" s="228">
        <f>IF(AND(74&gt;=$NR$17,74&lt;=$NS$17),IF($NP$17="Single_Point",IF(74=$NR$17,$NN$17,0),IF($NP$17="Bell_Curve",$NN$17*(74-$NR$17+1)*($NS$17-74+1)/$NU$17,$NN$17/$NT$17)),0)</f>
        <v/>
      </c>
      <c r="CA17" s="228">
        <f>IF(AND(75&gt;=$NR$17,75&lt;=$NS$17),IF($NP$17="Single_Point",IF(75=$NR$17,$NN$17,0),IF($NP$17="Bell_Curve",$NN$17*(75-$NR$17+1)*($NS$17-75+1)/$NU$17,$NN$17/$NT$17)),0)</f>
        <v/>
      </c>
      <c r="CB17" s="228">
        <f>IF(AND(76&gt;=$NR$17,76&lt;=$NS$17),IF($NP$17="Single_Point",IF(76=$NR$17,$NN$17,0),IF($NP$17="Bell_Curve",$NN$17*(76-$NR$17+1)*($NS$17-76+1)/$NU$17,$NN$17/$NT$17)),0)</f>
        <v/>
      </c>
      <c r="CC17" s="228">
        <f>IF(AND(77&gt;=$NR$17,77&lt;=$NS$17),IF($NP$17="Single_Point",IF(77=$NR$17,$NN$17,0),IF($NP$17="Bell_Curve",$NN$17*(77-$NR$17+1)*($NS$17-77+1)/$NU$17,$NN$17/$NT$17)),0)</f>
        <v/>
      </c>
      <c r="CD17" s="228">
        <f>IF(AND(78&gt;=$NR$17,78&lt;=$NS$17),IF($NP$17="Single_Point",IF(78=$NR$17,$NN$17,0),IF($NP$17="Bell_Curve",$NN$17*(78-$NR$17+1)*($NS$17-78+1)/$NU$17,$NN$17/$NT$17)),0)</f>
        <v/>
      </c>
      <c r="CE17" s="228">
        <f>IF(AND(79&gt;=$NR$17,79&lt;=$NS$17),IF($NP$17="Single_Point",IF(79=$NR$17,$NN$17,0),IF($NP$17="Bell_Curve",$NN$17*(79-$NR$17+1)*($NS$17-79+1)/$NU$17,$NN$17/$NT$17)),0)</f>
        <v/>
      </c>
      <c r="CF17" s="228">
        <f>IF(AND(80&gt;=$NR$17,80&lt;=$NS$17),IF($NP$17="Single_Point",IF(80=$NR$17,$NN$17,0),IF($NP$17="Bell_Curve",$NN$17*(80-$NR$17+1)*($NS$17-80+1)/$NU$17,$NN$17/$NT$17)),0)</f>
        <v/>
      </c>
      <c r="CG17" s="228">
        <f>IF(AND(81&gt;=$NR$17,81&lt;=$NS$17),IF($NP$17="Single_Point",IF(81=$NR$17,$NN$17,0),IF($NP$17="Bell_Curve",$NN$17*(81-$NR$17+1)*($NS$17-81+1)/$NU$17,$NN$17/$NT$17)),0)</f>
        <v/>
      </c>
      <c r="CH17" s="228">
        <f>IF(AND(82&gt;=$NR$17,82&lt;=$NS$17),IF($NP$17="Single_Point",IF(82=$NR$17,$NN$17,0),IF($NP$17="Bell_Curve",$NN$17*(82-$NR$17+1)*($NS$17-82+1)/$NU$17,$NN$17/$NT$17)),0)</f>
        <v/>
      </c>
      <c r="CI17" s="228">
        <f>IF(AND(83&gt;=$NR$17,83&lt;=$NS$17),IF($NP$17="Single_Point",IF(83=$NR$17,$NN$17,0),IF($NP$17="Bell_Curve",$NN$17*(83-$NR$17+1)*($NS$17-83+1)/$NU$17,$NN$17/$NT$17)),0)</f>
        <v/>
      </c>
      <c r="CJ17" s="228">
        <f>IF(AND(84&gt;=$NR$17,84&lt;=$NS$17),IF($NP$17="Single_Point",IF(84=$NR$17,$NN$17,0),IF($NP$17="Bell_Curve",$NN$17*(84-$NR$17+1)*($NS$17-84+1)/$NU$17,$NN$17/$NT$17)),0)</f>
        <v/>
      </c>
      <c r="CK17" s="228">
        <f>IF(AND(85&gt;=$NR$17,85&lt;=$NS$17),IF($NP$17="Single_Point",IF(85=$NR$17,$NN$17,0),IF($NP$17="Bell_Curve",$NN$17*(85-$NR$17+1)*($NS$17-85+1)/$NU$17,$NN$17/$NT$17)),0)</f>
        <v/>
      </c>
      <c r="CL17" s="228">
        <f>IF(AND(86&gt;=$NR$17,86&lt;=$NS$17),IF($NP$17="Single_Point",IF(86=$NR$17,$NN$17,0),IF($NP$17="Bell_Curve",$NN$17*(86-$NR$17+1)*($NS$17-86+1)/$NU$17,$NN$17/$NT$17)),0)</f>
        <v/>
      </c>
      <c r="CM17" s="228">
        <f>IF(AND(87&gt;=$NR$17,87&lt;=$NS$17),IF($NP$17="Single_Point",IF(87=$NR$17,$NN$17,0),IF($NP$17="Bell_Curve",$NN$17*(87-$NR$17+1)*($NS$17-87+1)/$NU$17,$NN$17/$NT$17)),0)</f>
        <v/>
      </c>
      <c r="CN17" s="228">
        <f>IF(AND(88&gt;=$NR$17,88&lt;=$NS$17),IF($NP$17="Single_Point",IF(88=$NR$17,$NN$17,0),IF($NP$17="Bell_Curve",$NN$17*(88-$NR$17+1)*($NS$17-88+1)/$NU$17,$NN$17/$NT$17)),0)</f>
        <v/>
      </c>
      <c r="CO17" s="228">
        <f>IF(AND(89&gt;=$NR$17,89&lt;=$NS$17),IF($NP$17="Single_Point",IF(89=$NR$17,$NN$17,0),IF($NP$17="Bell_Curve",$NN$17*(89-$NR$17+1)*($NS$17-89+1)/$NU$17,$NN$17/$NT$17)),0)</f>
        <v/>
      </c>
      <c r="CP17" s="228">
        <f>IF(AND(90&gt;=$NR$17,90&lt;=$NS$17),IF($NP$17="Single_Point",IF(90=$NR$17,$NN$17,0),IF($NP$17="Bell_Curve",$NN$17*(90-$NR$17+1)*($NS$17-90+1)/$NU$17,$NN$17/$NT$17)),0)</f>
        <v/>
      </c>
      <c r="CQ17" s="228">
        <f>IF(AND(91&gt;=$NR$17,91&lt;=$NS$17),IF($NP$17="Single_Point",IF(91=$NR$17,$NN$17,0),IF($NP$17="Bell_Curve",$NN$17*(91-$NR$17+1)*($NS$17-91+1)/$NU$17,$NN$17/$NT$17)),0)</f>
        <v/>
      </c>
      <c r="CR17" s="228">
        <f>IF(AND(92&gt;=$NR$17,92&lt;=$NS$17),IF($NP$17="Single_Point",IF(92=$NR$17,$NN$17,0),IF($NP$17="Bell_Curve",$NN$17*(92-$NR$17+1)*($NS$17-92+1)/$NU$17,$NN$17/$NT$17)),0)</f>
        <v/>
      </c>
      <c r="CS17" s="228">
        <f>IF(AND(93&gt;=$NR$17,93&lt;=$NS$17),IF($NP$17="Single_Point",IF(93=$NR$17,$NN$17,0),IF($NP$17="Bell_Curve",$NN$17*(93-$NR$17+1)*($NS$17-93+1)/$NU$17,$NN$17/$NT$17)),0)</f>
        <v/>
      </c>
      <c r="CT17" s="228">
        <f>IF(AND(94&gt;=$NR$17,94&lt;=$NS$17),IF($NP$17="Single_Point",IF(94=$NR$17,$NN$17,0),IF($NP$17="Bell_Curve",$NN$17*(94-$NR$17+1)*($NS$17-94+1)/$NU$17,$NN$17/$NT$17)),0)</f>
        <v/>
      </c>
      <c r="CU17" s="228">
        <f>IF(AND(95&gt;=$NR$17,95&lt;=$NS$17),IF($NP$17="Single_Point",IF(95=$NR$17,$NN$17,0),IF($NP$17="Bell_Curve",$NN$17*(95-$NR$17+1)*($NS$17-95+1)/$NU$17,$NN$17/$NT$17)),0)</f>
        <v/>
      </c>
      <c r="CV17" s="228">
        <f>IF(AND(96&gt;=$NR$17,96&lt;=$NS$17),IF($NP$17="Single_Point",IF(96=$NR$17,$NN$17,0),IF($NP$17="Bell_Curve",$NN$17*(96-$NR$17+1)*($NS$17-96+1)/$NU$17,$NN$17/$NT$17)),0)</f>
        <v/>
      </c>
      <c r="CW17" s="228">
        <f>IF(AND(97&gt;=$NR$17,97&lt;=$NS$17),IF($NP$17="Single_Point",IF(97=$NR$17,$NN$17,0),IF($NP$17="Bell_Curve",$NN$17*(97-$NR$17+1)*($NS$17-97+1)/$NU$17,$NN$17/$NT$17)),0)</f>
        <v/>
      </c>
      <c r="CX17" s="228">
        <f>IF(AND(98&gt;=$NR$17,98&lt;=$NS$17),IF($NP$17="Single_Point",IF(98=$NR$17,$NN$17,0),IF($NP$17="Bell_Curve",$NN$17*(98-$NR$17+1)*($NS$17-98+1)/$NU$17,$NN$17/$NT$17)),0)</f>
        <v/>
      </c>
      <c r="CY17" s="228">
        <f>IF(AND(99&gt;=$NR$17,99&lt;=$NS$17),IF($NP$17="Single_Point",IF(99=$NR$17,$NN$17,0),IF($NP$17="Bell_Curve",$NN$17*(99-$NR$17+1)*($NS$17-99+1)/$NU$17,$NN$17/$NT$17)),0)</f>
        <v/>
      </c>
      <c r="CZ17" s="228">
        <f>IF(AND(100&gt;=$NR$17,100&lt;=$NS$17),IF($NP$17="Single_Point",IF(100=$NR$17,$NN$17,0),IF($NP$17="Bell_Curve",$NN$17*(100-$NR$17+1)*($NS$17-100+1)/$NU$17,$NN$17/$NT$17)),0)</f>
        <v/>
      </c>
      <c r="DA17" s="228">
        <f>IF(AND(101&gt;=$NR$17,101&lt;=$NS$17),IF($NP$17="Single_Point",IF(101=$NR$17,$NN$17,0),IF($NP$17="Bell_Curve",$NN$17*(101-$NR$17+1)*($NS$17-101+1)/$NU$17,$NN$17/$NT$17)),0)</f>
        <v/>
      </c>
      <c r="DB17" s="228">
        <f>IF(AND(102&gt;=$NR$17,102&lt;=$NS$17),IF($NP$17="Single_Point",IF(102=$NR$17,$NN$17,0),IF($NP$17="Bell_Curve",$NN$17*(102-$NR$17+1)*($NS$17-102+1)/$NU$17,$NN$17/$NT$17)),0)</f>
        <v/>
      </c>
      <c r="DC17" s="228">
        <f>IF(AND(103&gt;=$NR$17,103&lt;=$NS$17),IF($NP$17="Single_Point",IF(103=$NR$17,$NN$17,0),IF($NP$17="Bell_Curve",$NN$17*(103-$NR$17+1)*($NS$17-103+1)/$NU$17,$NN$17/$NT$17)),0)</f>
        <v/>
      </c>
      <c r="DD17" s="228">
        <f>IF(AND(104&gt;=$NR$17,104&lt;=$NS$17),IF($NP$17="Single_Point",IF(104=$NR$17,$NN$17,0),IF($NP$17="Bell_Curve",$NN$17*(104-$NR$17+1)*($NS$17-104+1)/$NU$17,$NN$17/$NT$17)),0)</f>
        <v/>
      </c>
      <c r="DE17" s="228">
        <f>IF(AND(105&gt;=$NR$17,105&lt;=$NS$17),IF($NP$17="Single_Point",IF(105=$NR$17,$NN$17,0),IF($NP$17="Bell_Curve",$NN$17*(105-$NR$17+1)*($NS$17-105+1)/$NU$17,$NN$17/$NT$17)),0)</f>
        <v/>
      </c>
      <c r="DF17" s="228">
        <f>IF(AND(106&gt;=$NR$17,106&lt;=$NS$17),IF($NP$17="Single_Point",IF(106=$NR$17,$NN$17,0),IF($NP$17="Bell_Curve",$NN$17*(106-$NR$17+1)*($NS$17-106+1)/$NU$17,$NN$17/$NT$17)),0)</f>
        <v/>
      </c>
      <c r="DG17" s="228">
        <f>IF(AND(107&gt;=$NR$17,107&lt;=$NS$17),IF($NP$17="Single_Point",IF(107=$NR$17,$NN$17,0),IF($NP$17="Bell_Curve",$NN$17*(107-$NR$17+1)*($NS$17-107+1)/$NU$17,$NN$17/$NT$17)),0)</f>
        <v/>
      </c>
      <c r="DH17" s="228">
        <f>IF(AND(108&gt;=$NR$17,108&lt;=$NS$17),IF($NP$17="Single_Point",IF(108=$NR$17,$NN$17,0),IF($NP$17="Bell_Curve",$NN$17*(108-$NR$17+1)*($NS$17-108+1)/$NU$17,$NN$17/$NT$17)),0)</f>
        <v/>
      </c>
      <c r="DI17" s="228">
        <f>IF(AND(109&gt;=$NR$17,109&lt;=$NS$17),IF($NP$17="Single_Point",IF(109=$NR$17,$NN$17,0),IF($NP$17="Bell_Curve",$NN$17*(109-$NR$17+1)*($NS$17-109+1)/$NU$17,$NN$17/$NT$17)),0)</f>
        <v/>
      </c>
      <c r="DJ17" s="228">
        <f>IF(AND(110&gt;=$NR$17,110&lt;=$NS$17),IF($NP$17="Single_Point",IF(110=$NR$17,$NN$17,0),IF($NP$17="Bell_Curve",$NN$17*(110-$NR$17+1)*($NS$17-110+1)/$NU$17,$NN$17/$NT$17)),0)</f>
        <v/>
      </c>
      <c r="DK17" s="228">
        <f>IF(AND(111&gt;=$NR$17,111&lt;=$NS$17),IF($NP$17="Single_Point",IF(111=$NR$17,$NN$17,0),IF($NP$17="Bell_Curve",$NN$17*(111-$NR$17+1)*($NS$17-111+1)/$NU$17,$NN$17/$NT$17)),0)</f>
        <v/>
      </c>
      <c r="DL17" s="228">
        <f>IF(AND(112&gt;=$NR$17,112&lt;=$NS$17),IF($NP$17="Single_Point",IF(112=$NR$17,$NN$17,0),IF($NP$17="Bell_Curve",$NN$17*(112-$NR$17+1)*($NS$17-112+1)/$NU$17,$NN$17/$NT$17)),0)</f>
        <v/>
      </c>
      <c r="DM17" s="228">
        <f>IF(AND(113&gt;=$NR$17,113&lt;=$NS$17),IF($NP$17="Single_Point",IF(113=$NR$17,$NN$17,0),IF($NP$17="Bell_Curve",$NN$17*(113-$NR$17+1)*($NS$17-113+1)/$NU$17,$NN$17/$NT$17)),0)</f>
        <v/>
      </c>
      <c r="DN17" s="228">
        <f>IF(AND(114&gt;=$NR$17,114&lt;=$NS$17),IF($NP$17="Single_Point",IF(114=$NR$17,$NN$17,0),IF($NP$17="Bell_Curve",$NN$17*(114-$NR$17+1)*($NS$17-114+1)/$NU$17,$NN$17/$NT$17)),0)</f>
        <v/>
      </c>
      <c r="DO17" s="228">
        <f>IF(AND(115&gt;=$NR$17,115&lt;=$NS$17),IF($NP$17="Single_Point",IF(115=$NR$17,$NN$17,0),IF($NP$17="Bell_Curve",$NN$17*(115-$NR$17+1)*($NS$17-115+1)/$NU$17,$NN$17/$NT$17)),0)</f>
        <v/>
      </c>
      <c r="DP17" s="228">
        <f>IF(AND(116&gt;=$NR$17,116&lt;=$NS$17),IF($NP$17="Single_Point",IF(116=$NR$17,$NN$17,0),IF($NP$17="Bell_Curve",$NN$17*(116-$NR$17+1)*($NS$17-116+1)/$NU$17,$NN$17/$NT$17)),0)</f>
        <v/>
      </c>
      <c r="DQ17" s="228">
        <f>IF(AND(117&gt;=$NR$17,117&lt;=$NS$17),IF($NP$17="Single_Point",IF(117=$NR$17,$NN$17,0),IF($NP$17="Bell_Curve",$NN$17*(117-$NR$17+1)*($NS$17-117+1)/$NU$17,$NN$17/$NT$17)),0)</f>
        <v/>
      </c>
      <c r="DR17" s="228">
        <f>IF(AND(118&gt;=$NR$17,118&lt;=$NS$17),IF($NP$17="Single_Point",IF(118=$NR$17,$NN$17,0),IF($NP$17="Bell_Curve",$NN$17*(118-$NR$17+1)*($NS$17-118+1)/$NU$17,$NN$17/$NT$17)),0)</f>
        <v/>
      </c>
      <c r="DS17" s="228">
        <f>IF(AND(119&gt;=$NR$17,119&lt;=$NS$17),IF($NP$17="Single_Point",IF(119=$NR$17,$NN$17,0),IF($NP$17="Bell_Curve",$NN$17*(119-$NR$17+1)*($NS$17-119+1)/$NU$17,$NN$17/$NT$17)),0)</f>
        <v/>
      </c>
      <c r="DT17" s="228">
        <f>IF(AND(120&gt;=$NR$17,120&lt;=$NS$17),IF($NP$17="Single_Point",IF(120=$NR$17,$NN$17,0),IF($NP$17="Bell_Curve",$NN$17*(120-$NR$17+1)*($NS$17-120+1)/$NU$17,$NN$17/$NT$17)),0)</f>
        <v/>
      </c>
      <c r="DU17" s="228">
        <f>IF(AND(121&gt;=$NR$17,121&lt;=$NS$17),IF($NP$17="Single_Point",IF(121=$NR$17,$NN$17,0),IF($NP$17="Bell_Curve",$NN$17*(121-$NR$17+1)*($NS$17-121+1)/$NU$17,$NN$17/$NT$17)),0)</f>
        <v/>
      </c>
      <c r="DV17" s="228">
        <f>IF(AND(122&gt;=$NR$17,122&lt;=$NS$17),IF($NP$17="Single_Point",IF(122=$NR$17,$NN$17,0),IF($NP$17="Bell_Curve",$NN$17*(122-$NR$17+1)*($NS$17-122+1)/$NU$17,$NN$17/$NT$17)),0)</f>
        <v/>
      </c>
      <c r="DW17" s="228">
        <f>IF(AND(123&gt;=$NR$17,123&lt;=$NS$17),IF($NP$17="Single_Point",IF(123=$NR$17,$NN$17,0),IF($NP$17="Bell_Curve",$NN$17*(123-$NR$17+1)*($NS$17-123+1)/$NU$17,$NN$17/$NT$17)),0)</f>
        <v/>
      </c>
      <c r="DX17" s="228">
        <f>IF(AND(124&gt;=$NR$17,124&lt;=$NS$17),IF($NP$17="Single_Point",IF(124=$NR$17,$NN$17,0),IF($NP$17="Bell_Curve",$NN$17*(124-$NR$17+1)*($NS$17-124+1)/$NU$17,$NN$17/$NT$17)),0)</f>
        <v/>
      </c>
      <c r="DY17" s="228">
        <f>IF(AND(125&gt;=$NR$17,125&lt;=$NS$17),IF($NP$17="Single_Point",IF(125=$NR$17,$NN$17,0),IF($NP$17="Bell_Curve",$NN$17*(125-$NR$17+1)*($NS$17-125+1)/$NU$17,$NN$17/$NT$17)),0)</f>
        <v/>
      </c>
      <c r="DZ17" s="228">
        <f>IF(AND(126&gt;=$NR$17,126&lt;=$NS$17),IF($NP$17="Single_Point",IF(126=$NR$17,$NN$17,0),IF($NP$17="Bell_Curve",$NN$17*(126-$NR$17+1)*($NS$17-126+1)/$NU$17,$NN$17/$NT$17)),0)</f>
        <v/>
      </c>
      <c r="EA17" s="228">
        <f>IF(AND(127&gt;=$NR$17,127&lt;=$NS$17),IF($NP$17="Single_Point",IF(127=$NR$17,$NN$17,0),IF($NP$17="Bell_Curve",$NN$17*(127-$NR$17+1)*($NS$17-127+1)/$NU$17,$NN$17/$NT$17)),0)</f>
        <v/>
      </c>
      <c r="EB17" s="228">
        <f>IF(AND(128&gt;=$NR$17,128&lt;=$NS$17),IF($NP$17="Single_Point",IF(128=$NR$17,$NN$17,0),IF($NP$17="Bell_Curve",$NN$17*(128-$NR$17+1)*($NS$17-128+1)/$NU$17,$NN$17/$NT$17)),0)</f>
        <v/>
      </c>
      <c r="EC17" s="228">
        <f>IF(AND(129&gt;=$NR$17,129&lt;=$NS$17),IF($NP$17="Single_Point",IF(129=$NR$17,$NN$17,0),IF($NP$17="Bell_Curve",$NN$17*(129-$NR$17+1)*($NS$17-129+1)/$NU$17,$NN$17/$NT$17)),0)</f>
        <v/>
      </c>
      <c r="ED17" s="228">
        <f>IF(AND(130&gt;=$NR$17,130&lt;=$NS$17),IF($NP$17="Single_Point",IF(130=$NR$17,$NN$17,0),IF($NP$17="Bell_Curve",$NN$17*(130-$NR$17+1)*($NS$17-130+1)/$NU$17,$NN$17/$NT$17)),0)</f>
        <v/>
      </c>
      <c r="EE17" s="228">
        <f>IF(AND(131&gt;=$NR$17,131&lt;=$NS$17),IF($NP$17="Single_Point",IF(131=$NR$17,$NN$17,0),IF($NP$17="Bell_Curve",$NN$17*(131-$NR$17+1)*($NS$17-131+1)/$NU$17,$NN$17/$NT$17)),0)</f>
        <v/>
      </c>
      <c r="EF17" s="228">
        <f>IF(AND(132&gt;=$NR$17,132&lt;=$NS$17),IF($NP$17="Single_Point",IF(132=$NR$17,$NN$17,0),IF($NP$17="Bell_Curve",$NN$17*(132-$NR$17+1)*($NS$17-132+1)/$NU$17,$NN$17/$NT$17)),0)</f>
        <v/>
      </c>
      <c r="EG17" s="228">
        <f>IF(AND(133&gt;=$NR$17,133&lt;=$NS$17),IF($NP$17="Single_Point",IF(133=$NR$17,$NN$17,0),IF($NP$17="Bell_Curve",$NN$17*(133-$NR$17+1)*($NS$17-133+1)/$NU$17,$NN$17/$NT$17)),0)</f>
        <v/>
      </c>
      <c r="EH17" s="228">
        <f>IF(AND(134&gt;=$NR$17,134&lt;=$NS$17),IF($NP$17="Single_Point",IF(134=$NR$17,$NN$17,0),IF($NP$17="Bell_Curve",$NN$17*(134-$NR$17+1)*($NS$17-134+1)/$NU$17,$NN$17/$NT$17)),0)</f>
        <v/>
      </c>
      <c r="EI17" s="228">
        <f>IF(AND(135&gt;=$NR$17,135&lt;=$NS$17),IF($NP$17="Single_Point",IF(135=$NR$17,$NN$17,0),IF($NP$17="Bell_Curve",$NN$17*(135-$NR$17+1)*($NS$17-135+1)/$NU$17,$NN$17/$NT$17)),0)</f>
        <v/>
      </c>
      <c r="EJ17" s="228">
        <f>IF(AND(136&gt;=$NR$17,136&lt;=$NS$17),IF($NP$17="Single_Point",IF(136=$NR$17,$NN$17,0),IF($NP$17="Bell_Curve",$NN$17*(136-$NR$17+1)*($NS$17-136+1)/$NU$17,$NN$17/$NT$17)),0)</f>
        <v/>
      </c>
      <c r="EK17" s="228">
        <f>IF(AND(137&gt;=$NR$17,137&lt;=$NS$17),IF($NP$17="Single_Point",IF(137=$NR$17,$NN$17,0),IF($NP$17="Bell_Curve",$NN$17*(137-$NR$17+1)*($NS$17-137+1)/$NU$17,$NN$17/$NT$17)),0)</f>
        <v/>
      </c>
      <c r="EL17" s="228">
        <f>IF(AND(138&gt;=$NR$17,138&lt;=$NS$17),IF($NP$17="Single_Point",IF(138=$NR$17,$NN$17,0),IF($NP$17="Bell_Curve",$NN$17*(138-$NR$17+1)*($NS$17-138+1)/$NU$17,$NN$17/$NT$17)),0)</f>
        <v/>
      </c>
      <c r="EM17" s="228">
        <f>IF(AND(139&gt;=$NR$17,139&lt;=$NS$17),IF($NP$17="Single_Point",IF(139=$NR$17,$NN$17,0),IF($NP$17="Bell_Curve",$NN$17*(139-$NR$17+1)*($NS$17-139+1)/$NU$17,$NN$17/$NT$17)),0)</f>
        <v/>
      </c>
      <c r="EN17" s="228">
        <f>IF(AND(140&gt;=$NR$17,140&lt;=$NS$17),IF($NP$17="Single_Point",IF(140=$NR$17,$NN$17,0),IF($NP$17="Bell_Curve",$NN$17*(140-$NR$17+1)*($NS$17-140+1)/$NU$17,$NN$17/$NT$17)),0)</f>
        <v/>
      </c>
      <c r="EO17" s="228">
        <f>IF(AND(141&gt;=$NR$17,141&lt;=$NS$17),IF($NP$17="Single_Point",IF(141=$NR$17,$NN$17,0),IF($NP$17="Bell_Curve",$NN$17*(141-$NR$17+1)*($NS$17-141+1)/$NU$17,$NN$17/$NT$17)),0)</f>
        <v/>
      </c>
      <c r="EP17" s="228">
        <f>IF(AND(142&gt;=$NR$17,142&lt;=$NS$17),IF($NP$17="Single_Point",IF(142=$NR$17,$NN$17,0),IF($NP$17="Bell_Curve",$NN$17*(142-$NR$17+1)*($NS$17-142+1)/$NU$17,$NN$17/$NT$17)),0)</f>
        <v/>
      </c>
      <c r="EQ17" s="228">
        <f>IF(AND(143&gt;=$NR$17,143&lt;=$NS$17),IF($NP$17="Single_Point",IF(143=$NR$17,$NN$17,0),IF($NP$17="Bell_Curve",$NN$17*(143-$NR$17+1)*($NS$17-143+1)/$NU$17,$NN$17/$NT$17)),0)</f>
        <v/>
      </c>
      <c r="ER17" s="228">
        <f>IF(AND(144&gt;=$NR$17,144&lt;=$NS$17),IF($NP$17="Single_Point",IF(144=$NR$17,$NN$17,0),IF($NP$17="Bell_Curve",$NN$17*(144-$NR$17+1)*($NS$17-144+1)/$NU$17,$NN$17/$NT$17)),0)</f>
        <v/>
      </c>
      <c r="ES17" s="228">
        <f>IF(AND(145&gt;=$NR$17,145&lt;=$NS$17),IF($NP$17="Single_Point",IF(145=$NR$17,$NN$17,0),IF($NP$17="Bell_Curve",$NN$17*(145-$NR$17+1)*($NS$17-145+1)/$NU$17,$NN$17/$NT$17)),0)</f>
        <v/>
      </c>
      <c r="ET17" s="228">
        <f>IF(AND(146&gt;=$NR$17,146&lt;=$NS$17),IF($NP$17="Single_Point",IF(146=$NR$17,$NN$17,0),IF($NP$17="Bell_Curve",$NN$17*(146-$NR$17+1)*($NS$17-146+1)/$NU$17,$NN$17/$NT$17)),0)</f>
        <v/>
      </c>
      <c r="EU17" s="228">
        <f>IF(AND(147&gt;=$NR$17,147&lt;=$NS$17),IF($NP$17="Single_Point",IF(147=$NR$17,$NN$17,0),IF($NP$17="Bell_Curve",$NN$17*(147-$NR$17+1)*($NS$17-147+1)/$NU$17,$NN$17/$NT$17)),0)</f>
        <v/>
      </c>
      <c r="EV17" s="228">
        <f>IF(AND(148&gt;=$NR$17,148&lt;=$NS$17),IF($NP$17="Single_Point",IF(148=$NR$17,$NN$17,0),IF($NP$17="Bell_Curve",$NN$17*(148-$NR$17+1)*($NS$17-148+1)/$NU$17,$NN$17/$NT$17)),0)</f>
        <v/>
      </c>
      <c r="EW17" s="228">
        <f>IF(AND(149&gt;=$NR$17,149&lt;=$NS$17),IF($NP$17="Single_Point",IF(149=$NR$17,$NN$17,0),IF($NP$17="Bell_Curve",$NN$17*(149-$NR$17+1)*($NS$17-149+1)/$NU$17,$NN$17/$NT$17)),0)</f>
        <v/>
      </c>
      <c r="EX17" s="228">
        <f>IF(AND(150&gt;=$NR$17,150&lt;=$NS$17),IF($NP$17="Single_Point",IF(150=$NR$17,$NN$17,0),IF($NP$17="Bell_Curve",$NN$17*(150-$NR$17+1)*($NS$17-150+1)/$NU$17,$NN$17/$NT$17)),0)</f>
        <v/>
      </c>
      <c r="EY17" s="228">
        <f>IF(AND(151&gt;=$NR$17,151&lt;=$NS$17),IF($NP$17="Single_Point",IF(151=$NR$17,$NN$17,0),IF($NP$17="Bell_Curve",$NN$17*(151-$NR$17+1)*($NS$17-151+1)/$NU$17,$NN$17/$NT$17)),0)</f>
        <v/>
      </c>
      <c r="EZ17" s="228">
        <f>IF(AND(152&gt;=$NR$17,152&lt;=$NS$17),IF($NP$17="Single_Point",IF(152=$NR$17,$NN$17,0),IF($NP$17="Bell_Curve",$NN$17*(152-$NR$17+1)*($NS$17-152+1)/$NU$17,$NN$17/$NT$17)),0)</f>
        <v/>
      </c>
      <c r="FA17" s="228">
        <f>IF(AND(153&gt;=$NR$17,153&lt;=$NS$17),IF($NP$17="Single_Point",IF(153=$NR$17,$NN$17,0),IF($NP$17="Bell_Curve",$NN$17*(153-$NR$17+1)*($NS$17-153+1)/$NU$17,$NN$17/$NT$17)),0)</f>
        <v/>
      </c>
      <c r="FB17" s="228">
        <f>IF(AND(154&gt;=$NR$17,154&lt;=$NS$17),IF($NP$17="Single_Point",IF(154=$NR$17,$NN$17,0),IF($NP$17="Bell_Curve",$NN$17*(154-$NR$17+1)*($NS$17-154+1)/$NU$17,$NN$17/$NT$17)),0)</f>
        <v/>
      </c>
      <c r="FC17" s="228">
        <f>IF(AND(155&gt;=$NR$17,155&lt;=$NS$17),IF($NP$17="Single_Point",IF(155=$NR$17,$NN$17,0),IF($NP$17="Bell_Curve",$NN$17*(155-$NR$17+1)*($NS$17-155+1)/$NU$17,$NN$17/$NT$17)),0)</f>
        <v/>
      </c>
      <c r="FD17" s="228">
        <f>IF(AND(156&gt;=$NR$17,156&lt;=$NS$17),IF($NP$17="Single_Point",IF(156=$NR$17,$NN$17,0),IF($NP$17="Bell_Curve",$NN$17*(156-$NR$17+1)*($NS$17-156+1)/$NU$17,$NN$17/$NT$17)),0)</f>
        <v/>
      </c>
      <c r="FE17" s="228">
        <f>IF(AND(157&gt;=$NR$17,157&lt;=$NS$17),IF($NP$17="Single_Point",IF(157=$NR$17,$NN$17,0),IF($NP$17="Bell_Curve",$NN$17*(157-$NR$17+1)*($NS$17-157+1)/$NU$17,$NN$17/$NT$17)),0)</f>
        <v/>
      </c>
      <c r="FF17" s="228">
        <f>IF(AND(158&gt;=$NR$17,158&lt;=$NS$17),IF($NP$17="Single_Point",IF(158=$NR$17,$NN$17,0),IF($NP$17="Bell_Curve",$NN$17*(158-$NR$17+1)*($NS$17-158+1)/$NU$17,$NN$17/$NT$17)),0)</f>
        <v/>
      </c>
      <c r="FG17" s="228">
        <f>IF(AND(159&gt;=$NR$17,159&lt;=$NS$17),IF($NP$17="Single_Point",IF(159=$NR$17,$NN$17,0),IF($NP$17="Bell_Curve",$NN$17*(159-$NR$17+1)*($NS$17-159+1)/$NU$17,$NN$17/$NT$17)),0)</f>
        <v/>
      </c>
      <c r="FH17" s="228">
        <f>IF(AND(160&gt;=$NR$17,160&lt;=$NS$17),IF($NP$17="Single_Point",IF(160=$NR$17,$NN$17,0),IF($NP$17="Bell_Curve",$NN$17*(160-$NR$17+1)*($NS$17-160+1)/$NU$17,$NN$17/$NT$17)),0)</f>
        <v/>
      </c>
      <c r="FI17" s="228">
        <f>IF(AND(161&gt;=$NR$17,161&lt;=$NS$17),IF($NP$17="Single_Point",IF(161=$NR$17,$NN$17,0),IF($NP$17="Bell_Curve",$NN$17*(161-$NR$17+1)*($NS$17-161+1)/$NU$17,$NN$17/$NT$17)),0)</f>
        <v/>
      </c>
      <c r="FJ17" s="228">
        <f>IF(AND(162&gt;=$NR$17,162&lt;=$NS$17),IF($NP$17="Single_Point",IF(162=$NR$17,$NN$17,0),IF($NP$17="Bell_Curve",$NN$17*(162-$NR$17+1)*($NS$17-162+1)/$NU$17,$NN$17/$NT$17)),0)</f>
        <v/>
      </c>
      <c r="FK17" s="228">
        <f>IF(AND(163&gt;=$NR$17,163&lt;=$NS$17),IF($NP$17="Single_Point",IF(163=$NR$17,$NN$17,0),IF($NP$17="Bell_Curve",$NN$17*(163-$NR$17+1)*($NS$17-163+1)/$NU$17,$NN$17/$NT$17)),0)</f>
        <v/>
      </c>
      <c r="FL17" s="228">
        <f>IF(AND(164&gt;=$NR$17,164&lt;=$NS$17),IF($NP$17="Single_Point",IF(164=$NR$17,$NN$17,0),IF($NP$17="Bell_Curve",$NN$17*(164-$NR$17+1)*($NS$17-164+1)/$NU$17,$NN$17/$NT$17)),0)</f>
        <v/>
      </c>
      <c r="FM17" s="228">
        <f>IF(AND(165&gt;=$NR$17,165&lt;=$NS$17),IF($NP$17="Single_Point",IF(165=$NR$17,$NN$17,0),IF($NP$17="Bell_Curve",$NN$17*(165-$NR$17+1)*($NS$17-165+1)/$NU$17,$NN$17/$NT$17)),0)</f>
        <v/>
      </c>
      <c r="FN17" s="228">
        <f>IF(AND(166&gt;=$NR$17,166&lt;=$NS$17),IF($NP$17="Single_Point",IF(166=$NR$17,$NN$17,0),IF($NP$17="Bell_Curve",$NN$17*(166-$NR$17+1)*($NS$17-166+1)/$NU$17,$NN$17/$NT$17)),0)</f>
        <v/>
      </c>
      <c r="FO17" s="228">
        <f>IF(AND(167&gt;=$NR$17,167&lt;=$NS$17),IF($NP$17="Single_Point",IF(167=$NR$17,$NN$17,0),IF($NP$17="Bell_Curve",$NN$17*(167-$NR$17+1)*($NS$17-167+1)/$NU$17,$NN$17/$NT$17)),0)</f>
        <v/>
      </c>
      <c r="FP17" s="228">
        <f>IF(AND(168&gt;=$NR$17,168&lt;=$NS$17),IF($NP$17="Single_Point",IF(168=$NR$17,$NN$17,0),IF($NP$17="Bell_Curve",$NN$17*(168-$NR$17+1)*($NS$17-168+1)/$NU$17,$NN$17/$NT$17)),0)</f>
        <v/>
      </c>
      <c r="FQ17" s="228">
        <f>IF(AND(169&gt;=$NR$17,169&lt;=$NS$17),IF($NP$17="Single_Point",IF(169=$NR$17,$NN$17,0),IF($NP$17="Bell_Curve",$NN$17*(169-$NR$17+1)*($NS$17-169+1)/$NU$17,$NN$17/$NT$17)),0)</f>
        <v/>
      </c>
      <c r="FR17" s="228">
        <f>IF(AND(170&gt;=$NR$17,170&lt;=$NS$17),IF($NP$17="Single_Point",IF(170=$NR$17,$NN$17,0),IF($NP$17="Bell_Curve",$NN$17*(170-$NR$17+1)*($NS$17-170+1)/$NU$17,$NN$17/$NT$17)),0)</f>
        <v/>
      </c>
      <c r="FS17" s="228">
        <f>IF(AND(171&gt;=$NR$17,171&lt;=$NS$17),IF($NP$17="Single_Point",IF(171=$NR$17,$NN$17,0),IF($NP$17="Bell_Curve",$NN$17*(171-$NR$17+1)*($NS$17-171+1)/$NU$17,$NN$17/$NT$17)),0)</f>
        <v/>
      </c>
      <c r="FT17" s="228">
        <f>IF(AND(172&gt;=$NR$17,172&lt;=$NS$17),IF($NP$17="Single_Point",IF(172=$NR$17,$NN$17,0),IF($NP$17="Bell_Curve",$NN$17*(172-$NR$17+1)*($NS$17-172+1)/$NU$17,$NN$17/$NT$17)),0)</f>
        <v/>
      </c>
      <c r="FU17" s="228">
        <f>IF(AND(173&gt;=$NR$17,173&lt;=$NS$17),IF($NP$17="Single_Point",IF(173=$NR$17,$NN$17,0),IF($NP$17="Bell_Curve",$NN$17*(173-$NR$17+1)*($NS$17-173+1)/$NU$17,$NN$17/$NT$17)),0)</f>
        <v/>
      </c>
      <c r="FV17" s="228">
        <f>IF(AND(174&gt;=$NR$17,174&lt;=$NS$17),IF($NP$17="Single_Point",IF(174=$NR$17,$NN$17,0),IF($NP$17="Bell_Curve",$NN$17*(174-$NR$17+1)*($NS$17-174+1)/$NU$17,$NN$17/$NT$17)),0)</f>
        <v/>
      </c>
      <c r="FW17" s="228">
        <f>IF(AND(175&gt;=$NR$17,175&lt;=$NS$17),IF($NP$17="Single_Point",IF(175=$NR$17,$NN$17,0),IF($NP$17="Bell_Curve",$NN$17*(175-$NR$17+1)*($NS$17-175+1)/$NU$17,$NN$17/$NT$17)),0)</f>
        <v/>
      </c>
      <c r="FX17" s="228">
        <f>IF(AND(176&gt;=$NR$17,176&lt;=$NS$17),IF($NP$17="Single_Point",IF(176=$NR$17,$NN$17,0),IF($NP$17="Bell_Curve",$NN$17*(176-$NR$17+1)*($NS$17-176+1)/$NU$17,$NN$17/$NT$17)),0)</f>
        <v/>
      </c>
      <c r="FY17" s="228">
        <f>IF(AND(177&gt;=$NR$17,177&lt;=$NS$17),IF($NP$17="Single_Point",IF(177=$NR$17,$NN$17,0),IF($NP$17="Bell_Curve",$NN$17*(177-$NR$17+1)*($NS$17-177+1)/$NU$17,$NN$17/$NT$17)),0)</f>
        <v/>
      </c>
      <c r="FZ17" s="228">
        <f>IF(AND(178&gt;=$NR$17,178&lt;=$NS$17),IF($NP$17="Single_Point",IF(178=$NR$17,$NN$17,0),IF($NP$17="Bell_Curve",$NN$17*(178-$NR$17+1)*($NS$17-178+1)/$NU$17,$NN$17/$NT$17)),0)</f>
        <v/>
      </c>
      <c r="GA17" s="228">
        <f>IF(AND(179&gt;=$NR$17,179&lt;=$NS$17),IF($NP$17="Single_Point",IF(179=$NR$17,$NN$17,0),IF($NP$17="Bell_Curve",$NN$17*(179-$NR$17+1)*($NS$17-179+1)/$NU$17,$NN$17/$NT$17)),0)</f>
        <v/>
      </c>
      <c r="GB17" s="228">
        <f>IF(AND(180&gt;=$NR$17,180&lt;=$NS$17),IF($NP$17="Single_Point",IF(180=$NR$17,$NN$17,0),IF($NP$17="Bell_Curve",$NN$17*(180-$NR$17+1)*($NS$17-180+1)/$NU$17,$NN$17/$NT$17)),0)</f>
        <v/>
      </c>
      <c r="GC17" s="228">
        <f>IF(AND(181&gt;=$NR$17,181&lt;=$NS$17),IF($NP$17="Single_Point",IF(181=$NR$17,$NN$17,0),IF($NP$17="Bell_Curve",$NN$17*(181-$NR$17+1)*($NS$17-181+1)/$NU$17,$NN$17/$NT$17)),0)</f>
        <v/>
      </c>
      <c r="GD17" s="228">
        <f>IF(AND(182&gt;=$NR$17,182&lt;=$NS$17),IF($NP$17="Single_Point",IF(182=$NR$17,$NN$17,0),IF($NP$17="Bell_Curve",$NN$17*(182-$NR$17+1)*($NS$17-182+1)/$NU$17,$NN$17/$NT$17)),0)</f>
        <v/>
      </c>
      <c r="GE17" s="228">
        <f>IF(AND(183&gt;=$NR$17,183&lt;=$NS$17),IF($NP$17="Single_Point",IF(183=$NR$17,$NN$17,0),IF($NP$17="Bell_Curve",$NN$17*(183-$NR$17+1)*($NS$17-183+1)/$NU$17,$NN$17/$NT$17)),0)</f>
        <v/>
      </c>
      <c r="GF17" s="228">
        <f>IF(AND(184&gt;=$NR$17,184&lt;=$NS$17),IF($NP$17="Single_Point",IF(184=$NR$17,$NN$17,0),IF($NP$17="Bell_Curve",$NN$17*(184-$NR$17+1)*($NS$17-184+1)/$NU$17,$NN$17/$NT$17)),0)</f>
        <v/>
      </c>
      <c r="GG17" s="228">
        <f>IF(AND(185&gt;=$NR$17,185&lt;=$NS$17),IF($NP$17="Single_Point",IF(185=$NR$17,$NN$17,0),IF($NP$17="Bell_Curve",$NN$17*(185-$NR$17+1)*($NS$17-185+1)/$NU$17,$NN$17/$NT$17)),0)</f>
        <v/>
      </c>
      <c r="GH17" s="228">
        <f>IF(AND(186&gt;=$NR$17,186&lt;=$NS$17),IF($NP$17="Single_Point",IF(186=$NR$17,$NN$17,0),IF($NP$17="Bell_Curve",$NN$17*(186-$NR$17+1)*($NS$17-186+1)/$NU$17,$NN$17/$NT$17)),0)</f>
        <v/>
      </c>
      <c r="GI17" s="228">
        <f>IF(AND(187&gt;=$NR$17,187&lt;=$NS$17),IF($NP$17="Single_Point",IF(187=$NR$17,$NN$17,0),IF($NP$17="Bell_Curve",$NN$17*(187-$NR$17+1)*($NS$17-187+1)/$NU$17,$NN$17/$NT$17)),0)</f>
        <v/>
      </c>
      <c r="GJ17" s="228">
        <f>IF(AND(188&gt;=$NR$17,188&lt;=$NS$17),IF($NP$17="Single_Point",IF(188=$NR$17,$NN$17,0),IF($NP$17="Bell_Curve",$NN$17*(188-$NR$17+1)*($NS$17-188+1)/$NU$17,$NN$17/$NT$17)),0)</f>
        <v/>
      </c>
      <c r="GK17" s="228">
        <f>IF(AND(189&gt;=$NR$17,189&lt;=$NS$17),IF($NP$17="Single_Point",IF(189=$NR$17,$NN$17,0),IF($NP$17="Bell_Curve",$NN$17*(189-$NR$17+1)*($NS$17-189+1)/$NU$17,$NN$17/$NT$17)),0)</f>
        <v/>
      </c>
      <c r="GL17" s="228">
        <f>IF(AND(190&gt;=$NR$17,190&lt;=$NS$17),IF($NP$17="Single_Point",IF(190=$NR$17,$NN$17,0),IF($NP$17="Bell_Curve",$NN$17*(190-$NR$17+1)*($NS$17-190+1)/$NU$17,$NN$17/$NT$17)),0)</f>
        <v/>
      </c>
      <c r="GM17" s="228">
        <f>IF(AND(191&gt;=$NR$17,191&lt;=$NS$17),IF($NP$17="Single_Point",IF(191=$NR$17,$NN$17,0),IF($NP$17="Bell_Curve",$NN$17*(191-$NR$17+1)*($NS$17-191+1)/$NU$17,$NN$17/$NT$17)),0)</f>
        <v/>
      </c>
      <c r="GN17" s="228">
        <f>IF(AND(192&gt;=$NR$17,192&lt;=$NS$17),IF($NP$17="Single_Point",IF(192=$NR$17,$NN$17,0),IF($NP$17="Bell_Curve",$NN$17*(192-$NR$17+1)*($NS$17-192+1)/$NU$17,$NN$17/$NT$17)),0)</f>
        <v/>
      </c>
      <c r="GO17" s="228">
        <f>IF(AND(193&gt;=$NR$17,193&lt;=$NS$17),IF($NP$17="Single_Point",IF(193=$NR$17,$NN$17,0),IF($NP$17="Bell_Curve",$NN$17*(193-$NR$17+1)*($NS$17-193+1)/$NU$17,$NN$17/$NT$17)),0)</f>
        <v/>
      </c>
      <c r="GP17" s="228">
        <f>IF(AND(194&gt;=$NR$17,194&lt;=$NS$17),IF($NP$17="Single_Point",IF(194=$NR$17,$NN$17,0),IF($NP$17="Bell_Curve",$NN$17*(194-$NR$17+1)*($NS$17-194+1)/$NU$17,$NN$17/$NT$17)),0)</f>
        <v/>
      </c>
      <c r="GQ17" s="228">
        <f>IF(AND(195&gt;=$NR$17,195&lt;=$NS$17),IF($NP$17="Single_Point",IF(195=$NR$17,$NN$17,0),IF($NP$17="Bell_Curve",$NN$17*(195-$NR$17+1)*($NS$17-195+1)/$NU$17,$NN$17/$NT$17)),0)</f>
        <v/>
      </c>
      <c r="GR17" s="228">
        <f>IF(AND(196&gt;=$NR$17,196&lt;=$NS$17),IF($NP$17="Single_Point",IF(196=$NR$17,$NN$17,0),IF($NP$17="Bell_Curve",$NN$17*(196-$NR$17+1)*($NS$17-196+1)/$NU$17,$NN$17/$NT$17)),0)</f>
        <v/>
      </c>
      <c r="GS17" s="228">
        <f>IF(AND(197&gt;=$NR$17,197&lt;=$NS$17),IF($NP$17="Single_Point",IF(197=$NR$17,$NN$17,0),IF($NP$17="Bell_Curve",$NN$17*(197-$NR$17+1)*($NS$17-197+1)/$NU$17,$NN$17/$NT$17)),0)</f>
        <v/>
      </c>
      <c r="GT17" s="228">
        <f>IF(AND(198&gt;=$NR$17,198&lt;=$NS$17),IF($NP$17="Single_Point",IF(198=$NR$17,$NN$17,0),IF($NP$17="Bell_Curve",$NN$17*(198-$NR$17+1)*($NS$17-198+1)/$NU$17,$NN$17/$NT$17)),0)</f>
        <v/>
      </c>
      <c r="GU17" s="228">
        <f>IF(AND(199&gt;=$NR$17,199&lt;=$NS$17),IF($NP$17="Single_Point",IF(199=$NR$17,$NN$17,0),IF($NP$17="Bell_Curve",$NN$17*(199-$NR$17+1)*($NS$17-199+1)/$NU$17,$NN$17/$NT$17)),0)</f>
        <v/>
      </c>
      <c r="GV17" s="228">
        <f>IF(AND(200&gt;=$NR$17,200&lt;=$NS$17),IF($NP$17="Single_Point",IF(200=$NR$17,$NN$17,0),IF($NP$17="Bell_Curve",$NN$17*(200-$NR$17+1)*($NS$17-200+1)/$NU$17,$NN$17/$NT$17)),0)</f>
        <v/>
      </c>
      <c r="GW17" s="228">
        <f>IF(AND(201&gt;=$NR$17,201&lt;=$NS$17),IF($NP$17="Single_Point",IF(201=$NR$17,$NN$17,0),IF($NP$17="Bell_Curve",$NN$17*(201-$NR$17+1)*($NS$17-201+1)/$NU$17,$NN$17/$NT$17)),0)</f>
        <v/>
      </c>
      <c r="GX17" s="228">
        <f>IF(AND(202&gt;=$NR$17,202&lt;=$NS$17),IF($NP$17="Single_Point",IF(202=$NR$17,$NN$17,0),IF($NP$17="Bell_Curve",$NN$17*(202-$NR$17+1)*($NS$17-202+1)/$NU$17,$NN$17/$NT$17)),0)</f>
        <v/>
      </c>
      <c r="GY17" s="228">
        <f>IF(AND(203&gt;=$NR$17,203&lt;=$NS$17),IF($NP$17="Single_Point",IF(203=$NR$17,$NN$17,0),IF($NP$17="Bell_Curve",$NN$17*(203-$NR$17+1)*($NS$17-203+1)/$NU$17,$NN$17/$NT$17)),0)</f>
        <v/>
      </c>
      <c r="GZ17" s="228">
        <f>IF(AND(204&gt;=$NR$17,204&lt;=$NS$17),IF($NP$17="Single_Point",IF(204=$NR$17,$NN$17,0),IF($NP$17="Bell_Curve",$NN$17*(204-$NR$17+1)*($NS$17-204+1)/$NU$17,$NN$17/$NT$17)),0)</f>
        <v/>
      </c>
      <c r="HA17" s="228">
        <f>IF(AND(205&gt;=$NR$17,205&lt;=$NS$17),IF($NP$17="Single_Point",IF(205=$NR$17,$NN$17,0),IF($NP$17="Bell_Curve",$NN$17*(205-$NR$17+1)*($NS$17-205+1)/$NU$17,$NN$17/$NT$17)),0)</f>
        <v/>
      </c>
      <c r="HB17" s="228">
        <f>IF(AND(206&gt;=$NR$17,206&lt;=$NS$17),IF($NP$17="Single_Point",IF(206=$NR$17,$NN$17,0),IF($NP$17="Bell_Curve",$NN$17*(206-$NR$17+1)*($NS$17-206+1)/$NU$17,$NN$17/$NT$17)),0)</f>
        <v/>
      </c>
      <c r="HC17" s="228">
        <f>IF(AND(207&gt;=$NR$17,207&lt;=$NS$17),IF($NP$17="Single_Point",IF(207=$NR$17,$NN$17,0),IF($NP$17="Bell_Curve",$NN$17*(207-$NR$17+1)*($NS$17-207+1)/$NU$17,$NN$17/$NT$17)),0)</f>
        <v/>
      </c>
      <c r="HD17" s="228">
        <f>IF(AND(208&gt;=$NR$17,208&lt;=$NS$17),IF($NP$17="Single_Point",IF(208=$NR$17,$NN$17,0),IF($NP$17="Bell_Curve",$NN$17*(208-$NR$17+1)*($NS$17-208+1)/$NU$17,$NN$17/$NT$17)),0)</f>
        <v/>
      </c>
      <c r="HE17" s="228">
        <f>IF(AND(209&gt;=$NR$17,209&lt;=$NS$17),IF($NP$17="Single_Point",IF(209=$NR$17,$NN$17,0),IF($NP$17="Bell_Curve",$NN$17*(209-$NR$17+1)*($NS$17-209+1)/$NU$17,$NN$17/$NT$17)),0)</f>
        <v/>
      </c>
      <c r="HF17" s="228">
        <f>IF(AND(210&gt;=$NR$17,210&lt;=$NS$17),IF($NP$17="Single_Point",IF(210=$NR$17,$NN$17,0),IF($NP$17="Bell_Curve",$NN$17*(210-$NR$17+1)*($NS$17-210+1)/$NU$17,$NN$17/$NT$17)),0)</f>
        <v/>
      </c>
      <c r="HG17" s="228">
        <f>IF(AND(211&gt;=$NR$17,211&lt;=$NS$17),IF($NP$17="Single_Point",IF(211=$NR$17,$NN$17,0),IF($NP$17="Bell_Curve",$NN$17*(211-$NR$17+1)*($NS$17-211+1)/$NU$17,$NN$17/$NT$17)),0)</f>
        <v/>
      </c>
      <c r="HH17" s="228">
        <f>IF(AND(212&gt;=$NR$17,212&lt;=$NS$17),IF($NP$17="Single_Point",IF(212=$NR$17,$NN$17,0),IF($NP$17="Bell_Curve",$NN$17*(212-$NR$17+1)*($NS$17-212+1)/$NU$17,$NN$17/$NT$17)),0)</f>
        <v/>
      </c>
      <c r="HI17" s="228">
        <f>IF(AND(213&gt;=$NR$17,213&lt;=$NS$17),IF($NP$17="Single_Point",IF(213=$NR$17,$NN$17,0),IF($NP$17="Bell_Curve",$NN$17*(213-$NR$17+1)*($NS$17-213+1)/$NU$17,$NN$17/$NT$17)),0)</f>
        <v/>
      </c>
      <c r="HJ17" s="228">
        <f>IF(AND(214&gt;=$NR$17,214&lt;=$NS$17),IF($NP$17="Single_Point",IF(214=$NR$17,$NN$17,0),IF($NP$17="Bell_Curve",$NN$17*(214-$NR$17+1)*($NS$17-214+1)/$NU$17,$NN$17/$NT$17)),0)</f>
        <v/>
      </c>
      <c r="HK17" s="228">
        <f>IF(AND(215&gt;=$NR$17,215&lt;=$NS$17),IF($NP$17="Single_Point",IF(215=$NR$17,$NN$17,0),IF($NP$17="Bell_Curve",$NN$17*(215-$NR$17+1)*($NS$17-215+1)/$NU$17,$NN$17/$NT$17)),0)</f>
        <v/>
      </c>
      <c r="HL17" s="228">
        <f>IF(AND(216&gt;=$NR$17,216&lt;=$NS$17),IF($NP$17="Single_Point",IF(216=$NR$17,$NN$17,0),IF($NP$17="Bell_Curve",$NN$17*(216-$NR$17+1)*($NS$17-216+1)/$NU$17,$NN$17/$NT$17)),0)</f>
        <v/>
      </c>
      <c r="HM17" s="228">
        <f>IF(AND(217&gt;=$NR$17,217&lt;=$NS$17),IF($NP$17="Single_Point",IF(217=$NR$17,$NN$17,0),IF($NP$17="Bell_Curve",$NN$17*(217-$NR$17+1)*($NS$17-217+1)/$NU$17,$NN$17/$NT$17)),0)</f>
        <v/>
      </c>
      <c r="HN17" s="228">
        <f>IF(AND(218&gt;=$NR$17,218&lt;=$NS$17),IF($NP$17="Single_Point",IF(218=$NR$17,$NN$17,0),IF($NP$17="Bell_Curve",$NN$17*(218-$NR$17+1)*($NS$17-218+1)/$NU$17,$NN$17/$NT$17)),0)</f>
        <v/>
      </c>
      <c r="HO17" s="228">
        <f>IF(AND(219&gt;=$NR$17,219&lt;=$NS$17),IF($NP$17="Single_Point",IF(219=$NR$17,$NN$17,0),IF($NP$17="Bell_Curve",$NN$17*(219-$NR$17+1)*($NS$17-219+1)/$NU$17,$NN$17/$NT$17)),0)</f>
        <v/>
      </c>
      <c r="HP17" s="228">
        <f>IF(AND(220&gt;=$NR$17,220&lt;=$NS$17),IF($NP$17="Single_Point",IF(220=$NR$17,$NN$17,0),IF($NP$17="Bell_Curve",$NN$17*(220-$NR$17+1)*($NS$17-220+1)/$NU$17,$NN$17/$NT$17)),0)</f>
        <v/>
      </c>
      <c r="HQ17" s="228">
        <f>IF(AND(221&gt;=$NR$17,221&lt;=$NS$17),IF($NP$17="Single_Point",IF(221=$NR$17,$NN$17,0),IF($NP$17="Bell_Curve",$NN$17*(221-$NR$17+1)*($NS$17-221+1)/$NU$17,$NN$17/$NT$17)),0)</f>
        <v/>
      </c>
      <c r="HR17" s="228">
        <f>IF(AND(222&gt;=$NR$17,222&lt;=$NS$17),IF($NP$17="Single_Point",IF(222=$NR$17,$NN$17,0),IF($NP$17="Bell_Curve",$NN$17*(222-$NR$17+1)*($NS$17-222+1)/$NU$17,$NN$17/$NT$17)),0)</f>
        <v/>
      </c>
      <c r="HS17" s="228">
        <f>IF(AND(223&gt;=$NR$17,223&lt;=$NS$17),IF($NP$17="Single_Point",IF(223=$NR$17,$NN$17,0),IF($NP$17="Bell_Curve",$NN$17*(223-$NR$17+1)*($NS$17-223+1)/$NU$17,$NN$17/$NT$17)),0)</f>
        <v/>
      </c>
      <c r="HT17" s="228">
        <f>IF(AND(224&gt;=$NR$17,224&lt;=$NS$17),IF($NP$17="Single_Point",IF(224=$NR$17,$NN$17,0),IF($NP$17="Bell_Curve",$NN$17*(224-$NR$17+1)*($NS$17-224+1)/$NU$17,$NN$17/$NT$17)),0)</f>
        <v/>
      </c>
      <c r="HU17" s="228">
        <f>IF(AND(225&gt;=$NR$17,225&lt;=$NS$17),IF($NP$17="Single_Point",IF(225=$NR$17,$NN$17,0),IF($NP$17="Bell_Curve",$NN$17*(225-$NR$17+1)*($NS$17-225+1)/$NU$17,$NN$17/$NT$17)),0)</f>
        <v/>
      </c>
      <c r="HV17" s="228">
        <f>IF(AND(226&gt;=$NR$17,226&lt;=$NS$17),IF($NP$17="Single_Point",IF(226=$NR$17,$NN$17,0),IF($NP$17="Bell_Curve",$NN$17*(226-$NR$17+1)*($NS$17-226+1)/$NU$17,$NN$17/$NT$17)),0)</f>
        <v/>
      </c>
      <c r="HW17" s="228">
        <f>IF(AND(227&gt;=$NR$17,227&lt;=$NS$17),IF($NP$17="Single_Point",IF(227=$NR$17,$NN$17,0),IF($NP$17="Bell_Curve",$NN$17*(227-$NR$17+1)*($NS$17-227+1)/$NU$17,$NN$17/$NT$17)),0)</f>
        <v/>
      </c>
      <c r="HX17" s="228">
        <f>IF(AND(228&gt;=$NR$17,228&lt;=$NS$17),IF($NP$17="Single_Point",IF(228=$NR$17,$NN$17,0),IF($NP$17="Bell_Curve",$NN$17*(228-$NR$17+1)*($NS$17-228+1)/$NU$17,$NN$17/$NT$17)),0)</f>
        <v/>
      </c>
      <c r="HY17" s="228">
        <f>IF(AND(229&gt;=$NR$17,229&lt;=$NS$17),IF($NP$17="Single_Point",IF(229=$NR$17,$NN$17,0),IF($NP$17="Bell_Curve",$NN$17*(229-$NR$17+1)*($NS$17-229+1)/$NU$17,$NN$17/$NT$17)),0)</f>
        <v/>
      </c>
      <c r="HZ17" s="228">
        <f>IF(AND(230&gt;=$NR$17,230&lt;=$NS$17),IF($NP$17="Single_Point",IF(230=$NR$17,$NN$17,0),IF($NP$17="Bell_Curve",$NN$17*(230-$NR$17+1)*($NS$17-230+1)/$NU$17,$NN$17/$NT$17)),0)</f>
        <v/>
      </c>
      <c r="IA17" s="228">
        <f>IF(AND(231&gt;=$NR$17,231&lt;=$NS$17),IF($NP$17="Single_Point",IF(231=$NR$17,$NN$17,0),IF($NP$17="Bell_Curve",$NN$17*(231-$NR$17+1)*($NS$17-231+1)/$NU$17,$NN$17/$NT$17)),0)</f>
        <v/>
      </c>
      <c r="IB17" s="228">
        <f>IF(AND(232&gt;=$NR$17,232&lt;=$NS$17),IF($NP$17="Single_Point",IF(232=$NR$17,$NN$17,0),IF($NP$17="Bell_Curve",$NN$17*(232-$NR$17+1)*($NS$17-232+1)/$NU$17,$NN$17/$NT$17)),0)</f>
        <v/>
      </c>
      <c r="IC17" s="228">
        <f>IF(AND(233&gt;=$NR$17,233&lt;=$NS$17),IF($NP$17="Single_Point",IF(233=$NR$17,$NN$17,0),IF($NP$17="Bell_Curve",$NN$17*(233-$NR$17+1)*($NS$17-233+1)/$NU$17,$NN$17/$NT$17)),0)</f>
        <v/>
      </c>
      <c r="ID17" s="228">
        <f>IF(AND(234&gt;=$NR$17,234&lt;=$NS$17),IF($NP$17="Single_Point",IF(234=$NR$17,$NN$17,0),IF($NP$17="Bell_Curve",$NN$17*(234-$NR$17+1)*($NS$17-234+1)/$NU$17,$NN$17/$NT$17)),0)</f>
        <v/>
      </c>
      <c r="IE17" s="228">
        <f>IF(AND(235&gt;=$NR$17,235&lt;=$NS$17),IF($NP$17="Single_Point",IF(235=$NR$17,$NN$17,0),IF($NP$17="Bell_Curve",$NN$17*(235-$NR$17+1)*($NS$17-235+1)/$NU$17,$NN$17/$NT$17)),0)</f>
        <v/>
      </c>
      <c r="IF17" s="228">
        <f>IF(AND(236&gt;=$NR$17,236&lt;=$NS$17),IF($NP$17="Single_Point",IF(236=$NR$17,$NN$17,0),IF($NP$17="Bell_Curve",$NN$17*(236-$NR$17+1)*($NS$17-236+1)/$NU$17,$NN$17/$NT$17)),0)</f>
        <v/>
      </c>
      <c r="IG17" s="228">
        <f>IF(AND(237&gt;=$NR$17,237&lt;=$NS$17),IF($NP$17="Single_Point",IF(237=$NR$17,$NN$17,0),IF($NP$17="Bell_Curve",$NN$17*(237-$NR$17+1)*($NS$17-237+1)/$NU$17,$NN$17/$NT$17)),0)</f>
        <v/>
      </c>
      <c r="IH17" s="228">
        <f>IF(AND(238&gt;=$NR$17,238&lt;=$NS$17),IF($NP$17="Single_Point",IF(238=$NR$17,$NN$17,0),IF($NP$17="Bell_Curve",$NN$17*(238-$NR$17+1)*($NS$17-238+1)/$NU$17,$NN$17/$NT$17)),0)</f>
        <v/>
      </c>
      <c r="II17" s="228">
        <f>IF(AND(239&gt;=$NR$17,239&lt;=$NS$17),IF($NP$17="Single_Point",IF(239=$NR$17,$NN$17,0),IF($NP$17="Bell_Curve",$NN$17*(239-$NR$17+1)*($NS$17-239+1)/$NU$17,$NN$17/$NT$17)),0)</f>
        <v/>
      </c>
      <c r="IJ17" s="228">
        <f>IF(AND(240&gt;=$NR$17,240&lt;=$NS$17),IF($NP$17="Single_Point",IF(240=$NR$17,$NN$17,0),IF($NP$17="Bell_Curve",$NN$17*(240-$NR$17+1)*($NS$17-240+1)/$NU$17,$NN$17/$NT$17)),0)</f>
        <v/>
      </c>
      <c r="IK17" s="228">
        <f>IF(AND(241&gt;=$NR$17,241&lt;=$NS$17),IF($NP$17="Single_Point",IF(241=$NR$17,$NN$17,0),IF($NP$17="Bell_Curve",$NN$17*(241-$NR$17+1)*($NS$17-241+1)/$NU$17,$NN$17/$NT$17)),0)</f>
        <v/>
      </c>
      <c r="IL17" s="228">
        <f>IF(AND(242&gt;=$NR$17,242&lt;=$NS$17),IF($NP$17="Single_Point",IF(242=$NR$17,$NN$17,0),IF($NP$17="Bell_Curve",$NN$17*(242-$NR$17+1)*($NS$17-242+1)/$NU$17,$NN$17/$NT$17)),0)</f>
        <v/>
      </c>
      <c r="IM17" s="228">
        <f>IF(AND(243&gt;=$NR$17,243&lt;=$NS$17),IF($NP$17="Single_Point",IF(243=$NR$17,$NN$17,0),IF($NP$17="Bell_Curve",$NN$17*(243-$NR$17+1)*($NS$17-243+1)/$NU$17,$NN$17/$NT$17)),0)</f>
        <v/>
      </c>
      <c r="IN17" s="228">
        <f>IF(AND(244&gt;=$NR$17,244&lt;=$NS$17),IF($NP$17="Single_Point",IF(244=$NR$17,$NN$17,0),IF($NP$17="Bell_Curve",$NN$17*(244-$NR$17+1)*($NS$17-244+1)/$NU$17,$NN$17/$NT$17)),0)</f>
        <v/>
      </c>
      <c r="IO17" s="228">
        <f>IF(AND(245&gt;=$NR$17,245&lt;=$NS$17),IF($NP$17="Single_Point",IF(245=$NR$17,$NN$17,0),IF($NP$17="Bell_Curve",$NN$17*(245-$NR$17+1)*($NS$17-245+1)/$NU$17,$NN$17/$NT$17)),0)</f>
        <v/>
      </c>
      <c r="IP17" s="228">
        <f>IF(AND(246&gt;=$NR$17,246&lt;=$NS$17),IF($NP$17="Single_Point",IF(246=$NR$17,$NN$17,0),IF($NP$17="Bell_Curve",$NN$17*(246-$NR$17+1)*($NS$17-246+1)/$NU$17,$NN$17/$NT$17)),0)</f>
        <v/>
      </c>
      <c r="IQ17" s="228">
        <f>IF(AND(247&gt;=$NR$17,247&lt;=$NS$17),IF($NP$17="Single_Point",IF(247=$NR$17,$NN$17,0),IF($NP$17="Bell_Curve",$NN$17*(247-$NR$17+1)*($NS$17-247+1)/$NU$17,$NN$17/$NT$17)),0)</f>
        <v/>
      </c>
      <c r="IR17" s="228">
        <f>IF(AND(248&gt;=$NR$17,248&lt;=$NS$17),IF($NP$17="Single_Point",IF(248=$NR$17,$NN$17,0),IF($NP$17="Bell_Curve",$NN$17*(248-$NR$17+1)*($NS$17-248+1)/$NU$17,$NN$17/$NT$17)),0)</f>
        <v/>
      </c>
      <c r="IS17" s="228">
        <f>IF(AND(249&gt;=$NR$17,249&lt;=$NS$17),IF($NP$17="Single_Point",IF(249=$NR$17,$NN$17,0),IF($NP$17="Bell_Curve",$NN$17*(249-$NR$17+1)*($NS$17-249+1)/$NU$17,$NN$17/$NT$17)),0)</f>
        <v/>
      </c>
      <c r="IT17" s="228">
        <f>IF(AND(250&gt;=$NR$17,250&lt;=$NS$17),IF($NP$17="Single_Point",IF(250=$NR$17,$NN$17,0),IF($NP$17="Bell_Curve",$NN$17*(250-$NR$17+1)*($NS$17-250+1)/$NU$17,$NN$17/$NT$17)),0)</f>
        <v/>
      </c>
      <c r="IU17" s="228">
        <f>IF(AND(251&gt;=$NR$17,251&lt;=$NS$17),IF($NP$17="Single_Point",IF(251=$NR$17,$NN$17,0),IF($NP$17="Bell_Curve",$NN$17*(251-$NR$17+1)*($NS$17-251+1)/$NU$17,$NN$17/$NT$17)),0)</f>
        <v/>
      </c>
      <c r="IV17" s="228">
        <f>IF(AND(252&gt;=$NR$17,252&lt;=$NS$17),IF($NP$17="Single_Point",IF(252=$NR$17,$NN$17,0),IF($NP$17="Bell_Curve",$NN$17*(252-$NR$17+1)*($NS$17-252+1)/$NU$17,$NN$17/$NT$17)),0)</f>
        <v/>
      </c>
      <c r="IW17" s="228">
        <f>IF(AND(253&gt;=$NR$17,253&lt;=$NS$17),IF($NP$17="Single_Point",IF(253=$NR$17,$NN$17,0),IF($NP$17="Bell_Curve",$NN$17*(253-$NR$17+1)*($NS$17-253+1)/$NU$17,$NN$17/$NT$17)),0)</f>
        <v/>
      </c>
      <c r="IX17" s="228">
        <f>IF(AND(254&gt;=$NR$17,254&lt;=$NS$17),IF($NP$17="Single_Point",IF(254=$NR$17,$NN$17,0),IF($NP$17="Bell_Curve",$NN$17*(254-$NR$17+1)*($NS$17-254+1)/$NU$17,$NN$17/$NT$17)),0)</f>
        <v/>
      </c>
      <c r="IY17" s="228">
        <f>IF(AND(255&gt;=$NR$17,255&lt;=$NS$17),IF($NP$17="Single_Point",IF(255=$NR$17,$NN$17,0),IF($NP$17="Bell_Curve",$NN$17*(255-$NR$17+1)*($NS$17-255+1)/$NU$17,$NN$17/$NT$17)),0)</f>
        <v/>
      </c>
      <c r="IZ17" s="228">
        <f>IF(AND(256&gt;=$NR$17,256&lt;=$NS$17),IF($NP$17="Single_Point",IF(256=$NR$17,$NN$17,0),IF($NP$17="Bell_Curve",$NN$17*(256-$NR$17+1)*($NS$17-256+1)/$NU$17,$NN$17/$NT$17)),0)</f>
        <v/>
      </c>
      <c r="JA17" s="228">
        <f>IF(AND(257&gt;=$NR$17,257&lt;=$NS$17),IF($NP$17="Single_Point",IF(257=$NR$17,$NN$17,0),IF($NP$17="Bell_Curve",$NN$17*(257-$NR$17+1)*($NS$17-257+1)/$NU$17,$NN$17/$NT$17)),0)</f>
        <v/>
      </c>
      <c r="JB17" s="228">
        <f>IF(AND(258&gt;=$NR$17,258&lt;=$NS$17),IF($NP$17="Single_Point",IF(258=$NR$17,$NN$17,0),IF($NP$17="Bell_Curve",$NN$17*(258-$NR$17+1)*($NS$17-258+1)/$NU$17,$NN$17/$NT$17)),0)</f>
        <v/>
      </c>
      <c r="JC17" s="228">
        <f>IF(AND(259&gt;=$NR$17,259&lt;=$NS$17),IF($NP$17="Single_Point",IF(259=$NR$17,$NN$17,0),IF($NP$17="Bell_Curve",$NN$17*(259-$NR$17+1)*($NS$17-259+1)/$NU$17,$NN$17/$NT$17)),0)</f>
        <v/>
      </c>
      <c r="JD17" s="228">
        <f>IF(AND(260&gt;=$NR$17,260&lt;=$NS$17),IF($NP$17="Single_Point",IF(260=$NR$17,$NN$17,0),IF($NP$17="Bell_Curve",$NN$17*(260-$NR$17+1)*($NS$17-260+1)/$NU$17,$NN$17/$NT$17)),0)</f>
        <v/>
      </c>
      <c r="JE17" s="228">
        <f>IF(AND(261&gt;=$NR$17,261&lt;=$NS$17),IF($NP$17="Single_Point",IF(261=$NR$17,$NN$17,0),IF($NP$17="Bell_Curve",$NN$17*(261-$NR$17+1)*($NS$17-261+1)/$NU$17,$NN$17/$NT$17)),0)</f>
        <v/>
      </c>
      <c r="JF17" s="228">
        <f>IF(AND(262&gt;=$NR$17,262&lt;=$NS$17),IF($NP$17="Single_Point",IF(262=$NR$17,$NN$17,0),IF($NP$17="Bell_Curve",$NN$17*(262-$NR$17+1)*($NS$17-262+1)/$NU$17,$NN$17/$NT$17)),0)</f>
        <v/>
      </c>
      <c r="JG17" s="228">
        <f>IF(AND(263&gt;=$NR$17,263&lt;=$NS$17),IF($NP$17="Single_Point",IF(263=$NR$17,$NN$17,0),IF($NP$17="Bell_Curve",$NN$17*(263-$NR$17+1)*($NS$17-263+1)/$NU$17,$NN$17/$NT$17)),0)</f>
        <v/>
      </c>
      <c r="JH17" s="228">
        <f>IF(AND(264&gt;=$NR$17,264&lt;=$NS$17),IF($NP$17="Single_Point",IF(264=$NR$17,$NN$17,0),IF($NP$17="Bell_Curve",$NN$17*(264-$NR$17+1)*($NS$17-264+1)/$NU$17,$NN$17/$NT$17)),0)</f>
        <v/>
      </c>
      <c r="JI17" s="228">
        <f>IF(AND(265&gt;=$NR$17,265&lt;=$NS$17),IF($NP$17="Single_Point",IF(265=$NR$17,$NN$17,0),IF($NP$17="Bell_Curve",$NN$17*(265-$NR$17+1)*($NS$17-265+1)/$NU$17,$NN$17/$NT$17)),0)</f>
        <v/>
      </c>
      <c r="JJ17" s="228">
        <f>IF(AND(266&gt;=$NR$17,266&lt;=$NS$17),IF($NP$17="Single_Point",IF(266=$NR$17,$NN$17,0),IF($NP$17="Bell_Curve",$NN$17*(266-$NR$17+1)*($NS$17-266+1)/$NU$17,$NN$17/$NT$17)),0)</f>
        <v/>
      </c>
      <c r="JK17" s="228">
        <f>IF(AND(267&gt;=$NR$17,267&lt;=$NS$17),IF($NP$17="Single_Point",IF(267=$NR$17,$NN$17,0),IF($NP$17="Bell_Curve",$NN$17*(267-$NR$17+1)*($NS$17-267+1)/$NU$17,$NN$17/$NT$17)),0)</f>
        <v/>
      </c>
      <c r="JL17" s="228">
        <f>IF(AND(268&gt;=$NR$17,268&lt;=$NS$17),IF($NP$17="Single_Point",IF(268=$NR$17,$NN$17,0),IF($NP$17="Bell_Curve",$NN$17*(268-$NR$17+1)*($NS$17-268+1)/$NU$17,$NN$17/$NT$17)),0)</f>
        <v/>
      </c>
      <c r="JM17" s="228">
        <f>IF(AND(269&gt;=$NR$17,269&lt;=$NS$17),IF($NP$17="Single_Point",IF(269=$NR$17,$NN$17,0),IF($NP$17="Bell_Curve",$NN$17*(269-$NR$17+1)*($NS$17-269+1)/$NU$17,$NN$17/$NT$17)),0)</f>
        <v/>
      </c>
      <c r="JN17" s="228">
        <f>IF(AND(270&gt;=$NR$17,270&lt;=$NS$17),IF($NP$17="Single_Point",IF(270=$NR$17,$NN$17,0),IF($NP$17="Bell_Curve",$NN$17*(270-$NR$17+1)*($NS$17-270+1)/$NU$17,$NN$17/$NT$17)),0)</f>
        <v/>
      </c>
      <c r="JO17" s="228">
        <f>IF(AND(271&gt;=$NR$17,271&lt;=$NS$17),IF($NP$17="Single_Point",IF(271=$NR$17,$NN$17,0),IF($NP$17="Bell_Curve",$NN$17*(271-$NR$17+1)*($NS$17-271+1)/$NU$17,$NN$17/$NT$17)),0)</f>
        <v/>
      </c>
      <c r="JP17" s="228">
        <f>IF(AND(272&gt;=$NR$17,272&lt;=$NS$17),IF($NP$17="Single_Point",IF(272=$NR$17,$NN$17,0),IF($NP$17="Bell_Curve",$NN$17*(272-$NR$17+1)*($NS$17-272+1)/$NU$17,$NN$17/$NT$17)),0)</f>
        <v/>
      </c>
      <c r="JQ17" s="228">
        <f>IF(AND(273&gt;=$NR$17,273&lt;=$NS$17),IF($NP$17="Single_Point",IF(273=$NR$17,$NN$17,0),IF($NP$17="Bell_Curve",$NN$17*(273-$NR$17+1)*($NS$17-273+1)/$NU$17,$NN$17/$NT$17)),0)</f>
        <v/>
      </c>
      <c r="JR17" s="228">
        <f>IF(AND(274&gt;=$NR$17,274&lt;=$NS$17),IF($NP$17="Single_Point",IF(274=$NR$17,$NN$17,0),IF($NP$17="Bell_Curve",$NN$17*(274-$NR$17+1)*($NS$17-274+1)/$NU$17,$NN$17/$NT$17)),0)</f>
        <v/>
      </c>
      <c r="JS17" s="228">
        <f>IF(AND(275&gt;=$NR$17,275&lt;=$NS$17),IF($NP$17="Single_Point",IF(275=$NR$17,$NN$17,0),IF($NP$17="Bell_Curve",$NN$17*(275-$NR$17+1)*($NS$17-275+1)/$NU$17,$NN$17/$NT$17)),0)</f>
        <v/>
      </c>
      <c r="JT17" s="228">
        <f>IF(AND(276&gt;=$NR$17,276&lt;=$NS$17),IF($NP$17="Single_Point",IF(276=$NR$17,$NN$17,0),IF($NP$17="Bell_Curve",$NN$17*(276-$NR$17+1)*($NS$17-276+1)/$NU$17,$NN$17/$NT$17)),0)</f>
        <v/>
      </c>
      <c r="JU17" s="228">
        <f>IF(AND(277&gt;=$NR$17,277&lt;=$NS$17),IF($NP$17="Single_Point",IF(277=$NR$17,$NN$17,0),IF($NP$17="Bell_Curve",$NN$17*(277-$NR$17+1)*($NS$17-277+1)/$NU$17,$NN$17/$NT$17)),0)</f>
        <v/>
      </c>
      <c r="JV17" s="228">
        <f>IF(AND(278&gt;=$NR$17,278&lt;=$NS$17),IF($NP$17="Single_Point",IF(278=$NR$17,$NN$17,0),IF($NP$17="Bell_Curve",$NN$17*(278-$NR$17+1)*($NS$17-278+1)/$NU$17,$NN$17/$NT$17)),0)</f>
        <v/>
      </c>
      <c r="JW17" s="228">
        <f>IF(AND(279&gt;=$NR$17,279&lt;=$NS$17),IF($NP$17="Single_Point",IF(279=$NR$17,$NN$17,0),IF($NP$17="Bell_Curve",$NN$17*(279-$NR$17+1)*($NS$17-279+1)/$NU$17,$NN$17/$NT$17)),0)</f>
        <v/>
      </c>
      <c r="JX17" s="228">
        <f>IF(AND(280&gt;=$NR$17,280&lt;=$NS$17),IF($NP$17="Single_Point",IF(280=$NR$17,$NN$17,0),IF($NP$17="Bell_Curve",$NN$17*(280-$NR$17+1)*($NS$17-280+1)/$NU$17,$NN$17/$NT$17)),0)</f>
        <v/>
      </c>
      <c r="JY17" s="228">
        <f>IF(AND(281&gt;=$NR$17,281&lt;=$NS$17),IF($NP$17="Single_Point",IF(281=$NR$17,$NN$17,0),IF($NP$17="Bell_Curve",$NN$17*(281-$NR$17+1)*($NS$17-281+1)/$NU$17,$NN$17/$NT$17)),0)</f>
        <v/>
      </c>
      <c r="JZ17" s="228">
        <f>IF(AND(282&gt;=$NR$17,282&lt;=$NS$17),IF($NP$17="Single_Point",IF(282=$NR$17,$NN$17,0),IF($NP$17="Bell_Curve",$NN$17*(282-$NR$17+1)*($NS$17-282+1)/$NU$17,$NN$17/$NT$17)),0)</f>
        <v/>
      </c>
      <c r="KA17" s="228">
        <f>IF(AND(283&gt;=$NR$17,283&lt;=$NS$17),IF($NP$17="Single_Point",IF(283=$NR$17,$NN$17,0),IF($NP$17="Bell_Curve",$NN$17*(283-$NR$17+1)*($NS$17-283+1)/$NU$17,$NN$17/$NT$17)),0)</f>
        <v/>
      </c>
      <c r="KB17" s="228">
        <f>IF(AND(284&gt;=$NR$17,284&lt;=$NS$17),IF($NP$17="Single_Point",IF(284=$NR$17,$NN$17,0),IF($NP$17="Bell_Curve",$NN$17*(284-$NR$17+1)*($NS$17-284+1)/$NU$17,$NN$17/$NT$17)),0)</f>
        <v/>
      </c>
      <c r="KC17" s="228">
        <f>IF(AND(285&gt;=$NR$17,285&lt;=$NS$17),IF($NP$17="Single_Point",IF(285=$NR$17,$NN$17,0),IF($NP$17="Bell_Curve",$NN$17*(285-$NR$17+1)*($NS$17-285+1)/$NU$17,$NN$17/$NT$17)),0)</f>
        <v/>
      </c>
      <c r="KD17" s="228">
        <f>IF(AND(286&gt;=$NR$17,286&lt;=$NS$17),IF($NP$17="Single_Point",IF(286=$NR$17,$NN$17,0),IF($NP$17="Bell_Curve",$NN$17*(286-$NR$17+1)*($NS$17-286+1)/$NU$17,$NN$17/$NT$17)),0)</f>
        <v/>
      </c>
      <c r="KE17" s="228">
        <f>IF(AND(287&gt;=$NR$17,287&lt;=$NS$17),IF($NP$17="Single_Point",IF(287=$NR$17,$NN$17,0),IF($NP$17="Bell_Curve",$NN$17*(287-$NR$17+1)*($NS$17-287+1)/$NU$17,$NN$17/$NT$17)),0)</f>
        <v/>
      </c>
      <c r="KF17" s="228">
        <f>IF(AND(288&gt;=$NR$17,288&lt;=$NS$17),IF($NP$17="Single_Point",IF(288=$NR$17,$NN$17,0),IF($NP$17="Bell_Curve",$NN$17*(288-$NR$17+1)*($NS$17-288+1)/$NU$17,$NN$17/$NT$17)),0)</f>
        <v/>
      </c>
      <c r="KG17" s="228">
        <f>IF(AND(289&gt;=$NR$17,289&lt;=$NS$17),IF($NP$17="Single_Point",IF(289=$NR$17,$NN$17,0),IF($NP$17="Bell_Curve",$NN$17*(289-$NR$17+1)*($NS$17-289+1)/$NU$17,$NN$17/$NT$17)),0)</f>
        <v/>
      </c>
      <c r="KH17" s="228">
        <f>IF(AND(290&gt;=$NR$17,290&lt;=$NS$17),IF($NP$17="Single_Point",IF(290=$NR$17,$NN$17,0),IF($NP$17="Bell_Curve",$NN$17*(290-$NR$17+1)*($NS$17-290+1)/$NU$17,$NN$17/$NT$17)),0)</f>
        <v/>
      </c>
      <c r="KI17" s="228">
        <f>IF(AND(291&gt;=$NR$17,291&lt;=$NS$17),IF($NP$17="Single_Point",IF(291=$NR$17,$NN$17,0),IF($NP$17="Bell_Curve",$NN$17*(291-$NR$17+1)*($NS$17-291+1)/$NU$17,$NN$17/$NT$17)),0)</f>
        <v/>
      </c>
      <c r="KJ17" s="228">
        <f>IF(AND(292&gt;=$NR$17,292&lt;=$NS$17),IF($NP$17="Single_Point",IF(292=$NR$17,$NN$17,0),IF($NP$17="Bell_Curve",$NN$17*(292-$NR$17+1)*($NS$17-292+1)/$NU$17,$NN$17/$NT$17)),0)</f>
        <v/>
      </c>
      <c r="KK17" s="228">
        <f>IF(AND(293&gt;=$NR$17,293&lt;=$NS$17),IF($NP$17="Single_Point",IF(293=$NR$17,$NN$17,0),IF($NP$17="Bell_Curve",$NN$17*(293-$NR$17+1)*($NS$17-293+1)/$NU$17,$NN$17/$NT$17)),0)</f>
        <v/>
      </c>
      <c r="KL17" s="228">
        <f>IF(AND(294&gt;=$NR$17,294&lt;=$NS$17),IF($NP$17="Single_Point",IF(294=$NR$17,$NN$17,0),IF($NP$17="Bell_Curve",$NN$17*(294-$NR$17+1)*($NS$17-294+1)/$NU$17,$NN$17/$NT$17)),0)</f>
        <v/>
      </c>
      <c r="KM17" s="228">
        <f>IF(AND(295&gt;=$NR$17,295&lt;=$NS$17),IF($NP$17="Single_Point",IF(295=$NR$17,$NN$17,0),IF($NP$17="Bell_Curve",$NN$17*(295-$NR$17+1)*($NS$17-295+1)/$NU$17,$NN$17/$NT$17)),0)</f>
        <v/>
      </c>
      <c r="KN17" s="228">
        <f>IF(AND(296&gt;=$NR$17,296&lt;=$NS$17),IF($NP$17="Single_Point",IF(296=$NR$17,$NN$17,0),IF($NP$17="Bell_Curve",$NN$17*(296-$NR$17+1)*($NS$17-296+1)/$NU$17,$NN$17/$NT$17)),0)</f>
        <v/>
      </c>
      <c r="KO17" s="228">
        <f>IF(AND(297&gt;=$NR$17,297&lt;=$NS$17),IF($NP$17="Single_Point",IF(297=$NR$17,$NN$17,0),IF($NP$17="Bell_Curve",$NN$17*(297-$NR$17+1)*($NS$17-297+1)/$NU$17,$NN$17/$NT$17)),0)</f>
        <v/>
      </c>
      <c r="KP17" s="228">
        <f>IF(AND(298&gt;=$NR$17,298&lt;=$NS$17),IF($NP$17="Single_Point",IF(298=$NR$17,$NN$17,0),IF($NP$17="Bell_Curve",$NN$17*(298-$NR$17+1)*($NS$17-298+1)/$NU$17,$NN$17/$NT$17)),0)</f>
        <v/>
      </c>
      <c r="KQ17" s="228">
        <f>IF(AND(299&gt;=$NR$17,299&lt;=$NS$17),IF($NP$17="Single_Point",IF(299=$NR$17,$NN$17,0),IF($NP$17="Bell_Curve",$NN$17*(299-$NR$17+1)*($NS$17-299+1)/$NU$17,$NN$17/$NT$17)),0)</f>
        <v/>
      </c>
      <c r="KR17" s="228">
        <f>IF(AND(300&gt;=$NR$17,300&lt;=$NS$17),IF($NP$17="Single_Point",IF(300=$NR$17,$NN$17,0),IF($NP$17="Bell_Curve",$NN$17*(300-$NR$17+1)*($NS$17-300+1)/$NU$17,$NN$17/$NT$17)),0)</f>
        <v/>
      </c>
      <c r="KS17" s="228">
        <f>IF(AND(301&gt;=$NR$17,301&lt;=$NS$17),IF($NP$17="Single_Point",IF(301=$NR$17,$NN$17,0),IF($NP$17="Bell_Curve",$NN$17*(301-$NR$17+1)*($NS$17-301+1)/$NU$17,$NN$17/$NT$17)),0)</f>
        <v/>
      </c>
      <c r="KT17" s="228">
        <f>IF(AND(302&gt;=$NR$17,302&lt;=$NS$17),IF($NP$17="Single_Point",IF(302=$NR$17,$NN$17,0),IF($NP$17="Bell_Curve",$NN$17*(302-$NR$17+1)*($NS$17-302+1)/$NU$17,$NN$17/$NT$17)),0)</f>
        <v/>
      </c>
      <c r="KU17" s="228">
        <f>IF(AND(303&gt;=$NR$17,303&lt;=$NS$17),IF($NP$17="Single_Point",IF(303=$NR$17,$NN$17,0),IF($NP$17="Bell_Curve",$NN$17*(303-$NR$17+1)*($NS$17-303+1)/$NU$17,$NN$17/$NT$17)),0)</f>
        <v/>
      </c>
      <c r="KV17" s="228">
        <f>IF(AND(304&gt;=$NR$17,304&lt;=$NS$17),IF($NP$17="Single_Point",IF(304=$NR$17,$NN$17,0),IF($NP$17="Bell_Curve",$NN$17*(304-$NR$17+1)*($NS$17-304+1)/$NU$17,$NN$17/$NT$17)),0)</f>
        <v/>
      </c>
      <c r="KW17" s="228">
        <f>IF(AND(305&gt;=$NR$17,305&lt;=$NS$17),IF($NP$17="Single_Point",IF(305=$NR$17,$NN$17,0),IF($NP$17="Bell_Curve",$NN$17*(305-$NR$17+1)*($NS$17-305+1)/$NU$17,$NN$17/$NT$17)),0)</f>
        <v/>
      </c>
      <c r="KX17" s="228">
        <f>IF(AND(306&gt;=$NR$17,306&lt;=$NS$17),IF($NP$17="Single_Point",IF(306=$NR$17,$NN$17,0),IF($NP$17="Bell_Curve",$NN$17*(306-$NR$17+1)*($NS$17-306+1)/$NU$17,$NN$17/$NT$17)),0)</f>
        <v/>
      </c>
      <c r="KY17" s="228">
        <f>IF(AND(307&gt;=$NR$17,307&lt;=$NS$17),IF($NP$17="Single_Point",IF(307=$NR$17,$NN$17,0),IF($NP$17="Bell_Curve",$NN$17*(307-$NR$17+1)*($NS$17-307+1)/$NU$17,$NN$17/$NT$17)),0)</f>
        <v/>
      </c>
      <c r="KZ17" s="228">
        <f>IF(AND(308&gt;=$NR$17,308&lt;=$NS$17),IF($NP$17="Single_Point",IF(308=$NR$17,$NN$17,0),IF($NP$17="Bell_Curve",$NN$17*(308-$NR$17+1)*($NS$17-308+1)/$NU$17,$NN$17/$NT$17)),0)</f>
        <v/>
      </c>
      <c r="LA17" s="228">
        <f>IF(AND(309&gt;=$NR$17,309&lt;=$NS$17),IF($NP$17="Single_Point",IF(309=$NR$17,$NN$17,0),IF($NP$17="Bell_Curve",$NN$17*(309-$NR$17+1)*($NS$17-309+1)/$NU$17,$NN$17/$NT$17)),0)</f>
        <v/>
      </c>
      <c r="LB17" s="228">
        <f>IF(AND(310&gt;=$NR$17,310&lt;=$NS$17),IF($NP$17="Single_Point",IF(310=$NR$17,$NN$17,0),IF($NP$17="Bell_Curve",$NN$17*(310-$NR$17+1)*($NS$17-310+1)/$NU$17,$NN$17/$NT$17)),0)</f>
        <v/>
      </c>
      <c r="LC17" s="228">
        <f>IF(AND(311&gt;=$NR$17,311&lt;=$NS$17),IF($NP$17="Single_Point",IF(311=$NR$17,$NN$17,0),IF($NP$17="Bell_Curve",$NN$17*(311-$NR$17+1)*($NS$17-311+1)/$NU$17,$NN$17/$NT$17)),0)</f>
        <v/>
      </c>
      <c r="LD17" s="228">
        <f>IF(AND(312&gt;=$NR$17,312&lt;=$NS$17),IF($NP$17="Single_Point",IF(312=$NR$17,$NN$17,0),IF($NP$17="Bell_Curve",$NN$17*(312-$NR$17+1)*($NS$17-312+1)/$NU$17,$NN$17/$NT$17)),0)</f>
        <v/>
      </c>
      <c r="LE17" s="228">
        <f>IF(AND(313&gt;=$NR$17,313&lt;=$NS$17),IF($NP$17="Single_Point",IF(313=$NR$17,$NN$17,0),IF($NP$17="Bell_Curve",$NN$17*(313-$NR$17+1)*($NS$17-313+1)/$NU$17,$NN$17/$NT$17)),0)</f>
        <v/>
      </c>
      <c r="LF17" s="228">
        <f>IF(AND(314&gt;=$NR$17,314&lt;=$NS$17),IF($NP$17="Single_Point",IF(314=$NR$17,$NN$17,0),IF($NP$17="Bell_Curve",$NN$17*(314-$NR$17+1)*($NS$17-314+1)/$NU$17,$NN$17/$NT$17)),0)</f>
        <v/>
      </c>
      <c r="LG17" s="228">
        <f>IF(AND(315&gt;=$NR$17,315&lt;=$NS$17),IF($NP$17="Single_Point",IF(315=$NR$17,$NN$17,0),IF($NP$17="Bell_Curve",$NN$17*(315-$NR$17+1)*($NS$17-315+1)/$NU$17,$NN$17/$NT$17)),0)</f>
        <v/>
      </c>
      <c r="LH17" s="228">
        <f>IF(AND(316&gt;=$NR$17,316&lt;=$NS$17),IF($NP$17="Single_Point",IF(316=$NR$17,$NN$17,0),IF($NP$17="Bell_Curve",$NN$17*(316-$NR$17+1)*($NS$17-316+1)/$NU$17,$NN$17/$NT$17)),0)</f>
        <v/>
      </c>
      <c r="LI17" s="228">
        <f>IF(AND(317&gt;=$NR$17,317&lt;=$NS$17),IF($NP$17="Single_Point",IF(317=$NR$17,$NN$17,0),IF($NP$17="Bell_Curve",$NN$17*(317-$NR$17+1)*($NS$17-317+1)/$NU$17,$NN$17/$NT$17)),0)</f>
        <v/>
      </c>
      <c r="LJ17" s="228">
        <f>IF(AND(318&gt;=$NR$17,318&lt;=$NS$17),IF($NP$17="Single_Point",IF(318=$NR$17,$NN$17,0),IF($NP$17="Bell_Curve",$NN$17*(318-$NR$17+1)*($NS$17-318+1)/$NU$17,$NN$17/$NT$17)),0)</f>
        <v/>
      </c>
      <c r="LK17" s="228">
        <f>IF(AND(319&gt;=$NR$17,319&lt;=$NS$17),IF($NP$17="Single_Point",IF(319=$NR$17,$NN$17,0),IF($NP$17="Bell_Curve",$NN$17*(319-$NR$17+1)*($NS$17-319+1)/$NU$17,$NN$17/$NT$17)),0)</f>
        <v/>
      </c>
      <c r="LL17" s="228">
        <f>IF(AND(320&gt;=$NR$17,320&lt;=$NS$17),IF($NP$17="Single_Point",IF(320=$NR$17,$NN$17,0),IF($NP$17="Bell_Curve",$NN$17*(320-$NR$17+1)*($NS$17-320+1)/$NU$17,$NN$17/$NT$17)),0)</f>
        <v/>
      </c>
      <c r="LM17" s="228">
        <f>IF(AND(321&gt;=$NR$17,321&lt;=$NS$17),IF($NP$17="Single_Point",IF(321=$NR$17,$NN$17,0),IF($NP$17="Bell_Curve",$NN$17*(321-$NR$17+1)*($NS$17-321+1)/$NU$17,$NN$17/$NT$17)),0)</f>
        <v/>
      </c>
      <c r="LN17" s="228">
        <f>IF(AND(322&gt;=$NR$17,322&lt;=$NS$17),IF($NP$17="Single_Point",IF(322=$NR$17,$NN$17,0),IF($NP$17="Bell_Curve",$NN$17*(322-$NR$17+1)*($NS$17-322+1)/$NU$17,$NN$17/$NT$17)),0)</f>
        <v/>
      </c>
      <c r="LO17" s="228">
        <f>IF(AND(323&gt;=$NR$17,323&lt;=$NS$17),IF($NP$17="Single_Point",IF(323=$NR$17,$NN$17,0),IF($NP$17="Bell_Curve",$NN$17*(323-$NR$17+1)*($NS$17-323+1)/$NU$17,$NN$17/$NT$17)),0)</f>
        <v/>
      </c>
      <c r="LP17" s="228">
        <f>IF(AND(324&gt;=$NR$17,324&lt;=$NS$17),IF($NP$17="Single_Point",IF(324=$NR$17,$NN$17,0),IF($NP$17="Bell_Curve",$NN$17*(324-$NR$17+1)*($NS$17-324+1)/$NU$17,$NN$17/$NT$17)),0)</f>
        <v/>
      </c>
      <c r="LQ17" s="228">
        <f>IF(AND(325&gt;=$NR$17,325&lt;=$NS$17),IF($NP$17="Single_Point",IF(325=$NR$17,$NN$17,0),IF($NP$17="Bell_Curve",$NN$17*(325-$NR$17+1)*($NS$17-325+1)/$NU$17,$NN$17/$NT$17)),0)</f>
        <v/>
      </c>
      <c r="LR17" s="228">
        <f>IF(AND(326&gt;=$NR$17,326&lt;=$NS$17),IF($NP$17="Single_Point",IF(326=$NR$17,$NN$17,0),IF($NP$17="Bell_Curve",$NN$17*(326-$NR$17+1)*($NS$17-326+1)/$NU$17,$NN$17/$NT$17)),0)</f>
        <v/>
      </c>
      <c r="LS17" s="228">
        <f>IF(AND(327&gt;=$NR$17,327&lt;=$NS$17),IF($NP$17="Single_Point",IF(327=$NR$17,$NN$17,0),IF($NP$17="Bell_Curve",$NN$17*(327-$NR$17+1)*($NS$17-327+1)/$NU$17,$NN$17/$NT$17)),0)</f>
        <v/>
      </c>
      <c r="LT17" s="228">
        <f>IF(AND(328&gt;=$NR$17,328&lt;=$NS$17),IF($NP$17="Single_Point",IF(328=$NR$17,$NN$17,0),IF($NP$17="Bell_Curve",$NN$17*(328-$NR$17+1)*($NS$17-328+1)/$NU$17,$NN$17/$NT$17)),0)</f>
        <v/>
      </c>
      <c r="LU17" s="228">
        <f>IF(AND(329&gt;=$NR$17,329&lt;=$NS$17),IF($NP$17="Single_Point",IF(329=$NR$17,$NN$17,0),IF($NP$17="Bell_Curve",$NN$17*(329-$NR$17+1)*($NS$17-329+1)/$NU$17,$NN$17/$NT$17)),0)</f>
        <v/>
      </c>
      <c r="LV17" s="228">
        <f>IF(AND(330&gt;=$NR$17,330&lt;=$NS$17),IF($NP$17="Single_Point",IF(330=$NR$17,$NN$17,0),IF($NP$17="Bell_Curve",$NN$17*(330-$NR$17+1)*($NS$17-330+1)/$NU$17,$NN$17/$NT$17)),0)</f>
        <v/>
      </c>
      <c r="LW17" s="228">
        <f>IF(AND(331&gt;=$NR$17,331&lt;=$NS$17),IF($NP$17="Single_Point",IF(331=$NR$17,$NN$17,0),IF($NP$17="Bell_Curve",$NN$17*(331-$NR$17+1)*($NS$17-331+1)/$NU$17,$NN$17/$NT$17)),0)</f>
        <v/>
      </c>
      <c r="LX17" s="228">
        <f>IF(AND(332&gt;=$NR$17,332&lt;=$NS$17),IF($NP$17="Single_Point",IF(332=$NR$17,$NN$17,0),IF($NP$17="Bell_Curve",$NN$17*(332-$NR$17+1)*($NS$17-332+1)/$NU$17,$NN$17/$NT$17)),0)</f>
        <v/>
      </c>
      <c r="LY17" s="228">
        <f>IF(AND(333&gt;=$NR$17,333&lt;=$NS$17),IF($NP$17="Single_Point",IF(333=$NR$17,$NN$17,0),IF($NP$17="Bell_Curve",$NN$17*(333-$NR$17+1)*($NS$17-333+1)/$NU$17,$NN$17/$NT$17)),0)</f>
        <v/>
      </c>
      <c r="LZ17" s="228">
        <f>IF(AND(334&gt;=$NR$17,334&lt;=$NS$17),IF($NP$17="Single_Point",IF(334=$NR$17,$NN$17,0),IF($NP$17="Bell_Curve",$NN$17*(334-$NR$17+1)*($NS$17-334+1)/$NU$17,$NN$17/$NT$17)),0)</f>
        <v/>
      </c>
      <c r="MA17" s="228">
        <f>IF(AND(335&gt;=$NR$17,335&lt;=$NS$17),IF($NP$17="Single_Point",IF(335=$NR$17,$NN$17,0),IF($NP$17="Bell_Curve",$NN$17*(335-$NR$17+1)*($NS$17-335+1)/$NU$17,$NN$17/$NT$17)),0)</f>
        <v/>
      </c>
      <c r="MB17" s="228">
        <f>IF(AND(336&gt;=$NR$17,336&lt;=$NS$17),IF($NP$17="Single_Point",IF(336=$NR$17,$NN$17,0),IF($NP$17="Bell_Curve",$NN$17*(336-$NR$17+1)*($NS$17-336+1)/$NU$17,$NN$17/$NT$17)),0)</f>
        <v/>
      </c>
      <c r="MC17" s="228">
        <f>IF(AND(337&gt;=$NR$17,337&lt;=$NS$17),IF($NP$17="Single_Point",IF(337=$NR$17,$NN$17,0),IF($NP$17="Bell_Curve",$NN$17*(337-$NR$17+1)*($NS$17-337+1)/$NU$17,$NN$17/$NT$17)),0)</f>
        <v/>
      </c>
      <c r="MD17" s="228">
        <f>IF(AND(338&gt;=$NR$17,338&lt;=$NS$17),IF($NP$17="Single_Point",IF(338=$NR$17,$NN$17,0),IF($NP$17="Bell_Curve",$NN$17*(338-$NR$17+1)*($NS$17-338+1)/$NU$17,$NN$17/$NT$17)),0)</f>
        <v/>
      </c>
      <c r="ME17" s="228">
        <f>IF(AND(339&gt;=$NR$17,339&lt;=$NS$17),IF($NP$17="Single_Point",IF(339=$NR$17,$NN$17,0),IF($NP$17="Bell_Curve",$NN$17*(339-$NR$17+1)*($NS$17-339+1)/$NU$17,$NN$17/$NT$17)),0)</f>
        <v/>
      </c>
      <c r="MF17" s="228">
        <f>IF(AND(340&gt;=$NR$17,340&lt;=$NS$17),IF($NP$17="Single_Point",IF(340=$NR$17,$NN$17,0),IF($NP$17="Bell_Curve",$NN$17*(340-$NR$17+1)*($NS$17-340+1)/$NU$17,$NN$17/$NT$17)),0)</f>
        <v/>
      </c>
      <c r="MG17" s="228">
        <f>IF(AND(341&gt;=$NR$17,341&lt;=$NS$17),IF($NP$17="Single_Point",IF(341=$NR$17,$NN$17,0),IF($NP$17="Bell_Curve",$NN$17*(341-$NR$17+1)*($NS$17-341+1)/$NU$17,$NN$17/$NT$17)),0)</f>
        <v/>
      </c>
      <c r="MH17" s="228">
        <f>IF(AND(342&gt;=$NR$17,342&lt;=$NS$17),IF($NP$17="Single_Point",IF(342=$NR$17,$NN$17,0),IF($NP$17="Bell_Curve",$NN$17*(342-$NR$17+1)*($NS$17-342+1)/$NU$17,$NN$17/$NT$17)),0)</f>
        <v/>
      </c>
      <c r="MI17" s="228">
        <f>IF(AND(343&gt;=$NR$17,343&lt;=$NS$17),IF($NP$17="Single_Point",IF(343=$NR$17,$NN$17,0),IF($NP$17="Bell_Curve",$NN$17*(343-$NR$17+1)*($NS$17-343+1)/$NU$17,$NN$17/$NT$17)),0)</f>
        <v/>
      </c>
      <c r="MJ17" s="228">
        <f>IF(AND(344&gt;=$NR$17,344&lt;=$NS$17),IF($NP$17="Single_Point",IF(344=$NR$17,$NN$17,0),IF($NP$17="Bell_Curve",$NN$17*(344-$NR$17+1)*($NS$17-344+1)/$NU$17,$NN$17/$NT$17)),0)</f>
        <v/>
      </c>
      <c r="MK17" s="228">
        <f>IF(AND(345&gt;=$NR$17,345&lt;=$NS$17),IF($NP$17="Single_Point",IF(345=$NR$17,$NN$17,0),IF($NP$17="Bell_Curve",$NN$17*(345-$NR$17+1)*($NS$17-345+1)/$NU$17,$NN$17/$NT$17)),0)</f>
        <v/>
      </c>
      <c r="ML17" s="228">
        <f>IF(AND(346&gt;=$NR$17,346&lt;=$NS$17),IF($NP$17="Single_Point",IF(346=$NR$17,$NN$17,0),IF($NP$17="Bell_Curve",$NN$17*(346-$NR$17+1)*($NS$17-346+1)/$NU$17,$NN$17/$NT$17)),0)</f>
        <v/>
      </c>
      <c r="MM17" s="228">
        <f>IF(AND(347&gt;=$NR$17,347&lt;=$NS$17),IF($NP$17="Single_Point",IF(347=$NR$17,$NN$17,0),IF($NP$17="Bell_Curve",$NN$17*(347-$NR$17+1)*($NS$17-347+1)/$NU$17,$NN$17/$NT$17)),0)</f>
        <v/>
      </c>
      <c r="MN17" s="228">
        <f>IF(AND(348&gt;=$NR$17,348&lt;=$NS$17),IF($NP$17="Single_Point",IF(348=$NR$17,$NN$17,0),IF($NP$17="Bell_Curve",$NN$17*(348-$NR$17+1)*($NS$17-348+1)/$NU$17,$NN$17/$NT$17)),0)</f>
        <v/>
      </c>
      <c r="MO17" s="228">
        <f>IF(AND(349&gt;=$NR$17,349&lt;=$NS$17),IF($NP$17="Single_Point",IF(349=$NR$17,$NN$17,0),IF($NP$17="Bell_Curve",$NN$17*(349-$NR$17+1)*($NS$17-349+1)/$NU$17,$NN$17/$NT$17)),0)</f>
        <v/>
      </c>
      <c r="MP17" s="228">
        <f>IF(AND(350&gt;=$NR$17,350&lt;=$NS$17),IF($NP$17="Single_Point",IF(350=$NR$17,$NN$17,0),IF($NP$17="Bell_Curve",$NN$17*(350-$NR$17+1)*($NS$17-350+1)/$NU$17,$NN$17/$NT$17)),0)</f>
        <v/>
      </c>
      <c r="MQ17" s="228">
        <f>IF(AND(351&gt;=$NR$17,351&lt;=$NS$17),IF($NP$17="Single_Point",IF(351=$NR$17,$NN$17,0),IF($NP$17="Bell_Curve",$NN$17*(351-$NR$17+1)*($NS$17-351+1)/$NU$17,$NN$17/$NT$17)),0)</f>
        <v/>
      </c>
      <c r="MR17" s="228">
        <f>IF(AND(352&gt;=$NR$17,352&lt;=$NS$17),IF($NP$17="Single_Point",IF(352=$NR$17,$NN$17,0),IF($NP$17="Bell_Curve",$NN$17*(352-$NR$17+1)*($NS$17-352+1)/$NU$17,$NN$17/$NT$17)),0)</f>
        <v/>
      </c>
      <c r="MS17" s="228">
        <f>IF(AND(353&gt;=$NR$17,353&lt;=$NS$17),IF($NP$17="Single_Point",IF(353=$NR$17,$NN$17,0),IF($NP$17="Bell_Curve",$NN$17*(353-$NR$17+1)*($NS$17-353+1)/$NU$17,$NN$17/$NT$17)),0)</f>
        <v/>
      </c>
      <c r="MT17" s="228">
        <f>IF(AND(354&gt;=$NR$17,354&lt;=$NS$17),IF($NP$17="Single_Point",IF(354=$NR$17,$NN$17,0),IF($NP$17="Bell_Curve",$NN$17*(354-$NR$17+1)*($NS$17-354+1)/$NU$17,$NN$17/$NT$17)),0)</f>
        <v/>
      </c>
      <c r="MU17" s="228">
        <f>IF(AND(355&gt;=$NR$17,355&lt;=$NS$17),IF($NP$17="Single_Point",IF(355=$NR$17,$NN$17,0),IF($NP$17="Bell_Curve",$NN$17*(355-$NR$17+1)*($NS$17-355+1)/$NU$17,$NN$17/$NT$17)),0)</f>
        <v/>
      </c>
      <c r="MV17" s="228">
        <f>IF(AND(356&gt;=$NR$17,356&lt;=$NS$17),IF($NP$17="Single_Point",IF(356=$NR$17,$NN$17,0),IF($NP$17="Bell_Curve",$NN$17*(356-$NR$17+1)*($NS$17-356+1)/$NU$17,$NN$17/$NT$17)),0)</f>
        <v/>
      </c>
      <c r="MW17" s="228">
        <f>IF(AND(357&gt;=$NR$17,357&lt;=$NS$17),IF($NP$17="Single_Point",IF(357=$NR$17,$NN$17,0),IF($NP$17="Bell_Curve",$NN$17*(357-$NR$17+1)*($NS$17-357+1)/$NU$17,$NN$17/$NT$17)),0)</f>
        <v/>
      </c>
      <c r="MX17" s="228">
        <f>IF(AND(358&gt;=$NR$17,358&lt;=$NS$17),IF($NP$17="Single_Point",IF(358=$NR$17,$NN$17,0),IF($NP$17="Bell_Curve",$NN$17*(358-$NR$17+1)*($NS$17-358+1)/$NU$17,$NN$17/$NT$17)),0)</f>
        <v/>
      </c>
      <c r="MY17" s="228">
        <f>IF(AND(359&gt;=$NR$17,359&lt;=$NS$17),IF($NP$17="Single_Point",IF(359=$NR$17,$NN$17,0),IF($NP$17="Bell_Curve",$NN$17*(359-$NR$17+1)*($NS$17-359+1)/$NU$17,$NN$17/$NT$17)),0)</f>
        <v/>
      </c>
      <c r="MZ17" s="228">
        <f>IF(AND(360&gt;=$NR$17,360&lt;=$NS$17),IF($NP$17="Single_Point",IF(360=$NR$17,$NN$17,0),IF($NP$17="Bell_Curve",$NN$17*(360-$NR$17+1)*($NS$17-360+1)/$NU$17,$NN$17/$NT$17)),0)</f>
        <v/>
      </c>
      <c r="NA17" s="228">
        <f>IF(AND(361&gt;=$NR$17,361&lt;=$NS$17),IF($NP$17="Single_Point",IF(361=$NR$17,$NN$17,0),IF($NP$17="Bell_Curve",$NN$17*(361-$NR$17+1)*($NS$17-361+1)/$NU$17,$NN$17/$NT$17)),0)</f>
        <v/>
      </c>
      <c r="NB17" s="228">
        <f>IF(AND(362&gt;=$NR$17,362&lt;=$NS$17),IF($NP$17="Single_Point",IF(362=$NR$17,$NN$17,0),IF($NP$17="Bell_Curve",$NN$17*(362-$NR$17+1)*($NS$17-362+1)/$NU$17,$NN$17/$NT$17)),0)</f>
        <v/>
      </c>
      <c r="NC17" s="228">
        <f>IF(AND(363&gt;=$NR$17,363&lt;=$NS$17),IF($NP$17="Single_Point",IF(363=$NR$17,$NN$17,0),IF($NP$17="Bell_Curve",$NN$17*(363-$NR$17+1)*($NS$17-363+1)/$NU$17,$NN$17/$NT$17)),0)</f>
        <v/>
      </c>
      <c r="ND17" s="228">
        <f>IF(AND(364&gt;=$NR$17,364&lt;=$NS$17),IF($NP$17="Single_Point",IF(364=$NR$17,$NN$17,0),IF($NP$17="Bell_Curve",$NN$17*(364-$NR$17+1)*($NS$17-364+1)/$NU$17,$NN$17/$NT$17)),0)</f>
        <v/>
      </c>
      <c r="NE17" s="228">
        <f>IF(AND(365&gt;=$NR$17,365&lt;=$NS$17),IF($NP$17="Single_Point",IF(365=$NR$17,$NN$17,0),IF($NP$17="Bell_Curve",$NN$17*(365-$NR$17+1)*($NS$17-365+1)/$NU$17,$NN$17/$NT$17)),0)</f>
        <v/>
      </c>
      <c r="NF17" s="228">
        <f>IF(AND(366&gt;=$NR$17,366&lt;=$NS$17),IF($NP$17="Single_Point",IF(366=$NR$17,$NN$17,0),IF($NP$17="Bell_Curve",$NN$17*(366-$NR$17+1)*($NS$17-366+1)/$NU$17,$NN$17/$NT$17)),0)</f>
        <v/>
      </c>
      <c r="NG17" s="228">
        <f>IF(AND(367&gt;=$NR$17,367&lt;=$NS$17),IF($NP$17="Single_Point",IF(367=$NR$17,$NN$17,0),IF($NP$17="Bell_Curve",$NN$17*(367-$NR$17+1)*($NS$17-367+1)/$NU$17,$NN$17/$NT$17)),0)</f>
        <v/>
      </c>
      <c r="NH17" s="228">
        <f>IF(AND(368&gt;=$NR$17,368&lt;=$NS$17),IF($NP$17="Single_Point",IF(368=$NR$17,$NN$17,0),IF($NP$17="Bell_Curve",$NN$17*(368-$NR$17+1)*($NS$17-368+1)/$NU$17,$NN$17/$NT$17)),0)</f>
        <v/>
      </c>
      <c r="NI17" s="228">
        <f>IF(AND(369&gt;=$NR$17,369&lt;=$NS$17),IF($NP$17="Single_Point",IF(369=$NR$17,$NN$17,0),IF($NP$17="Bell_Curve",$NN$17*(369-$NR$17+1)*($NS$17-369+1)/$NU$17,$NN$17/$NT$17)),0)</f>
        <v/>
      </c>
      <c r="NJ17" s="228">
        <f>IF(AND(370&gt;=$NR$17,370&lt;=$NS$17),IF($NP$17="Single_Point",IF(370=$NR$17,$NN$17,0),IF($NP$17="Bell_Curve",$NN$17*(370-$NR$17+1)*($NS$17-370+1)/$NU$17,$NN$17/$NT$17)),0)</f>
        <v/>
      </c>
      <c r="NK17" s="228">
        <f>IF(AND(371&gt;=$NR$17,371&lt;=$NS$17),IF($NP$17="Single_Point",IF(371=$NR$17,$NN$17,0),IF($NP$17="Bell_Curve",$NN$17*(371-$NR$17+1)*($NS$17-371+1)/$NU$17,$NN$17/$NT$17)),0)</f>
        <v/>
      </c>
      <c r="NL17" s="247">
        <f>IF(AND(372&gt;=$NR$17,372&lt;=$NS$17),IF($NP$17="Single_Point",IF(372=$NR$17,$NN$17,0),IF($NP$17="Bell_Curve",$NN$17*(372-$NR$17+1)*($NS$17-372+1)/$NU$17,$NN$17/$NT$17)),0)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36" t="inlineStr">
        <is>
          <t>Builder's Risk</t>
        </is>
      </c>
      <c r="D18" s="246">
        <f>SUM(E18:NL18)</f>
        <v/>
      </c>
      <c r="E18" s="228">
        <f>IF(AND(1&gt;=$NR$18,1&lt;=$NS$18),IF($NP$18="Single_Point",IF(1=$NR$18,$NN$18,0),IF($NP$18="Bell_Curve",$NN$18*(1-$NR$18+1)*($NS$18-1+1)/$NU$18,$NN$18/$NT$18)),0)</f>
        <v/>
      </c>
      <c r="F18" s="228">
        <f>IF(AND(2&gt;=$NR$18,2&lt;=$NS$18),IF($NP$18="Single_Point",IF(2=$NR$18,$NN$18,0),IF($NP$18="Bell_Curve",$NN$18*(2-$NR$18+1)*($NS$18-2+1)/$NU$18,$NN$18/$NT$18)),0)</f>
        <v/>
      </c>
      <c r="G18" s="228">
        <f>IF(AND(3&gt;=$NR$18,3&lt;=$NS$18),IF($NP$18="Single_Point",IF(3=$NR$18,$NN$18,0),IF($NP$18="Bell_Curve",$NN$18*(3-$NR$18+1)*($NS$18-3+1)/$NU$18,$NN$18/$NT$18)),0)</f>
        <v/>
      </c>
      <c r="H18" s="228">
        <f>IF(AND(4&gt;=$NR$18,4&lt;=$NS$18),IF($NP$18="Single_Point",IF(4=$NR$18,$NN$18,0),IF($NP$18="Bell_Curve",$NN$18*(4-$NR$18+1)*($NS$18-4+1)/$NU$18,$NN$18/$NT$18)),0)</f>
        <v/>
      </c>
      <c r="I18" s="228">
        <f>IF(AND(5&gt;=$NR$18,5&lt;=$NS$18),IF($NP$18="Single_Point",IF(5=$NR$18,$NN$18,0),IF($NP$18="Bell_Curve",$NN$18*(5-$NR$18+1)*($NS$18-5+1)/$NU$18,$NN$18/$NT$18)),0)</f>
        <v/>
      </c>
      <c r="J18" s="228">
        <f>IF(AND(6&gt;=$NR$18,6&lt;=$NS$18),IF($NP$18="Single_Point",IF(6=$NR$18,$NN$18,0),IF($NP$18="Bell_Curve",$NN$18*(6-$NR$18+1)*($NS$18-6+1)/$NU$18,$NN$18/$NT$18)),0)</f>
        <v/>
      </c>
      <c r="K18" s="228">
        <f>IF(AND(7&gt;=$NR$18,7&lt;=$NS$18),IF($NP$18="Single_Point",IF(7=$NR$18,$NN$18,0),IF($NP$18="Bell_Curve",$NN$18*(7-$NR$18+1)*($NS$18-7+1)/$NU$18,$NN$18/$NT$18)),0)</f>
        <v/>
      </c>
      <c r="L18" s="228">
        <f>IF(AND(8&gt;=$NR$18,8&lt;=$NS$18),IF($NP$18="Single_Point",IF(8=$NR$18,$NN$18,0),IF($NP$18="Bell_Curve",$NN$18*(8-$NR$18+1)*($NS$18-8+1)/$NU$18,$NN$18/$NT$18)),0)</f>
        <v/>
      </c>
      <c r="M18" s="228">
        <f>IF(AND(9&gt;=$NR$18,9&lt;=$NS$18),IF($NP$18="Single_Point",IF(9=$NR$18,$NN$18,0),IF($NP$18="Bell_Curve",$NN$18*(9-$NR$18+1)*($NS$18-9+1)/$NU$18,$NN$18/$NT$18)),0)</f>
        <v/>
      </c>
      <c r="N18" s="228">
        <f>IF(AND(10&gt;=$NR$18,10&lt;=$NS$18),IF($NP$18="Single_Point",IF(10=$NR$18,$NN$18,0),IF($NP$18="Bell_Curve",$NN$18*(10-$NR$18+1)*($NS$18-10+1)/$NU$18,$NN$18/$NT$18)),0)</f>
        <v/>
      </c>
      <c r="O18" s="228">
        <f>IF(AND(11&gt;=$NR$18,11&lt;=$NS$18),IF($NP$18="Single_Point",IF(11=$NR$18,$NN$18,0),IF($NP$18="Bell_Curve",$NN$18*(11-$NR$18+1)*($NS$18-11+1)/$NU$18,$NN$18/$NT$18)),0)</f>
        <v/>
      </c>
      <c r="P18" s="228">
        <f>IF(AND(12&gt;=$NR$18,12&lt;=$NS$18),IF($NP$18="Single_Point",IF(12=$NR$18,$NN$18,0),IF($NP$18="Bell_Curve",$NN$18*(12-$NR$18+1)*($NS$18-12+1)/$NU$18,$NN$18/$NT$18)),0)</f>
        <v/>
      </c>
      <c r="Q18" s="228">
        <f>IF(AND(13&gt;=$NR$18,13&lt;=$NS$18),IF($NP$18="Single_Point",IF(13=$NR$18,$NN$18,0),IF($NP$18="Bell_Curve",$NN$18*(13-$NR$18+1)*($NS$18-13+1)/$NU$18,$NN$18/$NT$18)),0)</f>
        <v/>
      </c>
      <c r="R18" s="228">
        <f>IF(AND(14&gt;=$NR$18,14&lt;=$NS$18),IF($NP$18="Single_Point",IF(14=$NR$18,$NN$18,0),IF($NP$18="Bell_Curve",$NN$18*(14-$NR$18+1)*($NS$18-14+1)/$NU$18,$NN$18/$NT$18)),0)</f>
        <v/>
      </c>
      <c r="S18" s="228">
        <f>IF(AND(15&gt;=$NR$18,15&lt;=$NS$18),IF($NP$18="Single_Point",IF(15=$NR$18,$NN$18,0),IF($NP$18="Bell_Curve",$NN$18*(15-$NR$18+1)*($NS$18-15+1)/$NU$18,$NN$18/$NT$18)),0)</f>
        <v/>
      </c>
      <c r="T18" s="228">
        <f>IF(AND(16&gt;=$NR$18,16&lt;=$NS$18),IF($NP$18="Single_Point",IF(16=$NR$18,$NN$18,0),IF($NP$18="Bell_Curve",$NN$18*(16-$NR$18+1)*($NS$18-16+1)/$NU$18,$NN$18/$NT$18)),0)</f>
        <v/>
      </c>
      <c r="U18" s="228">
        <f>IF(AND(17&gt;=$NR$18,17&lt;=$NS$18),IF($NP$18="Single_Point",IF(17=$NR$18,$NN$18,0),IF($NP$18="Bell_Curve",$NN$18*(17-$NR$18+1)*($NS$18-17+1)/$NU$18,$NN$18/$NT$18)),0)</f>
        <v/>
      </c>
      <c r="V18" s="228">
        <f>IF(AND(18&gt;=$NR$18,18&lt;=$NS$18),IF($NP$18="Single_Point",IF(18=$NR$18,$NN$18,0),IF($NP$18="Bell_Curve",$NN$18*(18-$NR$18+1)*($NS$18-18+1)/$NU$18,$NN$18/$NT$18)),0)</f>
        <v/>
      </c>
      <c r="W18" s="228">
        <f>IF(AND(19&gt;=$NR$18,19&lt;=$NS$18),IF($NP$18="Single_Point",IF(19=$NR$18,$NN$18,0),IF($NP$18="Bell_Curve",$NN$18*(19-$NR$18+1)*($NS$18-19+1)/$NU$18,$NN$18/$NT$18)),0)</f>
        <v/>
      </c>
      <c r="X18" s="228">
        <f>IF(AND(20&gt;=$NR$18,20&lt;=$NS$18),IF($NP$18="Single_Point",IF(20=$NR$18,$NN$18,0),IF($NP$18="Bell_Curve",$NN$18*(20-$NR$18+1)*($NS$18-20+1)/$NU$18,$NN$18/$NT$18)),0)</f>
        <v/>
      </c>
      <c r="Y18" s="228">
        <f>IF(AND(21&gt;=$NR$18,21&lt;=$NS$18),IF($NP$18="Single_Point",IF(21=$NR$18,$NN$18,0),IF($NP$18="Bell_Curve",$NN$18*(21-$NR$18+1)*($NS$18-21+1)/$NU$18,$NN$18/$NT$18)),0)</f>
        <v/>
      </c>
      <c r="Z18" s="228">
        <f>IF(AND(22&gt;=$NR$18,22&lt;=$NS$18),IF($NP$18="Single_Point",IF(22=$NR$18,$NN$18,0),IF($NP$18="Bell_Curve",$NN$18*(22-$NR$18+1)*($NS$18-22+1)/$NU$18,$NN$18/$NT$18)),0)</f>
        <v/>
      </c>
      <c r="AA18" s="228">
        <f>IF(AND(23&gt;=$NR$18,23&lt;=$NS$18),IF($NP$18="Single_Point",IF(23=$NR$18,$NN$18,0),IF($NP$18="Bell_Curve",$NN$18*(23-$NR$18+1)*($NS$18-23+1)/$NU$18,$NN$18/$NT$18)),0)</f>
        <v/>
      </c>
      <c r="AB18" s="228">
        <f>IF(AND(24&gt;=$NR$18,24&lt;=$NS$18),IF($NP$18="Single_Point",IF(24=$NR$18,$NN$18,0),IF($NP$18="Bell_Curve",$NN$18*(24-$NR$18+1)*($NS$18-24+1)/$NU$18,$NN$18/$NT$18)),0)</f>
        <v/>
      </c>
      <c r="AC18" s="228">
        <f>IF(AND(25&gt;=$NR$18,25&lt;=$NS$18),IF($NP$18="Single_Point",IF(25=$NR$18,$NN$18,0),IF($NP$18="Bell_Curve",$NN$18*(25-$NR$18+1)*($NS$18-25+1)/$NU$18,$NN$18/$NT$18)),0)</f>
        <v/>
      </c>
      <c r="AD18" s="228">
        <f>IF(AND(26&gt;=$NR$18,26&lt;=$NS$18),IF($NP$18="Single_Point",IF(26=$NR$18,$NN$18,0),IF($NP$18="Bell_Curve",$NN$18*(26-$NR$18+1)*($NS$18-26+1)/$NU$18,$NN$18/$NT$18)),0)</f>
        <v/>
      </c>
      <c r="AE18" s="228">
        <f>IF(AND(27&gt;=$NR$18,27&lt;=$NS$18),IF($NP$18="Single_Point",IF(27=$NR$18,$NN$18,0),IF($NP$18="Bell_Curve",$NN$18*(27-$NR$18+1)*($NS$18-27+1)/$NU$18,$NN$18/$NT$18)),0)</f>
        <v/>
      </c>
      <c r="AF18" s="228">
        <f>IF(AND(28&gt;=$NR$18,28&lt;=$NS$18),IF($NP$18="Single_Point",IF(28=$NR$18,$NN$18,0),IF($NP$18="Bell_Curve",$NN$18*(28-$NR$18+1)*($NS$18-28+1)/$NU$18,$NN$18/$NT$18)),0)</f>
        <v/>
      </c>
      <c r="AG18" s="228">
        <f>IF(AND(29&gt;=$NR$18,29&lt;=$NS$18),IF($NP$18="Single_Point",IF(29=$NR$18,$NN$18,0),IF($NP$18="Bell_Curve",$NN$18*(29-$NR$18+1)*($NS$18-29+1)/$NU$18,$NN$18/$NT$18)),0)</f>
        <v/>
      </c>
      <c r="AH18" s="228">
        <f>IF(AND(30&gt;=$NR$18,30&lt;=$NS$18),IF($NP$18="Single_Point",IF(30=$NR$18,$NN$18,0),IF($NP$18="Bell_Curve",$NN$18*(30-$NR$18+1)*($NS$18-30+1)/$NU$18,$NN$18/$NT$18)),0)</f>
        <v/>
      </c>
      <c r="AI18" s="228">
        <f>IF(AND(31&gt;=$NR$18,31&lt;=$NS$18),IF($NP$18="Single_Point",IF(31=$NR$18,$NN$18,0),IF($NP$18="Bell_Curve",$NN$18*(31-$NR$18+1)*($NS$18-31+1)/$NU$18,$NN$18/$NT$18)),0)</f>
        <v/>
      </c>
      <c r="AJ18" s="228">
        <f>IF(AND(32&gt;=$NR$18,32&lt;=$NS$18),IF($NP$18="Single_Point",IF(32=$NR$18,$NN$18,0),IF($NP$18="Bell_Curve",$NN$18*(32-$NR$18+1)*($NS$18-32+1)/$NU$18,$NN$18/$NT$18)),0)</f>
        <v/>
      </c>
      <c r="AK18" s="228">
        <f>IF(AND(33&gt;=$NR$18,33&lt;=$NS$18),IF($NP$18="Single_Point",IF(33=$NR$18,$NN$18,0),IF($NP$18="Bell_Curve",$NN$18*(33-$NR$18+1)*($NS$18-33+1)/$NU$18,$NN$18/$NT$18)),0)</f>
        <v/>
      </c>
      <c r="AL18" s="228">
        <f>IF(AND(34&gt;=$NR$18,34&lt;=$NS$18),IF($NP$18="Single_Point",IF(34=$NR$18,$NN$18,0),IF($NP$18="Bell_Curve",$NN$18*(34-$NR$18+1)*($NS$18-34+1)/$NU$18,$NN$18/$NT$18)),0)</f>
        <v/>
      </c>
      <c r="AM18" s="228">
        <f>IF(AND(35&gt;=$NR$18,35&lt;=$NS$18),IF($NP$18="Single_Point",IF(35=$NR$18,$NN$18,0),IF($NP$18="Bell_Curve",$NN$18*(35-$NR$18+1)*($NS$18-35+1)/$NU$18,$NN$18/$NT$18)),0)</f>
        <v/>
      </c>
      <c r="AN18" s="228">
        <f>IF(AND(36&gt;=$NR$18,36&lt;=$NS$18),IF($NP$18="Single_Point",IF(36=$NR$18,$NN$18,0),IF($NP$18="Bell_Curve",$NN$18*(36-$NR$18+1)*($NS$18-36+1)/$NU$18,$NN$18/$NT$18)),0)</f>
        <v/>
      </c>
      <c r="AO18" s="228">
        <f>IF(AND(37&gt;=$NR$18,37&lt;=$NS$18),IF($NP$18="Single_Point",IF(37=$NR$18,$NN$18,0),IF($NP$18="Bell_Curve",$NN$18*(37-$NR$18+1)*($NS$18-37+1)/$NU$18,$NN$18/$NT$18)),0)</f>
        <v/>
      </c>
      <c r="AP18" s="228">
        <f>IF(AND(38&gt;=$NR$18,38&lt;=$NS$18),IF($NP$18="Single_Point",IF(38=$NR$18,$NN$18,0),IF($NP$18="Bell_Curve",$NN$18*(38-$NR$18+1)*($NS$18-38+1)/$NU$18,$NN$18/$NT$18)),0)</f>
        <v/>
      </c>
      <c r="AQ18" s="228">
        <f>IF(AND(39&gt;=$NR$18,39&lt;=$NS$18),IF($NP$18="Single_Point",IF(39=$NR$18,$NN$18,0),IF($NP$18="Bell_Curve",$NN$18*(39-$NR$18+1)*($NS$18-39+1)/$NU$18,$NN$18/$NT$18)),0)</f>
        <v/>
      </c>
      <c r="AR18" s="228">
        <f>IF(AND(40&gt;=$NR$18,40&lt;=$NS$18),IF($NP$18="Single_Point",IF(40=$NR$18,$NN$18,0),IF($NP$18="Bell_Curve",$NN$18*(40-$NR$18+1)*($NS$18-40+1)/$NU$18,$NN$18/$NT$18)),0)</f>
        <v/>
      </c>
      <c r="AS18" s="228">
        <f>IF(AND(41&gt;=$NR$18,41&lt;=$NS$18),IF($NP$18="Single_Point",IF(41=$NR$18,$NN$18,0),IF($NP$18="Bell_Curve",$NN$18*(41-$NR$18+1)*($NS$18-41+1)/$NU$18,$NN$18/$NT$18)),0)</f>
        <v/>
      </c>
      <c r="AT18" s="228">
        <f>IF(AND(42&gt;=$NR$18,42&lt;=$NS$18),IF($NP$18="Single_Point",IF(42=$NR$18,$NN$18,0),IF($NP$18="Bell_Curve",$NN$18*(42-$NR$18+1)*($NS$18-42+1)/$NU$18,$NN$18/$NT$18)),0)</f>
        <v/>
      </c>
      <c r="AU18" s="228">
        <f>IF(AND(43&gt;=$NR$18,43&lt;=$NS$18),IF($NP$18="Single_Point",IF(43=$NR$18,$NN$18,0),IF($NP$18="Bell_Curve",$NN$18*(43-$NR$18+1)*($NS$18-43+1)/$NU$18,$NN$18/$NT$18)),0)</f>
        <v/>
      </c>
      <c r="AV18" s="228">
        <f>IF(AND(44&gt;=$NR$18,44&lt;=$NS$18),IF($NP$18="Single_Point",IF(44=$NR$18,$NN$18,0),IF($NP$18="Bell_Curve",$NN$18*(44-$NR$18+1)*($NS$18-44+1)/$NU$18,$NN$18/$NT$18)),0)</f>
        <v/>
      </c>
      <c r="AW18" s="228">
        <f>IF(AND(45&gt;=$NR$18,45&lt;=$NS$18),IF($NP$18="Single_Point",IF(45=$NR$18,$NN$18,0),IF($NP$18="Bell_Curve",$NN$18*(45-$NR$18+1)*($NS$18-45+1)/$NU$18,$NN$18/$NT$18)),0)</f>
        <v/>
      </c>
      <c r="AX18" s="228">
        <f>IF(AND(46&gt;=$NR$18,46&lt;=$NS$18),IF($NP$18="Single_Point",IF(46=$NR$18,$NN$18,0),IF($NP$18="Bell_Curve",$NN$18*(46-$NR$18+1)*($NS$18-46+1)/$NU$18,$NN$18/$NT$18)),0)</f>
        <v/>
      </c>
      <c r="AY18" s="228">
        <f>IF(AND(47&gt;=$NR$18,47&lt;=$NS$18),IF($NP$18="Single_Point",IF(47=$NR$18,$NN$18,0),IF($NP$18="Bell_Curve",$NN$18*(47-$NR$18+1)*($NS$18-47+1)/$NU$18,$NN$18/$NT$18)),0)</f>
        <v/>
      </c>
      <c r="AZ18" s="228">
        <f>IF(AND(48&gt;=$NR$18,48&lt;=$NS$18),IF($NP$18="Single_Point",IF(48=$NR$18,$NN$18,0),IF($NP$18="Bell_Curve",$NN$18*(48-$NR$18+1)*($NS$18-48+1)/$NU$18,$NN$18/$NT$18)),0)</f>
        <v/>
      </c>
      <c r="BA18" s="228">
        <f>IF(AND(49&gt;=$NR$18,49&lt;=$NS$18),IF($NP$18="Single_Point",IF(49=$NR$18,$NN$18,0),IF($NP$18="Bell_Curve",$NN$18*(49-$NR$18+1)*($NS$18-49+1)/$NU$18,$NN$18/$NT$18)),0)</f>
        <v/>
      </c>
      <c r="BB18" s="228">
        <f>IF(AND(50&gt;=$NR$18,50&lt;=$NS$18),IF($NP$18="Single_Point",IF(50=$NR$18,$NN$18,0),IF($NP$18="Bell_Curve",$NN$18*(50-$NR$18+1)*($NS$18-50+1)/$NU$18,$NN$18/$NT$18)),0)</f>
        <v/>
      </c>
      <c r="BC18" s="228">
        <f>IF(AND(51&gt;=$NR$18,51&lt;=$NS$18),IF($NP$18="Single_Point",IF(51=$NR$18,$NN$18,0),IF($NP$18="Bell_Curve",$NN$18*(51-$NR$18+1)*($NS$18-51+1)/$NU$18,$NN$18/$NT$18)),0)</f>
        <v/>
      </c>
      <c r="BD18" s="228">
        <f>IF(AND(52&gt;=$NR$18,52&lt;=$NS$18),IF($NP$18="Single_Point",IF(52=$NR$18,$NN$18,0),IF($NP$18="Bell_Curve",$NN$18*(52-$NR$18+1)*($NS$18-52+1)/$NU$18,$NN$18/$NT$18)),0)</f>
        <v/>
      </c>
      <c r="BE18" s="228">
        <f>IF(AND(53&gt;=$NR$18,53&lt;=$NS$18),IF($NP$18="Single_Point",IF(53=$NR$18,$NN$18,0),IF($NP$18="Bell_Curve",$NN$18*(53-$NR$18+1)*($NS$18-53+1)/$NU$18,$NN$18/$NT$18)),0)</f>
        <v/>
      </c>
      <c r="BF18" s="228">
        <f>IF(AND(54&gt;=$NR$18,54&lt;=$NS$18),IF($NP$18="Single_Point",IF(54=$NR$18,$NN$18,0),IF($NP$18="Bell_Curve",$NN$18*(54-$NR$18+1)*($NS$18-54+1)/$NU$18,$NN$18/$NT$18)),0)</f>
        <v/>
      </c>
      <c r="BG18" s="228">
        <f>IF(AND(55&gt;=$NR$18,55&lt;=$NS$18),IF($NP$18="Single_Point",IF(55=$NR$18,$NN$18,0),IF($NP$18="Bell_Curve",$NN$18*(55-$NR$18+1)*($NS$18-55+1)/$NU$18,$NN$18/$NT$18)),0)</f>
        <v/>
      </c>
      <c r="BH18" s="228">
        <f>IF(AND(56&gt;=$NR$18,56&lt;=$NS$18),IF($NP$18="Single_Point",IF(56=$NR$18,$NN$18,0),IF($NP$18="Bell_Curve",$NN$18*(56-$NR$18+1)*($NS$18-56+1)/$NU$18,$NN$18/$NT$18)),0)</f>
        <v/>
      </c>
      <c r="BI18" s="228">
        <f>IF(AND(57&gt;=$NR$18,57&lt;=$NS$18),IF($NP$18="Single_Point",IF(57=$NR$18,$NN$18,0),IF($NP$18="Bell_Curve",$NN$18*(57-$NR$18+1)*($NS$18-57+1)/$NU$18,$NN$18/$NT$18)),0)</f>
        <v/>
      </c>
      <c r="BJ18" s="228">
        <f>IF(AND(58&gt;=$NR$18,58&lt;=$NS$18),IF($NP$18="Single_Point",IF(58=$NR$18,$NN$18,0),IF($NP$18="Bell_Curve",$NN$18*(58-$NR$18+1)*($NS$18-58+1)/$NU$18,$NN$18/$NT$18)),0)</f>
        <v/>
      </c>
      <c r="BK18" s="228">
        <f>IF(AND(59&gt;=$NR$18,59&lt;=$NS$18),IF($NP$18="Single_Point",IF(59=$NR$18,$NN$18,0),IF($NP$18="Bell_Curve",$NN$18*(59-$NR$18+1)*($NS$18-59+1)/$NU$18,$NN$18/$NT$18)),0)</f>
        <v/>
      </c>
      <c r="BL18" s="228">
        <f>IF(AND(60&gt;=$NR$18,60&lt;=$NS$18),IF($NP$18="Single_Point",IF(60=$NR$18,$NN$18,0),IF($NP$18="Bell_Curve",$NN$18*(60-$NR$18+1)*($NS$18-60+1)/$NU$18,$NN$18/$NT$18)),0)</f>
        <v/>
      </c>
      <c r="BM18" s="228">
        <f>IF(AND(61&gt;=$NR$18,61&lt;=$NS$18),IF($NP$18="Single_Point",IF(61=$NR$18,$NN$18,0),IF($NP$18="Bell_Curve",$NN$18*(61-$NR$18+1)*($NS$18-61+1)/$NU$18,$NN$18/$NT$18)),0)</f>
        <v/>
      </c>
      <c r="BN18" s="228">
        <f>IF(AND(62&gt;=$NR$18,62&lt;=$NS$18),IF($NP$18="Single_Point",IF(62=$NR$18,$NN$18,0),IF($NP$18="Bell_Curve",$NN$18*(62-$NR$18+1)*($NS$18-62+1)/$NU$18,$NN$18/$NT$18)),0)</f>
        <v/>
      </c>
      <c r="BO18" s="228">
        <f>IF(AND(63&gt;=$NR$18,63&lt;=$NS$18),IF($NP$18="Single_Point",IF(63=$NR$18,$NN$18,0),IF($NP$18="Bell_Curve",$NN$18*(63-$NR$18+1)*($NS$18-63+1)/$NU$18,$NN$18/$NT$18)),0)</f>
        <v/>
      </c>
      <c r="BP18" s="228">
        <f>IF(AND(64&gt;=$NR$18,64&lt;=$NS$18),IF($NP$18="Single_Point",IF(64=$NR$18,$NN$18,0),IF($NP$18="Bell_Curve",$NN$18*(64-$NR$18+1)*($NS$18-64+1)/$NU$18,$NN$18/$NT$18)),0)</f>
        <v/>
      </c>
      <c r="BQ18" s="228">
        <f>IF(AND(65&gt;=$NR$18,65&lt;=$NS$18),IF($NP$18="Single_Point",IF(65=$NR$18,$NN$18,0),IF($NP$18="Bell_Curve",$NN$18*(65-$NR$18+1)*($NS$18-65+1)/$NU$18,$NN$18/$NT$18)),0)</f>
        <v/>
      </c>
      <c r="BR18" s="228">
        <f>IF(AND(66&gt;=$NR$18,66&lt;=$NS$18),IF($NP$18="Single_Point",IF(66=$NR$18,$NN$18,0),IF($NP$18="Bell_Curve",$NN$18*(66-$NR$18+1)*($NS$18-66+1)/$NU$18,$NN$18/$NT$18)),0)</f>
        <v/>
      </c>
      <c r="BS18" s="228">
        <f>IF(AND(67&gt;=$NR$18,67&lt;=$NS$18),IF($NP$18="Single_Point",IF(67=$NR$18,$NN$18,0),IF($NP$18="Bell_Curve",$NN$18*(67-$NR$18+1)*($NS$18-67+1)/$NU$18,$NN$18/$NT$18)),0)</f>
        <v/>
      </c>
      <c r="BT18" s="228">
        <f>IF(AND(68&gt;=$NR$18,68&lt;=$NS$18),IF($NP$18="Single_Point",IF(68=$NR$18,$NN$18,0),IF($NP$18="Bell_Curve",$NN$18*(68-$NR$18+1)*($NS$18-68+1)/$NU$18,$NN$18/$NT$18)),0)</f>
        <v/>
      </c>
      <c r="BU18" s="228">
        <f>IF(AND(69&gt;=$NR$18,69&lt;=$NS$18),IF($NP$18="Single_Point",IF(69=$NR$18,$NN$18,0),IF($NP$18="Bell_Curve",$NN$18*(69-$NR$18+1)*($NS$18-69+1)/$NU$18,$NN$18/$NT$18)),0)</f>
        <v/>
      </c>
      <c r="BV18" s="228">
        <f>IF(AND(70&gt;=$NR$18,70&lt;=$NS$18),IF($NP$18="Single_Point",IF(70=$NR$18,$NN$18,0),IF($NP$18="Bell_Curve",$NN$18*(70-$NR$18+1)*($NS$18-70+1)/$NU$18,$NN$18/$NT$18)),0)</f>
        <v/>
      </c>
      <c r="BW18" s="228">
        <f>IF(AND(71&gt;=$NR$18,71&lt;=$NS$18),IF($NP$18="Single_Point",IF(71=$NR$18,$NN$18,0),IF($NP$18="Bell_Curve",$NN$18*(71-$NR$18+1)*($NS$18-71+1)/$NU$18,$NN$18/$NT$18)),0)</f>
        <v/>
      </c>
      <c r="BX18" s="228">
        <f>IF(AND(72&gt;=$NR$18,72&lt;=$NS$18),IF($NP$18="Single_Point",IF(72=$NR$18,$NN$18,0),IF($NP$18="Bell_Curve",$NN$18*(72-$NR$18+1)*($NS$18-72+1)/$NU$18,$NN$18/$NT$18)),0)</f>
        <v/>
      </c>
      <c r="BY18" s="228">
        <f>IF(AND(73&gt;=$NR$18,73&lt;=$NS$18),IF($NP$18="Single_Point",IF(73=$NR$18,$NN$18,0),IF($NP$18="Bell_Curve",$NN$18*(73-$NR$18+1)*($NS$18-73+1)/$NU$18,$NN$18/$NT$18)),0)</f>
        <v/>
      </c>
      <c r="BZ18" s="228">
        <f>IF(AND(74&gt;=$NR$18,74&lt;=$NS$18),IF($NP$18="Single_Point",IF(74=$NR$18,$NN$18,0),IF($NP$18="Bell_Curve",$NN$18*(74-$NR$18+1)*($NS$18-74+1)/$NU$18,$NN$18/$NT$18)),0)</f>
        <v/>
      </c>
      <c r="CA18" s="228">
        <f>IF(AND(75&gt;=$NR$18,75&lt;=$NS$18),IF($NP$18="Single_Point",IF(75=$NR$18,$NN$18,0),IF($NP$18="Bell_Curve",$NN$18*(75-$NR$18+1)*($NS$18-75+1)/$NU$18,$NN$18/$NT$18)),0)</f>
        <v/>
      </c>
      <c r="CB18" s="228">
        <f>IF(AND(76&gt;=$NR$18,76&lt;=$NS$18),IF($NP$18="Single_Point",IF(76=$NR$18,$NN$18,0),IF($NP$18="Bell_Curve",$NN$18*(76-$NR$18+1)*($NS$18-76+1)/$NU$18,$NN$18/$NT$18)),0)</f>
        <v/>
      </c>
      <c r="CC18" s="228">
        <f>IF(AND(77&gt;=$NR$18,77&lt;=$NS$18),IF($NP$18="Single_Point",IF(77=$NR$18,$NN$18,0),IF($NP$18="Bell_Curve",$NN$18*(77-$NR$18+1)*($NS$18-77+1)/$NU$18,$NN$18/$NT$18)),0)</f>
        <v/>
      </c>
      <c r="CD18" s="228">
        <f>IF(AND(78&gt;=$NR$18,78&lt;=$NS$18),IF($NP$18="Single_Point",IF(78=$NR$18,$NN$18,0),IF($NP$18="Bell_Curve",$NN$18*(78-$NR$18+1)*($NS$18-78+1)/$NU$18,$NN$18/$NT$18)),0)</f>
        <v/>
      </c>
      <c r="CE18" s="228">
        <f>IF(AND(79&gt;=$NR$18,79&lt;=$NS$18),IF($NP$18="Single_Point",IF(79=$NR$18,$NN$18,0),IF($NP$18="Bell_Curve",$NN$18*(79-$NR$18+1)*($NS$18-79+1)/$NU$18,$NN$18/$NT$18)),0)</f>
        <v/>
      </c>
      <c r="CF18" s="228">
        <f>IF(AND(80&gt;=$NR$18,80&lt;=$NS$18),IF($NP$18="Single_Point",IF(80=$NR$18,$NN$18,0),IF($NP$18="Bell_Curve",$NN$18*(80-$NR$18+1)*($NS$18-80+1)/$NU$18,$NN$18/$NT$18)),0)</f>
        <v/>
      </c>
      <c r="CG18" s="228">
        <f>IF(AND(81&gt;=$NR$18,81&lt;=$NS$18),IF($NP$18="Single_Point",IF(81=$NR$18,$NN$18,0),IF($NP$18="Bell_Curve",$NN$18*(81-$NR$18+1)*($NS$18-81+1)/$NU$18,$NN$18/$NT$18)),0)</f>
        <v/>
      </c>
      <c r="CH18" s="228">
        <f>IF(AND(82&gt;=$NR$18,82&lt;=$NS$18),IF($NP$18="Single_Point",IF(82=$NR$18,$NN$18,0),IF($NP$18="Bell_Curve",$NN$18*(82-$NR$18+1)*($NS$18-82+1)/$NU$18,$NN$18/$NT$18)),0)</f>
        <v/>
      </c>
      <c r="CI18" s="228">
        <f>IF(AND(83&gt;=$NR$18,83&lt;=$NS$18),IF($NP$18="Single_Point",IF(83=$NR$18,$NN$18,0),IF($NP$18="Bell_Curve",$NN$18*(83-$NR$18+1)*($NS$18-83+1)/$NU$18,$NN$18/$NT$18)),0)</f>
        <v/>
      </c>
      <c r="CJ18" s="228">
        <f>IF(AND(84&gt;=$NR$18,84&lt;=$NS$18),IF($NP$18="Single_Point",IF(84=$NR$18,$NN$18,0),IF($NP$18="Bell_Curve",$NN$18*(84-$NR$18+1)*($NS$18-84+1)/$NU$18,$NN$18/$NT$18)),0)</f>
        <v/>
      </c>
      <c r="CK18" s="228">
        <f>IF(AND(85&gt;=$NR$18,85&lt;=$NS$18),IF($NP$18="Single_Point",IF(85=$NR$18,$NN$18,0),IF($NP$18="Bell_Curve",$NN$18*(85-$NR$18+1)*($NS$18-85+1)/$NU$18,$NN$18/$NT$18)),0)</f>
        <v/>
      </c>
      <c r="CL18" s="228">
        <f>IF(AND(86&gt;=$NR$18,86&lt;=$NS$18),IF($NP$18="Single_Point",IF(86=$NR$18,$NN$18,0),IF($NP$18="Bell_Curve",$NN$18*(86-$NR$18+1)*($NS$18-86+1)/$NU$18,$NN$18/$NT$18)),0)</f>
        <v/>
      </c>
      <c r="CM18" s="228">
        <f>IF(AND(87&gt;=$NR$18,87&lt;=$NS$18),IF($NP$18="Single_Point",IF(87=$NR$18,$NN$18,0),IF($NP$18="Bell_Curve",$NN$18*(87-$NR$18+1)*($NS$18-87+1)/$NU$18,$NN$18/$NT$18)),0)</f>
        <v/>
      </c>
      <c r="CN18" s="228">
        <f>IF(AND(88&gt;=$NR$18,88&lt;=$NS$18),IF($NP$18="Single_Point",IF(88=$NR$18,$NN$18,0),IF($NP$18="Bell_Curve",$NN$18*(88-$NR$18+1)*($NS$18-88+1)/$NU$18,$NN$18/$NT$18)),0)</f>
        <v/>
      </c>
      <c r="CO18" s="228">
        <f>IF(AND(89&gt;=$NR$18,89&lt;=$NS$18),IF($NP$18="Single_Point",IF(89=$NR$18,$NN$18,0),IF($NP$18="Bell_Curve",$NN$18*(89-$NR$18+1)*($NS$18-89+1)/$NU$18,$NN$18/$NT$18)),0)</f>
        <v/>
      </c>
      <c r="CP18" s="228">
        <f>IF(AND(90&gt;=$NR$18,90&lt;=$NS$18),IF($NP$18="Single_Point",IF(90=$NR$18,$NN$18,0),IF($NP$18="Bell_Curve",$NN$18*(90-$NR$18+1)*($NS$18-90+1)/$NU$18,$NN$18/$NT$18)),0)</f>
        <v/>
      </c>
      <c r="CQ18" s="228">
        <f>IF(AND(91&gt;=$NR$18,91&lt;=$NS$18),IF($NP$18="Single_Point",IF(91=$NR$18,$NN$18,0),IF($NP$18="Bell_Curve",$NN$18*(91-$NR$18+1)*($NS$18-91+1)/$NU$18,$NN$18/$NT$18)),0)</f>
        <v/>
      </c>
      <c r="CR18" s="228">
        <f>IF(AND(92&gt;=$NR$18,92&lt;=$NS$18),IF($NP$18="Single_Point",IF(92=$NR$18,$NN$18,0),IF($NP$18="Bell_Curve",$NN$18*(92-$NR$18+1)*($NS$18-92+1)/$NU$18,$NN$18/$NT$18)),0)</f>
        <v/>
      </c>
      <c r="CS18" s="228">
        <f>IF(AND(93&gt;=$NR$18,93&lt;=$NS$18),IF($NP$18="Single_Point",IF(93=$NR$18,$NN$18,0),IF($NP$18="Bell_Curve",$NN$18*(93-$NR$18+1)*($NS$18-93+1)/$NU$18,$NN$18/$NT$18)),0)</f>
        <v/>
      </c>
      <c r="CT18" s="228">
        <f>IF(AND(94&gt;=$NR$18,94&lt;=$NS$18),IF($NP$18="Single_Point",IF(94=$NR$18,$NN$18,0),IF($NP$18="Bell_Curve",$NN$18*(94-$NR$18+1)*($NS$18-94+1)/$NU$18,$NN$18/$NT$18)),0)</f>
        <v/>
      </c>
      <c r="CU18" s="228">
        <f>IF(AND(95&gt;=$NR$18,95&lt;=$NS$18),IF($NP$18="Single_Point",IF(95=$NR$18,$NN$18,0),IF($NP$18="Bell_Curve",$NN$18*(95-$NR$18+1)*($NS$18-95+1)/$NU$18,$NN$18/$NT$18)),0)</f>
        <v/>
      </c>
      <c r="CV18" s="228">
        <f>IF(AND(96&gt;=$NR$18,96&lt;=$NS$18),IF($NP$18="Single_Point",IF(96=$NR$18,$NN$18,0),IF($NP$18="Bell_Curve",$NN$18*(96-$NR$18+1)*($NS$18-96+1)/$NU$18,$NN$18/$NT$18)),0)</f>
        <v/>
      </c>
      <c r="CW18" s="228">
        <f>IF(AND(97&gt;=$NR$18,97&lt;=$NS$18),IF($NP$18="Single_Point",IF(97=$NR$18,$NN$18,0),IF($NP$18="Bell_Curve",$NN$18*(97-$NR$18+1)*($NS$18-97+1)/$NU$18,$NN$18/$NT$18)),0)</f>
        <v/>
      </c>
      <c r="CX18" s="228">
        <f>IF(AND(98&gt;=$NR$18,98&lt;=$NS$18),IF($NP$18="Single_Point",IF(98=$NR$18,$NN$18,0),IF($NP$18="Bell_Curve",$NN$18*(98-$NR$18+1)*($NS$18-98+1)/$NU$18,$NN$18/$NT$18)),0)</f>
        <v/>
      </c>
      <c r="CY18" s="228">
        <f>IF(AND(99&gt;=$NR$18,99&lt;=$NS$18),IF($NP$18="Single_Point",IF(99=$NR$18,$NN$18,0),IF($NP$18="Bell_Curve",$NN$18*(99-$NR$18+1)*($NS$18-99+1)/$NU$18,$NN$18/$NT$18)),0)</f>
        <v/>
      </c>
      <c r="CZ18" s="228">
        <f>IF(AND(100&gt;=$NR$18,100&lt;=$NS$18),IF($NP$18="Single_Point",IF(100=$NR$18,$NN$18,0),IF($NP$18="Bell_Curve",$NN$18*(100-$NR$18+1)*($NS$18-100+1)/$NU$18,$NN$18/$NT$18)),0)</f>
        <v/>
      </c>
      <c r="DA18" s="228">
        <f>IF(AND(101&gt;=$NR$18,101&lt;=$NS$18),IF($NP$18="Single_Point",IF(101=$NR$18,$NN$18,0),IF($NP$18="Bell_Curve",$NN$18*(101-$NR$18+1)*($NS$18-101+1)/$NU$18,$NN$18/$NT$18)),0)</f>
        <v/>
      </c>
      <c r="DB18" s="228">
        <f>IF(AND(102&gt;=$NR$18,102&lt;=$NS$18),IF($NP$18="Single_Point",IF(102=$NR$18,$NN$18,0),IF($NP$18="Bell_Curve",$NN$18*(102-$NR$18+1)*($NS$18-102+1)/$NU$18,$NN$18/$NT$18)),0)</f>
        <v/>
      </c>
      <c r="DC18" s="228">
        <f>IF(AND(103&gt;=$NR$18,103&lt;=$NS$18),IF($NP$18="Single_Point",IF(103=$NR$18,$NN$18,0),IF($NP$18="Bell_Curve",$NN$18*(103-$NR$18+1)*($NS$18-103+1)/$NU$18,$NN$18/$NT$18)),0)</f>
        <v/>
      </c>
      <c r="DD18" s="228">
        <f>IF(AND(104&gt;=$NR$18,104&lt;=$NS$18),IF($NP$18="Single_Point",IF(104=$NR$18,$NN$18,0),IF($NP$18="Bell_Curve",$NN$18*(104-$NR$18+1)*($NS$18-104+1)/$NU$18,$NN$18/$NT$18)),0)</f>
        <v/>
      </c>
      <c r="DE18" s="228">
        <f>IF(AND(105&gt;=$NR$18,105&lt;=$NS$18),IF($NP$18="Single_Point",IF(105=$NR$18,$NN$18,0),IF($NP$18="Bell_Curve",$NN$18*(105-$NR$18+1)*($NS$18-105+1)/$NU$18,$NN$18/$NT$18)),0)</f>
        <v/>
      </c>
      <c r="DF18" s="228">
        <f>IF(AND(106&gt;=$NR$18,106&lt;=$NS$18),IF($NP$18="Single_Point",IF(106=$NR$18,$NN$18,0),IF($NP$18="Bell_Curve",$NN$18*(106-$NR$18+1)*($NS$18-106+1)/$NU$18,$NN$18/$NT$18)),0)</f>
        <v/>
      </c>
      <c r="DG18" s="228">
        <f>IF(AND(107&gt;=$NR$18,107&lt;=$NS$18),IF($NP$18="Single_Point",IF(107=$NR$18,$NN$18,0),IF($NP$18="Bell_Curve",$NN$18*(107-$NR$18+1)*($NS$18-107+1)/$NU$18,$NN$18/$NT$18)),0)</f>
        <v/>
      </c>
      <c r="DH18" s="228">
        <f>IF(AND(108&gt;=$NR$18,108&lt;=$NS$18),IF($NP$18="Single_Point",IF(108=$NR$18,$NN$18,0),IF($NP$18="Bell_Curve",$NN$18*(108-$NR$18+1)*($NS$18-108+1)/$NU$18,$NN$18/$NT$18)),0)</f>
        <v/>
      </c>
      <c r="DI18" s="228">
        <f>IF(AND(109&gt;=$NR$18,109&lt;=$NS$18),IF($NP$18="Single_Point",IF(109=$NR$18,$NN$18,0),IF($NP$18="Bell_Curve",$NN$18*(109-$NR$18+1)*($NS$18-109+1)/$NU$18,$NN$18/$NT$18)),0)</f>
        <v/>
      </c>
      <c r="DJ18" s="228">
        <f>IF(AND(110&gt;=$NR$18,110&lt;=$NS$18),IF($NP$18="Single_Point",IF(110=$NR$18,$NN$18,0),IF($NP$18="Bell_Curve",$NN$18*(110-$NR$18+1)*($NS$18-110+1)/$NU$18,$NN$18/$NT$18)),0)</f>
        <v/>
      </c>
      <c r="DK18" s="228">
        <f>IF(AND(111&gt;=$NR$18,111&lt;=$NS$18),IF($NP$18="Single_Point",IF(111=$NR$18,$NN$18,0),IF($NP$18="Bell_Curve",$NN$18*(111-$NR$18+1)*($NS$18-111+1)/$NU$18,$NN$18/$NT$18)),0)</f>
        <v/>
      </c>
      <c r="DL18" s="228">
        <f>IF(AND(112&gt;=$NR$18,112&lt;=$NS$18),IF($NP$18="Single_Point",IF(112=$NR$18,$NN$18,0),IF($NP$18="Bell_Curve",$NN$18*(112-$NR$18+1)*($NS$18-112+1)/$NU$18,$NN$18/$NT$18)),0)</f>
        <v/>
      </c>
      <c r="DM18" s="228">
        <f>IF(AND(113&gt;=$NR$18,113&lt;=$NS$18),IF($NP$18="Single_Point",IF(113=$NR$18,$NN$18,0),IF($NP$18="Bell_Curve",$NN$18*(113-$NR$18+1)*($NS$18-113+1)/$NU$18,$NN$18/$NT$18)),0)</f>
        <v/>
      </c>
      <c r="DN18" s="228">
        <f>IF(AND(114&gt;=$NR$18,114&lt;=$NS$18),IF($NP$18="Single_Point",IF(114=$NR$18,$NN$18,0),IF($NP$18="Bell_Curve",$NN$18*(114-$NR$18+1)*($NS$18-114+1)/$NU$18,$NN$18/$NT$18)),0)</f>
        <v/>
      </c>
      <c r="DO18" s="228">
        <f>IF(AND(115&gt;=$NR$18,115&lt;=$NS$18),IF($NP$18="Single_Point",IF(115=$NR$18,$NN$18,0),IF($NP$18="Bell_Curve",$NN$18*(115-$NR$18+1)*($NS$18-115+1)/$NU$18,$NN$18/$NT$18)),0)</f>
        <v/>
      </c>
      <c r="DP18" s="228">
        <f>IF(AND(116&gt;=$NR$18,116&lt;=$NS$18),IF($NP$18="Single_Point",IF(116=$NR$18,$NN$18,0),IF($NP$18="Bell_Curve",$NN$18*(116-$NR$18+1)*($NS$18-116+1)/$NU$18,$NN$18/$NT$18)),0)</f>
        <v/>
      </c>
      <c r="DQ18" s="228">
        <f>IF(AND(117&gt;=$NR$18,117&lt;=$NS$18),IF($NP$18="Single_Point",IF(117=$NR$18,$NN$18,0),IF($NP$18="Bell_Curve",$NN$18*(117-$NR$18+1)*($NS$18-117+1)/$NU$18,$NN$18/$NT$18)),0)</f>
        <v/>
      </c>
      <c r="DR18" s="228">
        <f>IF(AND(118&gt;=$NR$18,118&lt;=$NS$18),IF($NP$18="Single_Point",IF(118=$NR$18,$NN$18,0),IF($NP$18="Bell_Curve",$NN$18*(118-$NR$18+1)*($NS$18-118+1)/$NU$18,$NN$18/$NT$18)),0)</f>
        <v/>
      </c>
      <c r="DS18" s="228">
        <f>IF(AND(119&gt;=$NR$18,119&lt;=$NS$18),IF($NP$18="Single_Point",IF(119=$NR$18,$NN$18,0),IF($NP$18="Bell_Curve",$NN$18*(119-$NR$18+1)*($NS$18-119+1)/$NU$18,$NN$18/$NT$18)),0)</f>
        <v/>
      </c>
      <c r="DT18" s="228">
        <f>IF(AND(120&gt;=$NR$18,120&lt;=$NS$18),IF($NP$18="Single_Point",IF(120=$NR$18,$NN$18,0),IF($NP$18="Bell_Curve",$NN$18*(120-$NR$18+1)*($NS$18-120+1)/$NU$18,$NN$18/$NT$18)),0)</f>
        <v/>
      </c>
      <c r="DU18" s="228">
        <f>IF(AND(121&gt;=$NR$18,121&lt;=$NS$18),IF($NP$18="Single_Point",IF(121=$NR$18,$NN$18,0),IF($NP$18="Bell_Curve",$NN$18*(121-$NR$18+1)*($NS$18-121+1)/$NU$18,$NN$18/$NT$18)),0)</f>
        <v/>
      </c>
      <c r="DV18" s="228">
        <f>IF(AND(122&gt;=$NR$18,122&lt;=$NS$18),IF($NP$18="Single_Point",IF(122=$NR$18,$NN$18,0),IF($NP$18="Bell_Curve",$NN$18*(122-$NR$18+1)*($NS$18-122+1)/$NU$18,$NN$18/$NT$18)),0)</f>
        <v/>
      </c>
      <c r="DW18" s="228">
        <f>IF(AND(123&gt;=$NR$18,123&lt;=$NS$18),IF($NP$18="Single_Point",IF(123=$NR$18,$NN$18,0),IF($NP$18="Bell_Curve",$NN$18*(123-$NR$18+1)*($NS$18-123+1)/$NU$18,$NN$18/$NT$18)),0)</f>
        <v/>
      </c>
      <c r="DX18" s="228">
        <f>IF(AND(124&gt;=$NR$18,124&lt;=$NS$18),IF($NP$18="Single_Point",IF(124=$NR$18,$NN$18,0),IF($NP$18="Bell_Curve",$NN$18*(124-$NR$18+1)*($NS$18-124+1)/$NU$18,$NN$18/$NT$18)),0)</f>
        <v/>
      </c>
      <c r="DY18" s="228">
        <f>IF(AND(125&gt;=$NR$18,125&lt;=$NS$18),IF($NP$18="Single_Point",IF(125=$NR$18,$NN$18,0),IF($NP$18="Bell_Curve",$NN$18*(125-$NR$18+1)*($NS$18-125+1)/$NU$18,$NN$18/$NT$18)),0)</f>
        <v/>
      </c>
      <c r="DZ18" s="228">
        <f>IF(AND(126&gt;=$NR$18,126&lt;=$NS$18),IF($NP$18="Single_Point",IF(126=$NR$18,$NN$18,0),IF($NP$18="Bell_Curve",$NN$18*(126-$NR$18+1)*($NS$18-126+1)/$NU$18,$NN$18/$NT$18)),0)</f>
        <v/>
      </c>
      <c r="EA18" s="228">
        <f>IF(AND(127&gt;=$NR$18,127&lt;=$NS$18),IF($NP$18="Single_Point",IF(127=$NR$18,$NN$18,0),IF($NP$18="Bell_Curve",$NN$18*(127-$NR$18+1)*($NS$18-127+1)/$NU$18,$NN$18/$NT$18)),0)</f>
        <v/>
      </c>
      <c r="EB18" s="228">
        <f>IF(AND(128&gt;=$NR$18,128&lt;=$NS$18),IF($NP$18="Single_Point",IF(128=$NR$18,$NN$18,0),IF($NP$18="Bell_Curve",$NN$18*(128-$NR$18+1)*($NS$18-128+1)/$NU$18,$NN$18/$NT$18)),0)</f>
        <v/>
      </c>
      <c r="EC18" s="228">
        <f>IF(AND(129&gt;=$NR$18,129&lt;=$NS$18),IF($NP$18="Single_Point",IF(129=$NR$18,$NN$18,0),IF($NP$18="Bell_Curve",$NN$18*(129-$NR$18+1)*($NS$18-129+1)/$NU$18,$NN$18/$NT$18)),0)</f>
        <v/>
      </c>
      <c r="ED18" s="228">
        <f>IF(AND(130&gt;=$NR$18,130&lt;=$NS$18),IF($NP$18="Single_Point",IF(130=$NR$18,$NN$18,0),IF($NP$18="Bell_Curve",$NN$18*(130-$NR$18+1)*($NS$18-130+1)/$NU$18,$NN$18/$NT$18)),0)</f>
        <v/>
      </c>
      <c r="EE18" s="228">
        <f>IF(AND(131&gt;=$NR$18,131&lt;=$NS$18),IF($NP$18="Single_Point",IF(131=$NR$18,$NN$18,0),IF($NP$18="Bell_Curve",$NN$18*(131-$NR$18+1)*($NS$18-131+1)/$NU$18,$NN$18/$NT$18)),0)</f>
        <v/>
      </c>
      <c r="EF18" s="228">
        <f>IF(AND(132&gt;=$NR$18,132&lt;=$NS$18),IF($NP$18="Single_Point",IF(132=$NR$18,$NN$18,0),IF($NP$18="Bell_Curve",$NN$18*(132-$NR$18+1)*($NS$18-132+1)/$NU$18,$NN$18/$NT$18)),0)</f>
        <v/>
      </c>
      <c r="EG18" s="228">
        <f>IF(AND(133&gt;=$NR$18,133&lt;=$NS$18),IF($NP$18="Single_Point",IF(133=$NR$18,$NN$18,0),IF($NP$18="Bell_Curve",$NN$18*(133-$NR$18+1)*($NS$18-133+1)/$NU$18,$NN$18/$NT$18)),0)</f>
        <v/>
      </c>
      <c r="EH18" s="228">
        <f>IF(AND(134&gt;=$NR$18,134&lt;=$NS$18),IF($NP$18="Single_Point",IF(134=$NR$18,$NN$18,0),IF($NP$18="Bell_Curve",$NN$18*(134-$NR$18+1)*($NS$18-134+1)/$NU$18,$NN$18/$NT$18)),0)</f>
        <v/>
      </c>
      <c r="EI18" s="228">
        <f>IF(AND(135&gt;=$NR$18,135&lt;=$NS$18),IF($NP$18="Single_Point",IF(135=$NR$18,$NN$18,0),IF($NP$18="Bell_Curve",$NN$18*(135-$NR$18+1)*($NS$18-135+1)/$NU$18,$NN$18/$NT$18)),0)</f>
        <v/>
      </c>
      <c r="EJ18" s="228">
        <f>IF(AND(136&gt;=$NR$18,136&lt;=$NS$18),IF($NP$18="Single_Point",IF(136=$NR$18,$NN$18,0),IF($NP$18="Bell_Curve",$NN$18*(136-$NR$18+1)*($NS$18-136+1)/$NU$18,$NN$18/$NT$18)),0)</f>
        <v/>
      </c>
      <c r="EK18" s="228">
        <f>IF(AND(137&gt;=$NR$18,137&lt;=$NS$18),IF($NP$18="Single_Point",IF(137=$NR$18,$NN$18,0),IF($NP$18="Bell_Curve",$NN$18*(137-$NR$18+1)*($NS$18-137+1)/$NU$18,$NN$18/$NT$18)),0)</f>
        <v/>
      </c>
      <c r="EL18" s="228">
        <f>IF(AND(138&gt;=$NR$18,138&lt;=$NS$18),IF($NP$18="Single_Point",IF(138=$NR$18,$NN$18,0),IF($NP$18="Bell_Curve",$NN$18*(138-$NR$18+1)*($NS$18-138+1)/$NU$18,$NN$18/$NT$18)),0)</f>
        <v/>
      </c>
      <c r="EM18" s="228">
        <f>IF(AND(139&gt;=$NR$18,139&lt;=$NS$18),IF($NP$18="Single_Point",IF(139=$NR$18,$NN$18,0),IF($NP$18="Bell_Curve",$NN$18*(139-$NR$18+1)*($NS$18-139+1)/$NU$18,$NN$18/$NT$18)),0)</f>
        <v/>
      </c>
      <c r="EN18" s="228">
        <f>IF(AND(140&gt;=$NR$18,140&lt;=$NS$18),IF($NP$18="Single_Point",IF(140=$NR$18,$NN$18,0),IF($NP$18="Bell_Curve",$NN$18*(140-$NR$18+1)*($NS$18-140+1)/$NU$18,$NN$18/$NT$18)),0)</f>
        <v/>
      </c>
      <c r="EO18" s="228">
        <f>IF(AND(141&gt;=$NR$18,141&lt;=$NS$18),IF($NP$18="Single_Point",IF(141=$NR$18,$NN$18,0),IF($NP$18="Bell_Curve",$NN$18*(141-$NR$18+1)*($NS$18-141+1)/$NU$18,$NN$18/$NT$18)),0)</f>
        <v/>
      </c>
      <c r="EP18" s="228">
        <f>IF(AND(142&gt;=$NR$18,142&lt;=$NS$18),IF($NP$18="Single_Point",IF(142=$NR$18,$NN$18,0),IF($NP$18="Bell_Curve",$NN$18*(142-$NR$18+1)*($NS$18-142+1)/$NU$18,$NN$18/$NT$18)),0)</f>
        <v/>
      </c>
      <c r="EQ18" s="228">
        <f>IF(AND(143&gt;=$NR$18,143&lt;=$NS$18),IF($NP$18="Single_Point",IF(143=$NR$18,$NN$18,0),IF($NP$18="Bell_Curve",$NN$18*(143-$NR$18+1)*($NS$18-143+1)/$NU$18,$NN$18/$NT$18)),0)</f>
        <v/>
      </c>
      <c r="ER18" s="228">
        <f>IF(AND(144&gt;=$NR$18,144&lt;=$NS$18),IF($NP$18="Single_Point",IF(144=$NR$18,$NN$18,0),IF($NP$18="Bell_Curve",$NN$18*(144-$NR$18+1)*($NS$18-144+1)/$NU$18,$NN$18/$NT$18)),0)</f>
        <v/>
      </c>
      <c r="ES18" s="228">
        <f>IF(AND(145&gt;=$NR$18,145&lt;=$NS$18),IF($NP$18="Single_Point",IF(145=$NR$18,$NN$18,0),IF($NP$18="Bell_Curve",$NN$18*(145-$NR$18+1)*($NS$18-145+1)/$NU$18,$NN$18/$NT$18)),0)</f>
        <v/>
      </c>
      <c r="ET18" s="228">
        <f>IF(AND(146&gt;=$NR$18,146&lt;=$NS$18),IF($NP$18="Single_Point",IF(146=$NR$18,$NN$18,0),IF($NP$18="Bell_Curve",$NN$18*(146-$NR$18+1)*($NS$18-146+1)/$NU$18,$NN$18/$NT$18)),0)</f>
        <v/>
      </c>
      <c r="EU18" s="228">
        <f>IF(AND(147&gt;=$NR$18,147&lt;=$NS$18),IF($NP$18="Single_Point",IF(147=$NR$18,$NN$18,0),IF($NP$18="Bell_Curve",$NN$18*(147-$NR$18+1)*($NS$18-147+1)/$NU$18,$NN$18/$NT$18)),0)</f>
        <v/>
      </c>
      <c r="EV18" s="228">
        <f>IF(AND(148&gt;=$NR$18,148&lt;=$NS$18),IF($NP$18="Single_Point",IF(148=$NR$18,$NN$18,0),IF($NP$18="Bell_Curve",$NN$18*(148-$NR$18+1)*($NS$18-148+1)/$NU$18,$NN$18/$NT$18)),0)</f>
        <v/>
      </c>
      <c r="EW18" s="228">
        <f>IF(AND(149&gt;=$NR$18,149&lt;=$NS$18),IF($NP$18="Single_Point",IF(149=$NR$18,$NN$18,0),IF($NP$18="Bell_Curve",$NN$18*(149-$NR$18+1)*($NS$18-149+1)/$NU$18,$NN$18/$NT$18)),0)</f>
        <v/>
      </c>
      <c r="EX18" s="228">
        <f>IF(AND(150&gt;=$NR$18,150&lt;=$NS$18),IF($NP$18="Single_Point",IF(150=$NR$18,$NN$18,0),IF($NP$18="Bell_Curve",$NN$18*(150-$NR$18+1)*($NS$18-150+1)/$NU$18,$NN$18/$NT$18)),0)</f>
        <v/>
      </c>
      <c r="EY18" s="228">
        <f>IF(AND(151&gt;=$NR$18,151&lt;=$NS$18),IF($NP$18="Single_Point",IF(151=$NR$18,$NN$18,0),IF($NP$18="Bell_Curve",$NN$18*(151-$NR$18+1)*($NS$18-151+1)/$NU$18,$NN$18/$NT$18)),0)</f>
        <v/>
      </c>
      <c r="EZ18" s="228">
        <f>IF(AND(152&gt;=$NR$18,152&lt;=$NS$18),IF($NP$18="Single_Point",IF(152=$NR$18,$NN$18,0),IF($NP$18="Bell_Curve",$NN$18*(152-$NR$18+1)*($NS$18-152+1)/$NU$18,$NN$18/$NT$18)),0)</f>
        <v/>
      </c>
      <c r="FA18" s="228">
        <f>IF(AND(153&gt;=$NR$18,153&lt;=$NS$18),IF($NP$18="Single_Point",IF(153=$NR$18,$NN$18,0),IF($NP$18="Bell_Curve",$NN$18*(153-$NR$18+1)*($NS$18-153+1)/$NU$18,$NN$18/$NT$18)),0)</f>
        <v/>
      </c>
      <c r="FB18" s="228">
        <f>IF(AND(154&gt;=$NR$18,154&lt;=$NS$18),IF($NP$18="Single_Point",IF(154=$NR$18,$NN$18,0),IF($NP$18="Bell_Curve",$NN$18*(154-$NR$18+1)*($NS$18-154+1)/$NU$18,$NN$18/$NT$18)),0)</f>
        <v/>
      </c>
      <c r="FC18" s="228">
        <f>IF(AND(155&gt;=$NR$18,155&lt;=$NS$18),IF($NP$18="Single_Point",IF(155=$NR$18,$NN$18,0),IF($NP$18="Bell_Curve",$NN$18*(155-$NR$18+1)*($NS$18-155+1)/$NU$18,$NN$18/$NT$18)),0)</f>
        <v/>
      </c>
      <c r="FD18" s="228">
        <f>IF(AND(156&gt;=$NR$18,156&lt;=$NS$18),IF($NP$18="Single_Point",IF(156=$NR$18,$NN$18,0),IF($NP$18="Bell_Curve",$NN$18*(156-$NR$18+1)*($NS$18-156+1)/$NU$18,$NN$18/$NT$18)),0)</f>
        <v/>
      </c>
      <c r="FE18" s="228">
        <f>IF(AND(157&gt;=$NR$18,157&lt;=$NS$18),IF($NP$18="Single_Point",IF(157=$NR$18,$NN$18,0),IF($NP$18="Bell_Curve",$NN$18*(157-$NR$18+1)*($NS$18-157+1)/$NU$18,$NN$18/$NT$18)),0)</f>
        <v/>
      </c>
      <c r="FF18" s="228">
        <f>IF(AND(158&gt;=$NR$18,158&lt;=$NS$18),IF($NP$18="Single_Point",IF(158=$NR$18,$NN$18,0),IF($NP$18="Bell_Curve",$NN$18*(158-$NR$18+1)*($NS$18-158+1)/$NU$18,$NN$18/$NT$18)),0)</f>
        <v/>
      </c>
      <c r="FG18" s="228">
        <f>IF(AND(159&gt;=$NR$18,159&lt;=$NS$18),IF($NP$18="Single_Point",IF(159=$NR$18,$NN$18,0),IF($NP$18="Bell_Curve",$NN$18*(159-$NR$18+1)*($NS$18-159+1)/$NU$18,$NN$18/$NT$18)),0)</f>
        <v/>
      </c>
      <c r="FH18" s="228">
        <f>IF(AND(160&gt;=$NR$18,160&lt;=$NS$18),IF($NP$18="Single_Point",IF(160=$NR$18,$NN$18,0),IF($NP$18="Bell_Curve",$NN$18*(160-$NR$18+1)*($NS$18-160+1)/$NU$18,$NN$18/$NT$18)),0)</f>
        <v/>
      </c>
      <c r="FI18" s="228">
        <f>IF(AND(161&gt;=$NR$18,161&lt;=$NS$18),IF($NP$18="Single_Point",IF(161=$NR$18,$NN$18,0),IF($NP$18="Bell_Curve",$NN$18*(161-$NR$18+1)*($NS$18-161+1)/$NU$18,$NN$18/$NT$18)),0)</f>
        <v/>
      </c>
      <c r="FJ18" s="228">
        <f>IF(AND(162&gt;=$NR$18,162&lt;=$NS$18),IF($NP$18="Single_Point",IF(162=$NR$18,$NN$18,0),IF($NP$18="Bell_Curve",$NN$18*(162-$NR$18+1)*($NS$18-162+1)/$NU$18,$NN$18/$NT$18)),0)</f>
        <v/>
      </c>
      <c r="FK18" s="228">
        <f>IF(AND(163&gt;=$NR$18,163&lt;=$NS$18),IF($NP$18="Single_Point",IF(163=$NR$18,$NN$18,0),IF($NP$18="Bell_Curve",$NN$18*(163-$NR$18+1)*($NS$18-163+1)/$NU$18,$NN$18/$NT$18)),0)</f>
        <v/>
      </c>
      <c r="FL18" s="228">
        <f>IF(AND(164&gt;=$NR$18,164&lt;=$NS$18),IF($NP$18="Single_Point",IF(164=$NR$18,$NN$18,0),IF($NP$18="Bell_Curve",$NN$18*(164-$NR$18+1)*($NS$18-164+1)/$NU$18,$NN$18/$NT$18)),0)</f>
        <v/>
      </c>
      <c r="FM18" s="228">
        <f>IF(AND(165&gt;=$NR$18,165&lt;=$NS$18),IF($NP$18="Single_Point",IF(165=$NR$18,$NN$18,0),IF($NP$18="Bell_Curve",$NN$18*(165-$NR$18+1)*($NS$18-165+1)/$NU$18,$NN$18/$NT$18)),0)</f>
        <v/>
      </c>
      <c r="FN18" s="228">
        <f>IF(AND(166&gt;=$NR$18,166&lt;=$NS$18),IF($NP$18="Single_Point",IF(166=$NR$18,$NN$18,0),IF($NP$18="Bell_Curve",$NN$18*(166-$NR$18+1)*($NS$18-166+1)/$NU$18,$NN$18/$NT$18)),0)</f>
        <v/>
      </c>
      <c r="FO18" s="228">
        <f>IF(AND(167&gt;=$NR$18,167&lt;=$NS$18),IF($NP$18="Single_Point",IF(167=$NR$18,$NN$18,0),IF($NP$18="Bell_Curve",$NN$18*(167-$NR$18+1)*($NS$18-167+1)/$NU$18,$NN$18/$NT$18)),0)</f>
        <v/>
      </c>
      <c r="FP18" s="228">
        <f>IF(AND(168&gt;=$NR$18,168&lt;=$NS$18),IF($NP$18="Single_Point",IF(168=$NR$18,$NN$18,0),IF($NP$18="Bell_Curve",$NN$18*(168-$NR$18+1)*($NS$18-168+1)/$NU$18,$NN$18/$NT$18)),0)</f>
        <v/>
      </c>
      <c r="FQ18" s="228">
        <f>IF(AND(169&gt;=$NR$18,169&lt;=$NS$18),IF($NP$18="Single_Point",IF(169=$NR$18,$NN$18,0),IF($NP$18="Bell_Curve",$NN$18*(169-$NR$18+1)*($NS$18-169+1)/$NU$18,$NN$18/$NT$18)),0)</f>
        <v/>
      </c>
      <c r="FR18" s="228">
        <f>IF(AND(170&gt;=$NR$18,170&lt;=$NS$18),IF($NP$18="Single_Point",IF(170=$NR$18,$NN$18,0),IF($NP$18="Bell_Curve",$NN$18*(170-$NR$18+1)*($NS$18-170+1)/$NU$18,$NN$18/$NT$18)),0)</f>
        <v/>
      </c>
      <c r="FS18" s="228">
        <f>IF(AND(171&gt;=$NR$18,171&lt;=$NS$18),IF($NP$18="Single_Point",IF(171=$NR$18,$NN$18,0),IF($NP$18="Bell_Curve",$NN$18*(171-$NR$18+1)*($NS$18-171+1)/$NU$18,$NN$18/$NT$18)),0)</f>
        <v/>
      </c>
      <c r="FT18" s="228">
        <f>IF(AND(172&gt;=$NR$18,172&lt;=$NS$18),IF($NP$18="Single_Point",IF(172=$NR$18,$NN$18,0),IF($NP$18="Bell_Curve",$NN$18*(172-$NR$18+1)*($NS$18-172+1)/$NU$18,$NN$18/$NT$18)),0)</f>
        <v/>
      </c>
      <c r="FU18" s="228">
        <f>IF(AND(173&gt;=$NR$18,173&lt;=$NS$18),IF($NP$18="Single_Point",IF(173=$NR$18,$NN$18,0),IF($NP$18="Bell_Curve",$NN$18*(173-$NR$18+1)*($NS$18-173+1)/$NU$18,$NN$18/$NT$18)),0)</f>
        <v/>
      </c>
      <c r="FV18" s="228">
        <f>IF(AND(174&gt;=$NR$18,174&lt;=$NS$18),IF($NP$18="Single_Point",IF(174=$NR$18,$NN$18,0),IF($NP$18="Bell_Curve",$NN$18*(174-$NR$18+1)*($NS$18-174+1)/$NU$18,$NN$18/$NT$18)),0)</f>
        <v/>
      </c>
      <c r="FW18" s="228">
        <f>IF(AND(175&gt;=$NR$18,175&lt;=$NS$18),IF($NP$18="Single_Point",IF(175=$NR$18,$NN$18,0),IF($NP$18="Bell_Curve",$NN$18*(175-$NR$18+1)*($NS$18-175+1)/$NU$18,$NN$18/$NT$18)),0)</f>
        <v/>
      </c>
      <c r="FX18" s="228">
        <f>IF(AND(176&gt;=$NR$18,176&lt;=$NS$18),IF($NP$18="Single_Point",IF(176=$NR$18,$NN$18,0),IF($NP$18="Bell_Curve",$NN$18*(176-$NR$18+1)*($NS$18-176+1)/$NU$18,$NN$18/$NT$18)),0)</f>
        <v/>
      </c>
      <c r="FY18" s="228">
        <f>IF(AND(177&gt;=$NR$18,177&lt;=$NS$18),IF($NP$18="Single_Point",IF(177=$NR$18,$NN$18,0),IF($NP$18="Bell_Curve",$NN$18*(177-$NR$18+1)*($NS$18-177+1)/$NU$18,$NN$18/$NT$18)),0)</f>
        <v/>
      </c>
      <c r="FZ18" s="228">
        <f>IF(AND(178&gt;=$NR$18,178&lt;=$NS$18),IF($NP$18="Single_Point",IF(178=$NR$18,$NN$18,0),IF($NP$18="Bell_Curve",$NN$18*(178-$NR$18+1)*($NS$18-178+1)/$NU$18,$NN$18/$NT$18)),0)</f>
        <v/>
      </c>
      <c r="GA18" s="228">
        <f>IF(AND(179&gt;=$NR$18,179&lt;=$NS$18),IF($NP$18="Single_Point",IF(179=$NR$18,$NN$18,0),IF($NP$18="Bell_Curve",$NN$18*(179-$NR$18+1)*($NS$18-179+1)/$NU$18,$NN$18/$NT$18)),0)</f>
        <v/>
      </c>
      <c r="GB18" s="228">
        <f>IF(AND(180&gt;=$NR$18,180&lt;=$NS$18),IF($NP$18="Single_Point",IF(180=$NR$18,$NN$18,0),IF($NP$18="Bell_Curve",$NN$18*(180-$NR$18+1)*($NS$18-180+1)/$NU$18,$NN$18/$NT$18)),0)</f>
        <v/>
      </c>
      <c r="GC18" s="228">
        <f>IF(AND(181&gt;=$NR$18,181&lt;=$NS$18),IF($NP$18="Single_Point",IF(181=$NR$18,$NN$18,0),IF($NP$18="Bell_Curve",$NN$18*(181-$NR$18+1)*($NS$18-181+1)/$NU$18,$NN$18/$NT$18)),0)</f>
        <v/>
      </c>
      <c r="GD18" s="228">
        <f>IF(AND(182&gt;=$NR$18,182&lt;=$NS$18),IF($NP$18="Single_Point",IF(182=$NR$18,$NN$18,0),IF($NP$18="Bell_Curve",$NN$18*(182-$NR$18+1)*($NS$18-182+1)/$NU$18,$NN$18/$NT$18)),0)</f>
        <v/>
      </c>
      <c r="GE18" s="228">
        <f>IF(AND(183&gt;=$NR$18,183&lt;=$NS$18),IF($NP$18="Single_Point",IF(183=$NR$18,$NN$18,0),IF($NP$18="Bell_Curve",$NN$18*(183-$NR$18+1)*($NS$18-183+1)/$NU$18,$NN$18/$NT$18)),0)</f>
        <v/>
      </c>
      <c r="GF18" s="228">
        <f>IF(AND(184&gt;=$NR$18,184&lt;=$NS$18),IF($NP$18="Single_Point",IF(184=$NR$18,$NN$18,0),IF($NP$18="Bell_Curve",$NN$18*(184-$NR$18+1)*($NS$18-184+1)/$NU$18,$NN$18/$NT$18)),0)</f>
        <v/>
      </c>
      <c r="GG18" s="228">
        <f>IF(AND(185&gt;=$NR$18,185&lt;=$NS$18),IF($NP$18="Single_Point",IF(185=$NR$18,$NN$18,0),IF($NP$18="Bell_Curve",$NN$18*(185-$NR$18+1)*($NS$18-185+1)/$NU$18,$NN$18/$NT$18)),0)</f>
        <v/>
      </c>
      <c r="GH18" s="228">
        <f>IF(AND(186&gt;=$NR$18,186&lt;=$NS$18),IF($NP$18="Single_Point",IF(186=$NR$18,$NN$18,0),IF($NP$18="Bell_Curve",$NN$18*(186-$NR$18+1)*($NS$18-186+1)/$NU$18,$NN$18/$NT$18)),0)</f>
        <v/>
      </c>
      <c r="GI18" s="228">
        <f>IF(AND(187&gt;=$NR$18,187&lt;=$NS$18),IF($NP$18="Single_Point",IF(187=$NR$18,$NN$18,0),IF($NP$18="Bell_Curve",$NN$18*(187-$NR$18+1)*($NS$18-187+1)/$NU$18,$NN$18/$NT$18)),0)</f>
        <v/>
      </c>
      <c r="GJ18" s="228">
        <f>IF(AND(188&gt;=$NR$18,188&lt;=$NS$18),IF($NP$18="Single_Point",IF(188=$NR$18,$NN$18,0),IF($NP$18="Bell_Curve",$NN$18*(188-$NR$18+1)*($NS$18-188+1)/$NU$18,$NN$18/$NT$18)),0)</f>
        <v/>
      </c>
      <c r="GK18" s="228">
        <f>IF(AND(189&gt;=$NR$18,189&lt;=$NS$18),IF($NP$18="Single_Point",IF(189=$NR$18,$NN$18,0),IF($NP$18="Bell_Curve",$NN$18*(189-$NR$18+1)*($NS$18-189+1)/$NU$18,$NN$18/$NT$18)),0)</f>
        <v/>
      </c>
      <c r="GL18" s="228">
        <f>IF(AND(190&gt;=$NR$18,190&lt;=$NS$18),IF($NP$18="Single_Point",IF(190=$NR$18,$NN$18,0),IF($NP$18="Bell_Curve",$NN$18*(190-$NR$18+1)*($NS$18-190+1)/$NU$18,$NN$18/$NT$18)),0)</f>
        <v/>
      </c>
      <c r="GM18" s="228">
        <f>IF(AND(191&gt;=$NR$18,191&lt;=$NS$18),IF($NP$18="Single_Point",IF(191=$NR$18,$NN$18,0),IF($NP$18="Bell_Curve",$NN$18*(191-$NR$18+1)*($NS$18-191+1)/$NU$18,$NN$18/$NT$18)),0)</f>
        <v/>
      </c>
      <c r="GN18" s="228">
        <f>IF(AND(192&gt;=$NR$18,192&lt;=$NS$18),IF($NP$18="Single_Point",IF(192=$NR$18,$NN$18,0),IF($NP$18="Bell_Curve",$NN$18*(192-$NR$18+1)*($NS$18-192+1)/$NU$18,$NN$18/$NT$18)),0)</f>
        <v/>
      </c>
      <c r="GO18" s="228">
        <f>IF(AND(193&gt;=$NR$18,193&lt;=$NS$18),IF($NP$18="Single_Point",IF(193=$NR$18,$NN$18,0),IF($NP$18="Bell_Curve",$NN$18*(193-$NR$18+1)*($NS$18-193+1)/$NU$18,$NN$18/$NT$18)),0)</f>
        <v/>
      </c>
      <c r="GP18" s="228">
        <f>IF(AND(194&gt;=$NR$18,194&lt;=$NS$18),IF($NP$18="Single_Point",IF(194=$NR$18,$NN$18,0),IF($NP$18="Bell_Curve",$NN$18*(194-$NR$18+1)*($NS$18-194+1)/$NU$18,$NN$18/$NT$18)),0)</f>
        <v/>
      </c>
      <c r="GQ18" s="228">
        <f>IF(AND(195&gt;=$NR$18,195&lt;=$NS$18),IF($NP$18="Single_Point",IF(195=$NR$18,$NN$18,0),IF($NP$18="Bell_Curve",$NN$18*(195-$NR$18+1)*($NS$18-195+1)/$NU$18,$NN$18/$NT$18)),0)</f>
        <v/>
      </c>
      <c r="GR18" s="228">
        <f>IF(AND(196&gt;=$NR$18,196&lt;=$NS$18),IF($NP$18="Single_Point",IF(196=$NR$18,$NN$18,0),IF($NP$18="Bell_Curve",$NN$18*(196-$NR$18+1)*($NS$18-196+1)/$NU$18,$NN$18/$NT$18)),0)</f>
        <v/>
      </c>
      <c r="GS18" s="228">
        <f>IF(AND(197&gt;=$NR$18,197&lt;=$NS$18),IF($NP$18="Single_Point",IF(197=$NR$18,$NN$18,0),IF($NP$18="Bell_Curve",$NN$18*(197-$NR$18+1)*($NS$18-197+1)/$NU$18,$NN$18/$NT$18)),0)</f>
        <v/>
      </c>
      <c r="GT18" s="228">
        <f>IF(AND(198&gt;=$NR$18,198&lt;=$NS$18),IF($NP$18="Single_Point",IF(198=$NR$18,$NN$18,0),IF($NP$18="Bell_Curve",$NN$18*(198-$NR$18+1)*($NS$18-198+1)/$NU$18,$NN$18/$NT$18)),0)</f>
        <v/>
      </c>
      <c r="GU18" s="228">
        <f>IF(AND(199&gt;=$NR$18,199&lt;=$NS$18),IF($NP$18="Single_Point",IF(199=$NR$18,$NN$18,0),IF($NP$18="Bell_Curve",$NN$18*(199-$NR$18+1)*($NS$18-199+1)/$NU$18,$NN$18/$NT$18)),0)</f>
        <v/>
      </c>
      <c r="GV18" s="228">
        <f>IF(AND(200&gt;=$NR$18,200&lt;=$NS$18),IF($NP$18="Single_Point",IF(200=$NR$18,$NN$18,0),IF($NP$18="Bell_Curve",$NN$18*(200-$NR$18+1)*($NS$18-200+1)/$NU$18,$NN$18/$NT$18)),0)</f>
        <v/>
      </c>
      <c r="GW18" s="228">
        <f>IF(AND(201&gt;=$NR$18,201&lt;=$NS$18),IF($NP$18="Single_Point",IF(201=$NR$18,$NN$18,0),IF($NP$18="Bell_Curve",$NN$18*(201-$NR$18+1)*($NS$18-201+1)/$NU$18,$NN$18/$NT$18)),0)</f>
        <v/>
      </c>
      <c r="GX18" s="228">
        <f>IF(AND(202&gt;=$NR$18,202&lt;=$NS$18),IF($NP$18="Single_Point",IF(202=$NR$18,$NN$18,0),IF($NP$18="Bell_Curve",$NN$18*(202-$NR$18+1)*($NS$18-202+1)/$NU$18,$NN$18/$NT$18)),0)</f>
        <v/>
      </c>
      <c r="GY18" s="228">
        <f>IF(AND(203&gt;=$NR$18,203&lt;=$NS$18),IF($NP$18="Single_Point",IF(203=$NR$18,$NN$18,0),IF($NP$18="Bell_Curve",$NN$18*(203-$NR$18+1)*($NS$18-203+1)/$NU$18,$NN$18/$NT$18)),0)</f>
        <v/>
      </c>
      <c r="GZ18" s="228">
        <f>IF(AND(204&gt;=$NR$18,204&lt;=$NS$18),IF($NP$18="Single_Point",IF(204=$NR$18,$NN$18,0),IF($NP$18="Bell_Curve",$NN$18*(204-$NR$18+1)*($NS$18-204+1)/$NU$18,$NN$18/$NT$18)),0)</f>
        <v/>
      </c>
      <c r="HA18" s="228">
        <f>IF(AND(205&gt;=$NR$18,205&lt;=$NS$18),IF($NP$18="Single_Point",IF(205=$NR$18,$NN$18,0),IF($NP$18="Bell_Curve",$NN$18*(205-$NR$18+1)*($NS$18-205+1)/$NU$18,$NN$18/$NT$18)),0)</f>
        <v/>
      </c>
      <c r="HB18" s="228">
        <f>IF(AND(206&gt;=$NR$18,206&lt;=$NS$18),IF($NP$18="Single_Point",IF(206=$NR$18,$NN$18,0),IF($NP$18="Bell_Curve",$NN$18*(206-$NR$18+1)*($NS$18-206+1)/$NU$18,$NN$18/$NT$18)),0)</f>
        <v/>
      </c>
      <c r="HC18" s="228">
        <f>IF(AND(207&gt;=$NR$18,207&lt;=$NS$18),IF($NP$18="Single_Point",IF(207=$NR$18,$NN$18,0),IF($NP$18="Bell_Curve",$NN$18*(207-$NR$18+1)*($NS$18-207+1)/$NU$18,$NN$18/$NT$18)),0)</f>
        <v/>
      </c>
      <c r="HD18" s="228">
        <f>IF(AND(208&gt;=$NR$18,208&lt;=$NS$18),IF($NP$18="Single_Point",IF(208=$NR$18,$NN$18,0),IF($NP$18="Bell_Curve",$NN$18*(208-$NR$18+1)*($NS$18-208+1)/$NU$18,$NN$18/$NT$18)),0)</f>
        <v/>
      </c>
      <c r="HE18" s="228">
        <f>IF(AND(209&gt;=$NR$18,209&lt;=$NS$18),IF($NP$18="Single_Point",IF(209=$NR$18,$NN$18,0),IF($NP$18="Bell_Curve",$NN$18*(209-$NR$18+1)*($NS$18-209+1)/$NU$18,$NN$18/$NT$18)),0)</f>
        <v/>
      </c>
      <c r="HF18" s="228">
        <f>IF(AND(210&gt;=$NR$18,210&lt;=$NS$18),IF($NP$18="Single_Point",IF(210=$NR$18,$NN$18,0),IF($NP$18="Bell_Curve",$NN$18*(210-$NR$18+1)*($NS$18-210+1)/$NU$18,$NN$18/$NT$18)),0)</f>
        <v/>
      </c>
      <c r="HG18" s="228">
        <f>IF(AND(211&gt;=$NR$18,211&lt;=$NS$18),IF($NP$18="Single_Point",IF(211=$NR$18,$NN$18,0),IF($NP$18="Bell_Curve",$NN$18*(211-$NR$18+1)*($NS$18-211+1)/$NU$18,$NN$18/$NT$18)),0)</f>
        <v/>
      </c>
      <c r="HH18" s="228">
        <f>IF(AND(212&gt;=$NR$18,212&lt;=$NS$18),IF($NP$18="Single_Point",IF(212=$NR$18,$NN$18,0),IF($NP$18="Bell_Curve",$NN$18*(212-$NR$18+1)*($NS$18-212+1)/$NU$18,$NN$18/$NT$18)),0)</f>
        <v/>
      </c>
      <c r="HI18" s="228">
        <f>IF(AND(213&gt;=$NR$18,213&lt;=$NS$18),IF($NP$18="Single_Point",IF(213=$NR$18,$NN$18,0),IF($NP$18="Bell_Curve",$NN$18*(213-$NR$18+1)*($NS$18-213+1)/$NU$18,$NN$18/$NT$18)),0)</f>
        <v/>
      </c>
      <c r="HJ18" s="228">
        <f>IF(AND(214&gt;=$NR$18,214&lt;=$NS$18),IF($NP$18="Single_Point",IF(214=$NR$18,$NN$18,0),IF($NP$18="Bell_Curve",$NN$18*(214-$NR$18+1)*($NS$18-214+1)/$NU$18,$NN$18/$NT$18)),0)</f>
        <v/>
      </c>
      <c r="HK18" s="228">
        <f>IF(AND(215&gt;=$NR$18,215&lt;=$NS$18),IF($NP$18="Single_Point",IF(215=$NR$18,$NN$18,0),IF($NP$18="Bell_Curve",$NN$18*(215-$NR$18+1)*($NS$18-215+1)/$NU$18,$NN$18/$NT$18)),0)</f>
        <v/>
      </c>
      <c r="HL18" s="228">
        <f>IF(AND(216&gt;=$NR$18,216&lt;=$NS$18),IF($NP$18="Single_Point",IF(216=$NR$18,$NN$18,0),IF($NP$18="Bell_Curve",$NN$18*(216-$NR$18+1)*($NS$18-216+1)/$NU$18,$NN$18/$NT$18)),0)</f>
        <v/>
      </c>
      <c r="HM18" s="228">
        <f>IF(AND(217&gt;=$NR$18,217&lt;=$NS$18),IF($NP$18="Single_Point",IF(217=$NR$18,$NN$18,0),IF($NP$18="Bell_Curve",$NN$18*(217-$NR$18+1)*($NS$18-217+1)/$NU$18,$NN$18/$NT$18)),0)</f>
        <v/>
      </c>
      <c r="HN18" s="228">
        <f>IF(AND(218&gt;=$NR$18,218&lt;=$NS$18),IF($NP$18="Single_Point",IF(218=$NR$18,$NN$18,0),IF($NP$18="Bell_Curve",$NN$18*(218-$NR$18+1)*($NS$18-218+1)/$NU$18,$NN$18/$NT$18)),0)</f>
        <v/>
      </c>
      <c r="HO18" s="228">
        <f>IF(AND(219&gt;=$NR$18,219&lt;=$NS$18),IF($NP$18="Single_Point",IF(219=$NR$18,$NN$18,0),IF($NP$18="Bell_Curve",$NN$18*(219-$NR$18+1)*($NS$18-219+1)/$NU$18,$NN$18/$NT$18)),0)</f>
        <v/>
      </c>
      <c r="HP18" s="228">
        <f>IF(AND(220&gt;=$NR$18,220&lt;=$NS$18),IF($NP$18="Single_Point",IF(220=$NR$18,$NN$18,0),IF($NP$18="Bell_Curve",$NN$18*(220-$NR$18+1)*($NS$18-220+1)/$NU$18,$NN$18/$NT$18)),0)</f>
        <v/>
      </c>
      <c r="HQ18" s="228">
        <f>IF(AND(221&gt;=$NR$18,221&lt;=$NS$18),IF($NP$18="Single_Point",IF(221=$NR$18,$NN$18,0),IF($NP$18="Bell_Curve",$NN$18*(221-$NR$18+1)*($NS$18-221+1)/$NU$18,$NN$18/$NT$18)),0)</f>
        <v/>
      </c>
      <c r="HR18" s="228">
        <f>IF(AND(222&gt;=$NR$18,222&lt;=$NS$18),IF($NP$18="Single_Point",IF(222=$NR$18,$NN$18,0),IF($NP$18="Bell_Curve",$NN$18*(222-$NR$18+1)*($NS$18-222+1)/$NU$18,$NN$18/$NT$18)),0)</f>
        <v/>
      </c>
      <c r="HS18" s="228">
        <f>IF(AND(223&gt;=$NR$18,223&lt;=$NS$18),IF($NP$18="Single_Point",IF(223=$NR$18,$NN$18,0),IF($NP$18="Bell_Curve",$NN$18*(223-$NR$18+1)*($NS$18-223+1)/$NU$18,$NN$18/$NT$18)),0)</f>
        <v/>
      </c>
      <c r="HT18" s="228">
        <f>IF(AND(224&gt;=$NR$18,224&lt;=$NS$18),IF($NP$18="Single_Point",IF(224=$NR$18,$NN$18,0),IF($NP$18="Bell_Curve",$NN$18*(224-$NR$18+1)*($NS$18-224+1)/$NU$18,$NN$18/$NT$18)),0)</f>
        <v/>
      </c>
      <c r="HU18" s="228">
        <f>IF(AND(225&gt;=$NR$18,225&lt;=$NS$18),IF($NP$18="Single_Point",IF(225=$NR$18,$NN$18,0),IF($NP$18="Bell_Curve",$NN$18*(225-$NR$18+1)*($NS$18-225+1)/$NU$18,$NN$18/$NT$18)),0)</f>
        <v/>
      </c>
      <c r="HV18" s="228">
        <f>IF(AND(226&gt;=$NR$18,226&lt;=$NS$18),IF($NP$18="Single_Point",IF(226=$NR$18,$NN$18,0),IF($NP$18="Bell_Curve",$NN$18*(226-$NR$18+1)*($NS$18-226+1)/$NU$18,$NN$18/$NT$18)),0)</f>
        <v/>
      </c>
      <c r="HW18" s="228">
        <f>IF(AND(227&gt;=$NR$18,227&lt;=$NS$18),IF($NP$18="Single_Point",IF(227=$NR$18,$NN$18,0),IF($NP$18="Bell_Curve",$NN$18*(227-$NR$18+1)*($NS$18-227+1)/$NU$18,$NN$18/$NT$18)),0)</f>
        <v/>
      </c>
      <c r="HX18" s="228">
        <f>IF(AND(228&gt;=$NR$18,228&lt;=$NS$18),IF($NP$18="Single_Point",IF(228=$NR$18,$NN$18,0),IF($NP$18="Bell_Curve",$NN$18*(228-$NR$18+1)*($NS$18-228+1)/$NU$18,$NN$18/$NT$18)),0)</f>
        <v/>
      </c>
      <c r="HY18" s="228">
        <f>IF(AND(229&gt;=$NR$18,229&lt;=$NS$18),IF($NP$18="Single_Point",IF(229=$NR$18,$NN$18,0),IF($NP$18="Bell_Curve",$NN$18*(229-$NR$18+1)*($NS$18-229+1)/$NU$18,$NN$18/$NT$18)),0)</f>
        <v/>
      </c>
      <c r="HZ18" s="228">
        <f>IF(AND(230&gt;=$NR$18,230&lt;=$NS$18),IF($NP$18="Single_Point",IF(230=$NR$18,$NN$18,0),IF($NP$18="Bell_Curve",$NN$18*(230-$NR$18+1)*($NS$18-230+1)/$NU$18,$NN$18/$NT$18)),0)</f>
        <v/>
      </c>
      <c r="IA18" s="228">
        <f>IF(AND(231&gt;=$NR$18,231&lt;=$NS$18),IF($NP$18="Single_Point",IF(231=$NR$18,$NN$18,0),IF($NP$18="Bell_Curve",$NN$18*(231-$NR$18+1)*($NS$18-231+1)/$NU$18,$NN$18/$NT$18)),0)</f>
        <v/>
      </c>
      <c r="IB18" s="228">
        <f>IF(AND(232&gt;=$NR$18,232&lt;=$NS$18),IF($NP$18="Single_Point",IF(232=$NR$18,$NN$18,0),IF($NP$18="Bell_Curve",$NN$18*(232-$NR$18+1)*($NS$18-232+1)/$NU$18,$NN$18/$NT$18)),0)</f>
        <v/>
      </c>
      <c r="IC18" s="228">
        <f>IF(AND(233&gt;=$NR$18,233&lt;=$NS$18),IF($NP$18="Single_Point",IF(233=$NR$18,$NN$18,0),IF($NP$18="Bell_Curve",$NN$18*(233-$NR$18+1)*($NS$18-233+1)/$NU$18,$NN$18/$NT$18)),0)</f>
        <v/>
      </c>
      <c r="ID18" s="228">
        <f>IF(AND(234&gt;=$NR$18,234&lt;=$NS$18),IF($NP$18="Single_Point",IF(234=$NR$18,$NN$18,0),IF($NP$18="Bell_Curve",$NN$18*(234-$NR$18+1)*($NS$18-234+1)/$NU$18,$NN$18/$NT$18)),0)</f>
        <v/>
      </c>
      <c r="IE18" s="228">
        <f>IF(AND(235&gt;=$NR$18,235&lt;=$NS$18),IF($NP$18="Single_Point",IF(235=$NR$18,$NN$18,0),IF($NP$18="Bell_Curve",$NN$18*(235-$NR$18+1)*($NS$18-235+1)/$NU$18,$NN$18/$NT$18)),0)</f>
        <v/>
      </c>
      <c r="IF18" s="228">
        <f>IF(AND(236&gt;=$NR$18,236&lt;=$NS$18),IF($NP$18="Single_Point",IF(236=$NR$18,$NN$18,0),IF($NP$18="Bell_Curve",$NN$18*(236-$NR$18+1)*($NS$18-236+1)/$NU$18,$NN$18/$NT$18)),0)</f>
        <v/>
      </c>
      <c r="IG18" s="228">
        <f>IF(AND(237&gt;=$NR$18,237&lt;=$NS$18),IF($NP$18="Single_Point",IF(237=$NR$18,$NN$18,0),IF($NP$18="Bell_Curve",$NN$18*(237-$NR$18+1)*($NS$18-237+1)/$NU$18,$NN$18/$NT$18)),0)</f>
        <v/>
      </c>
      <c r="IH18" s="228">
        <f>IF(AND(238&gt;=$NR$18,238&lt;=$NS$18),IF($NP$18="Single_Point",IF(238=$NR$18,$NN$18,0),IF($NP$18="Bell_Curve",$NN$18*(238-$NR$18+1)*($NS$18-238+1)/$NU$18,$NN$18/$NT$18)),0)</f>
        <v/>
      </c>
      <c r="II18" s="228">
        <f>IF(AND(239&gt;=$NR$18,239&lt;=$NS$18),IF($NP$18="Single_Point",IF(239=$NR$18,$NN$18,0),IF($NP$18="Bell_Curve",$NN$18*(239-$NR$18+1)*($NS$18-239+1)/$NU$18,$NN$18/$NT$18)),0)</f>
        <v/>
      </c>
      <c r="IJ18" s="228">
        <f>IF(AND(240&gt;=$NR$18,240&lt;=$NS$18),IF($NP$18="Single_Point",IF(240=$NR$18,$NN$18,0),IF($NP$18="Bell_Curve",$NN$18*(240-$NR$18+1)*($NS$18-240+1)/$NU$18,$NN$18/$NT$18)),0)</f>
        <v/>
      </c>
      <c r="IK18" s="228">
        <f>IF(AND(241&gt;=$NR$18,241&lt;=$NS$18),IF($NP$18="Single_Point",IF(241=$NR$18,$NN$18,0),IF($NP$18="Bell_Curve",$NN$18*(241-$NR$18+1)*($NS$18-241+1)/$NU$18,$NN$18/$NT$18)),0)</f>
        <v/>
      </c>
      <c r="IL18" s="228">
        <f>IF(AND(242&gt;=$NR$18,242&lt;=$NS$18),IF($NP$18="Single_Point",IF(242=$NR$18,$NN$18,0),IF($NP$18="Bell_Curve",$NN$18*(242-$NR$18+1)*($NS$18-242+1)/$NU$18,$NN$18/$NT$18)),0)</f>
        <v/>
      </c>
      <c r="IM18" s="228">
        <f>IF(AND(243&gt;=$NR$18,243&lt;=$NS$18),IF($NP$18="Single_Point",IF(243=$NR$18,$NN$18,0),IF($NP$18="Bell_Curve",$NN$18*(243-$NR$18+1)*($NS$18-243+1)/$NU$18,$NN$18/$NT$18)),0)</f>
        <v/>
      </c>
      <c r="IN18" s="228">
        <f>IF(AND(244&gt;=$NR$18,244&lt;=$NS$18),IF($NP$18="Single_Point",IF(244=$NR$18,$NN$18,0),IF($NP$18="Bell_Curve",$NN$18*(244-$NR$18+1)*($NS$18-244+1)/$NU$18,$NN$18/$NT$18)),0)</f>
        <v/>
      </c>
      <c r="IO18" s="228">
        <f>IF(AND(245&gt;=$NR$18,245&lt;=$NS$18),IF($NP$18="Single_Point",IF(245=$NR$18,$NN$18,0),IF($NP$18="Bell_Curve",$NN$18*(245-$NR$18+1)*($NS$18-245+1)/$NU$18,$NN$18/$NT$18)),0)</f>
        <v/>
      </c>
      <c r="IP18" s="228">
        <f>IF(AND(246&gt;=$NR$18,246&lt;=$NS$18),IF($NP$18="Single_Point",IF(246=$NR$18,$NN$18,0),IF($NP$18="Bell_Curve",$NN$18*(246-$NR$18+1)*($NS$18-246+1)/$NU$18,$NN$18/$NT$18)),0)</f>
        <v/>
      </c>
      <c r="IQ18" s="228">
        <f>IF(AND(247&gt;=$NR$18,247&lt;=$NS$18),IF($NP$18="Single_Point",IF(247=$NR$18,$NN$18,0),IF($NP$18="Bell_Curve",$NN$18*(247-$NR$18+1)*($NS$18-247+1)/$NU$18,$NN$18/$NT$18)),0)</f>
        <v/>
      </c>
      <c r="IR18" s="228">
        <f>IF(AND(248&gt;=$NR$18,248&lt;=$NS$18),IF($NP$18="Single_Point",IF(248=$NR$18,$NN$18,0),IF($NP$18="Bell_Curve",$NN$18*(248-$NR$18+1)*($NS$18-248+1)/$NU$18,$NN$18/$NT$18)),0)</f>
        <v/>
      </c>
      <c r="IS18" s="228">
        <f>IF(AND(249&gt;=$NR$18,249&lt;=$NS$18),IF($NP$18="Single_Point",IF(249=$NR$18,$NN$18,0),IF($NP$18="Bell_Curve",$NN$18*(249-$NR$18+1)*($NS$18-249+1)/$NU$18,$NN$18/$NT$18)),0)</f>
        <v/>
      </c>
      <c r="IT18" s="228">
        <f>IF(AND(250&gt;=$NR$18,250&lt;=$NS$18),IF($NP$18="Single_Point",IF(250=$NR$18,$NN$18,0),IF($NP$18="Bell_Curve",$NN$18*(250-$NR$18+1)*($NS$18-250+1)/$NU$18,$NN$18/$NT$18)),0)</f>
        <v/>
      </c>
      <c r="IU18" s="228">
        <f>IF(AND(251&gt;=$NR$18,251&lt;=$NS$18),IF($NP$18="Single_Point",IF(251=$NR$18,$NN$18,0),IF($NP$18="Bell_Curve",$NN$18*(251-$NR$18+1)*($NS$18-251+1)/$NU$18,$NN$18/$NT$18)),0)</f>
        <v/>
      </c>
      <c r="IV18" s="228">
        <f>IF(AND(252&gt;=$NR$18,252&lt;=$NS$18),IF($NP$18="Single_Point",IF(252=$NR$18,$NN$18,0),IF($NP$18="Bell_Curve",$NN$18*(252-$NR$18+1)*($NS$18-252+1)/$NU$18,$NN$18/$NT$18)),0)</f>
        <v/>
      </c>
      <c r="IW18" s="228">
        <f>IF(AND(253&gt;=$NR$18,253&lt;=$NS$18),IF($NP$18="Single_Point",IF(253=$NR$18,$NN$18,0),IF($NP$18="Bell_Curve",$NN$18*(253-$NR$18+1)*($NS$18-253+1)/$NU$18,$NN$18/$NT$18)),0)</f>
        <v/>
      </c>
      <c r="IX18" s="228">
        <f>IF(AND(254&gt;=$NR$18,254&lt;=$NS$18),IF($NP$18="Single_Point",IF(254=$NR$18,$NN$18,0),IF($NP$18="Bell_Curve",$NN$18*(254-$NR$18+1)*($NS$18-254+1)/$NU$18,$NN$18/$NT$18)),0)</f>
        <v/>
      </c>
      <c r="IY18" s="228">
        <f>IF(AND(255&gt;=$NR$18,255&lt;=$NS$18),IF($NP$18="Single_Point",IF(255=$NR$18,$NN$18,0),IF($NP$18="Bell_Curve",$NN$18*(255-$NR$18+1)*($NS$18-255+1)/$NU$18,$NN$18/$NT$18)),0)</f>
        <v/>
      </c>
      <c r="IZ18" s="228">
        <f>IF(AND(256&gt;=$NR$18,256&lt;=$NS$18),IF($NP$18="Single_Point",IF(256=$NR$18,$NN$18,0),IF($NP$18="Bell_Curve",$NN$18*(256-$NR$18+1)*($NS$18-256+1)/$NU$18,$NN$18/$NT$18)),0)</f>
        <v/>
      </c>
      <c r="JA18" s="228">
        <f>IF(AND(257&gt;=$NR$18,257&lt;=$NS$18),IF($NP$18="Single_Point",IF(257=$NR$18,$NN$18,0),IF($NP$18="Bell_Curve",$NN$18*(257-$NR$18+1)*($NS$18-257+1)/$NU$18,$NN$18/$NT$18)),0)</f>
        <v/>
      </c>
      <c r="JB18" s="228">
        <f>IF(AND(258&gt;=$NR$18,258&lt;=$NS$18),IF($NP$18="Single_Point",IF(258=$NR$18,$NN$18,0),IF($NP$18="Bell_Curve",$NN$18*(258-$NR$18+1)*($NS$18-258+1)/$NU$18,$NN$18/$NT$18)),0)</f>
        <v/>
      </c>
      <c r="JC18" s="228">
        <f>IF(AND(259&gt;=$NR$18,259&lt;=$NS$18),IF($NP$18="Single_Point",IF(259=$NR$18,$NN$18,0),IF($NP$18="Bell_Curve",$NN$18*(259-$NR$18+1)*($NS$18-259+1)/$NU$18,$NN$18/$NT$18)),0)</f>
        <v/>
      </c>
      <c r="JD18" s="228">
        <f>IF(AND(260&gt;=$NR$18,260&lt;=$NS$18),IF($NP$18="Single_Point",IF(260=$NR$18,$NN$18,0),IF($NP$18="Bell_Curve",$NN$18*(260-$NR$18+1)*($NS$18-260+1)/$NU$18,$NN$18/$NT$18)),0)</f>
        <v/>
      </c>
      <c r="JE18" s="228">
        <f>IF(AND(261&gt;=$NR$18,261&lt;=$NS$18),IF($NP$18="Single_Point",IF(261=$NR$18,$NN$18,0),IF($NP$18="Bell_Curve",$NN$18*(261-$NR$18+1)*($NS$18-261+1)/$NU$18,$NN$18/$NT$18)),0)</f>
        <v/>
      </c>
      <c r="JF18" s="228">
        <f>IF(AND(262&gt;=$NR$18,262&lt;=$NS$18),IF($NP$18="Single_Point",IF(262=$NR$18,$NN$18,0),IF($NP$18="Bell_Curve",$NN$18*(262-$NR$18+1)*($NS$18-262+1)/$NU$18,$NN$18/$NT$18)),0)</f>
        <v/>
      </c>
      <c r="JG18" s="228">
        <f>IF(AND(263&gt;=$NR$18,263&lt;=$NS$18),IF($NP$18="Single_Point",IF(263=$NR$18,$NN$18,0),IF($NP$18="Bell_Curve",$NN$18*(263-$NR$18+1)*($NS$18-263+1)/$NU$18,$NN$18/$NT$18)),0)</f>
        <v/>
      </c>
      <c r="JH18" s="228">
        <f>IF(AND(264&gt;=$NR$18,264&lt;=$NS$18),IF($NP$18="Single_Point",IF(264=$NR$18,$NN$18,0),IF($NP$18="Bell_Curve",$NN$18*(264-$NR$18+1)*($NS$18-264+1)/$NU$18,$NN$18/$NT$18)),0)</f>
        <v/>
      </c>
      <c r="JI18" s="228">
        <f>IF(AND(265&gt;=$NR$18,265&lt;=$NS$18),IF($NP$18="Single_Point",IF(265=$NR$18,$NN$18,0),IF($NP$18="Bell_Curve",$NN$18*(265-$NR$18+1)*($NS$18-265+1)/$NU$18,$NN$18/$NT$18)),0)</f>
        <v/>
      </c>
      <c r="JJ18" s="228">
        <f>IF(AND(266&gt;=$NR$18,266&lt;=$NS$18),IF($NP$18="Single_Point",IF(266=$NR$18,$NN$18,0),IF($NP$18="Bell_Curve",$NN$18*(266-$NR$18+1)*($NS$18-266+1)/$NU$18,$NN$18/$NT$18)),0)</f>
        <v/>
      </c>
      <c r="JK18" s="228">
        <f>IF(AND(267&gt;=$NR$18,267&lt;=$NS$18),IF($NP$18="Single_Point",IF(267=$NR$18,$NN$18,0),IF($NP$18="Bell_Curve",$NN$18*(267-$NR$18+1)*($NS$18-267+1)/$NU$18,$NN$18/$NT$18)),0)</f>
        <v/>
      </c>
      <c r="JL18" s="228">
        <f>IF(AND(268&gt;=$NR$18,268&lt;=$NS$18),IF($NP$18="Single_Point",IF(268=$NR$18,$NN$18,0),IF($NP$18="Bell_Curve",$NN$18*(268-$NR$18+1)*($NS$18-268+1)/$NU$18,$NN$18/$NT$18)),0)</f>
        <v/>
      </c>
      <c r="JM18" s="228">
        <f>IF(AND(269&gt;=$NR$18,269&lt;=$NS$18),IF($NP$18="Single_Point",IF(269=$NR$18,$NN$18,0),IF($NP$18="Bell_Curve",$NN$18*(269-$NR$18+1)*($NS$18-269+1)/$NU$18,$NN$18/$NT$18)),0)</f>
        <v/>
      </c>
      <c r="JN18" s="228">
        <f>IF(AND(270&gt;=$NR$18,270&lt;=$NS$18),IF($NP$18="Single_Point",IF(270=$NR$18,$NN$18,0),IF($NP$18="Bell_Curve",$NN$18*(270-$NR$18+1)*($NS$18-270+1)/$NU$18,$NN$18/$NT$18)),0)</f>
        <v/>
      </c>
      <c r="JO18" s="228">
        <f>IF(AND(271&gt;=$NR$18,271&lt;=$NS$18),IF($NP$18="Single_Point",IF(271=$NR$18,$NN$18,0),IF($NP$18="Bell_Curve",$NN$18*(271-$NR$18+1)*($NS$18-271+1)/$NU$18,$NN$18/$NT$18)),0)</f>
        <v/>
      </c>
      <c r="JP18" s="228">
        <f>IF(AND(272&gt;=$NR$18,272&lt;=$NS$18),IF($NP$18="Single_Point",IF(272=$NR$18,$NN$18,0),IF($NP$18="Bell_Curve",$NN$18*(272-$NR$18+1)*($NS$18-272+1)/$NU$18,$NN$18/$NT$18)),0)</f>
        <v/>
      </c>
      <c r="JQ18" s="228">
        <f>IF(AND(273&gt;=$NR$18,273&lt;=$NS$18),IF($NP$18="Single_Point",IF(273=$NR$18,$NN$18,0),IF($NP$18="Bell_Curve",$NN$18*(273-$NR$18+1)*($NS$18-273+1)/$NU$18,$NN$18/$NT$18)),0)</f>
        <v/>
      </c>
      <c r="JR18" s="228">
        <f>IF(AND(274&gt;=$NR$18,274&lt;=$NS$18),IF($NP$18="Single_Point",IF(274=$NR$18,$NN$18,0),IF($NP$18="Bell_Curve",$NN$18*(274-$NR$18+1)*($NS$18-274+1)/$NU$18,$NN$18/$NT$18)),0)</f>
        <v/>
      </c>
      <c r="JS18" s="228">
        <f>IF(AND(275&gt;=$NR$18,275&lt;=$NS$18),IF($NP$18="Single_Point",IF(275=$NR$18,$NN$18,0),IF($NP$18="Bell_Curve",$NN$18*(275-$NR$18+1)*($NS$18-275+1)/$NU$18,$NN$18/$NT$18)),0)</f>
        <v/>
      </c>
      <c r="JT18" s="228">
        <f>IF(AND(276&gt;=$NR$18,276&lt;=$NS$18),IF($NP$18="Single_Point",IF(276=$NR$18,$NN$18,0),IF($NP$18="Bell_Curve",$NN$18*(276-$NR$18+1)*($NS$18-276+1)/$NU$18,$NN$18/$NT$18)),0)</f>
        <v/>
      </c>
      <c r="JU18" s="228">
        <f>IF(AND(277&gt;=$NR$18,277&lt;=$NS$18),IF($NP$18="Single_Point",IF(277=$NR$18,$NN$18,0),IF($NP$18="Bell_Curve",$NN$18*(277-$NR$18+1)*($NS$18-277+1)/$NU$18,$NN$18/$NT$18)),0)</f>
        <v/>
      </c>
      <c r="JV18" s="228">
        <f>IF(AND(278&gt;=$NR$18,278&lt;=$NS$18),IF($NP$18="Single_Point",IF(278=$NR$18,$NN$18,0),IF($NP$18="Bell_Curve",$NN$18*(278-$NR$18+1)*($NS$18-278+1)/$NU$18,$NN$18/$NT$18)),0)</f>
        <v/>
      </c>
      <c r="JW18" s="228">
        <f>IF(AND(279&gt;=$NR$18,279&lt;=$NS$18),IF($NP$18="Single_Point",IF(279=$NR$18,$NN$18,0),IF($NP$18="Bell_Curve",$NN$18*(279-$NR$18+1)*($NS$18-279+1)/$NU$18,$NN$18/$NT$18)),0)</f>
        <v/>
      </c>
      <c r="JX18" s="228">
        <f>IF(AND(280&gt;=$NR$18,280&lt;=$NS$18),IF($NP$18="Single_Point",IF(280=$NR$18,$NN$18,0),IF($NP$18="Bell_Curve",$NN$18*(280-$NR$18+1)*($NS$18-280+1)/$NU$18,$NN$18/$NT$18)),0)</f>
        <v/>
      </c>
      <c r="JY18" s="228">
        <f>IF(AND(281&gt;=$NR$18,281&lt;=$NS$18),IF($NP$18="Single_Point",IF(281=$NR$18,$NN$18,0),IF($NP$18="Bell_Curve",$NN$18*(281-$NR$18+1)*($NS$18-281+1)/$NU$18,$NN$18/$NT$18)),0)</f>
        <v/>
      </c>
      <c r="JZ18" s="228">
        <f>IF(AND(282&gt;=$NR$18,282&lt;=$NS$18),IF($NP$18="Single_Point",IF(282=$NR$18,$NN$18,0),IF($NP$18="Bell_Curve",$NN$18*(282-$NR$18+1)*($NS$18-282+1)/$NU$18,$NN$18/$NT$18)),0)</f>
        <v/>
      </c>
      <c r="KA18" s="228">
        <f>IF(AND(283&gt;=$NR$18,283&lt;=$NS$18),IF($NP$18="Single_Point",IF(283=$NR$18,$NN$18,0),IF($NP$18="Bell_Curve",$NN$18*(283-$NR$18+1)*($NS$18-283+1)/$NU$18,$NN$18/$NT$18)),0)</f>
        <v/>
      </c>
      <c r="KB18" s="228">
        <f>IF(AND(284&gt;=$NR$18,284&lt;=$NS$18),IF($NP$18="Single_Point",IF(284=$NR$18,$NN$18,0),IF($NP$18="Bell_Curve",$NN$18*(284-$NR$18+1)*($NS$18-284+1)/$NU$18,$NN$18/$NT$18)),0)</f>
        <v/>
      </c>
      <c r="KC18" s="228">
        <f>IF(AND(285&gt;=$NR$18,285&lt;=$NS$18),IF($NP$18="Single_Point",IF(285=$NR$18,$NN$18,0),IF($NP$18="Bell_Curve",$NN$18*(285-$NR$18+1)*($NS$18-285+1)/$NU$18,$NN$18/$NT$18)),0)</f>
        <v/>
      </c>
      <c r="KD18" s="228">
        <f>IF(AND(286&gt;=$NR$18,286&lt;=$NS$18),IF($NP$18="Single_Point",IF(286=$NR$18,$NN$18,0),IF($NP$18="Bell_Curve",$NN$18*(286-$NR$18+1)*($NS$18-286+1)/$NU$18,$NN$18/$NT$18)),0)</f>
        <v/>
      </c>
      <c r="KE18" s="228">
        <f>IF(AND(287&gt;=$NR$18,287&lt;=$NS$18),IF($NP$18="Single_Point",IF(287=$NR$18,$NN$18,0),IF($NP$18="Bell_Curve",$NN$18*(287-$NR$18+1)*($NS$18-287+1)/$NU$18,$NN$18/$NT$18)),0)</f>
        <v/>
      </c>
      <c r="KF18" s="228">
        <f>IF(AND(288&gt;=$NR$18,288&lt;=$NS$18),IF($NP$18="Single_Point",IF(288=$NR$18,$NN$18,0),IF($NP$18="Bell_Curve",$NN$18*(288-$NR$18+1)*($NS$18-288+1)/$NU$18,$NN$18/$NT$18)),0)</f>
        <v/>
      </c>
      <c r="KG18" s="228">
        <f>IF(AND(289&gt;=$NR$18,289&lt;=$NS$18),IF($NP$18="Single_Point",IF(289=$NR$18,$NN$18,0),IF($NP$18="Bell_Curve",$NN$18*(289-$NR$18+1)*($NS$18-289+1)/$NU$18,$NN$18/$NT$18)),0)</f>
        <v/>
      </c>
      <c r="KH18" s="228">
        <f>IF(AND(290&gt;=$NR$18,290&lt;=$NS$18),IF($NP$18="Single_Point",IF(290=$NR$18,$NN$18,0),IF($NP$18="Bell_Curve",$NN$18*(290-$NR$18+1)*($NS$18-290+1)/$NU$18,$NN$18/$NT$18)),0)</f>
        <v/>
      </c>
      <c r="KI18" s="228">
        <f>IF(AND(291&gt;=$NR$18,291&lt;=$NS$18),IF($NP$18="Single_Point",IF(291=$NR$18,$NN$18,0),IF($NP$18="Bell_Curve",$NN$18*(291-$NR$18+1)*($NS$18-291+1)/$NU$18,$NN$18/$NT$18)),0)</f>
        <v/>
      </c>
      <c r="KJ18" s="228">
        <f>IF(AND(292&gt;=$NR$18,292&lt;=$NS$18),IF($NP$18="Single_Point",IF(292=$NR$18,$NN$18,0),IF($NP$18="Bell_Curve",$NN$18*(292-$NR$18+1)*($NS$18-292+1)/$NU$18,$NN$18/$NT$18)),0)</f>
        <v/>
      </c>
      <c r="KK18" s="228">
        <f>IF(AND(293&gt;=$NR$18,293&lt;=$NS$18),IF($NP$18="Single_Point",IF(293=$NR$18,$NN$18,0),IF($NP$18="Bell_Curve",$NN$18*(293-$NR$18+1)*($NS$18-293+1)/$NU$18,$NN$18/$NT$18)),0)</f>
        <v/>
      </c>
      <c r="KL18" s="228">
        <f>IF(AND(294&gt;=$NR$18,294&lt;=$NS$18),IF($NP$18="Single_Point",IF(294=$NR$18,$NN$18,0),IF($NP$18="Bell_Curve",$NN$18*(294-$NR$18+1)*($NS$18-294+1)/$NU$18,$NN$18/$NT$18)),0)</f>
        <v/>
      </c>
      <c r="KM18" s="228">
        <f>IF(AND(295&gt;=$NR$18,295&lt;=$NS$18),IF($NP$18="Single_Point",IF(295=$NR$18,$NN$18,0),IF($NP$18="Bell_Curve",$NN$18*(295-$NR$18+1)*($NS$18-295+1)/$NU$18,$NN$18/$NT$18)),0)</f>
        <v/>
      </c>
      <c r="KN18" s="228">
        <f>IF(AND(296&gt;=$NR$18,296&lt;=$NS$18),IF($NP$18="Single_Point",IF(296=$NR$18,$NN$18,0),IF($NP$18="Bell_Curve",$NN$18*(296-$NR$18+1)*($NS$18-296+1)/$NU$18,$NN$18/$NT$18)),0)</f>
        <v/>
      </c>
      <c r="KO18" s="228">
        <f>IF(AND(297&gt;=$NR$18,297&lt;=$NS$18),IF($NP$18="Single_Point",IF(297=$NR$18,$NN$18,0),IF($NP$18="Bell_Curve",$NN$18*(297-$NR$18+1)*($NS$18-297+1)/$NU$18,$NN$18/$NT$18)),0)</f>
        <v/>
      </c>
      <c r="KP18" s="228">
        <f>IF(AND(298&gt;=$NR$18,298&lt;=$NS$18),IF($NP$18="Single_Point",IF(298=$NR$18,$NN$18,0),IF($NP$18="Bell_Curve",$NN$18*(298-$NR$18+1)*($NS$18-298+1)/$NU$18,$NN$18/$NT$18)),0)</f>
        <v/>
      </c>
      <c r="KQ18" s="228">
        <f>IF(AND(299&gt;=$NR$18,299&lt;=$NS$18),IF($NP$18="Single_Point",IF(299=$NR$18,$NN$18,0),IF($NP$18="Bell_Curve",$NN$18*(299-$NR$18+1)*($NS$18-299+1)/$NU$18,$NN$18/$NT$18)),0)</f>
        <v/>
      </c>
      <c r="KR18" s="228">
        <f>IF(AND(300&gt;=$NR$18,300&lt;=$NS$18),IF($NP$18="Single_Point",IF(300=$NR$18,$NN$18,0),IF($NP$18="Bell_Curve",$NN$18*(300-$NR$18+1)*($NS$18-300+1)/$NU$18,$NN$18/$NT$18)),0)</f>
        <v/>
      </c>
      <c r="KS18" s="228">
        <f>IF(AND(301&gt;=$NR$18,301&lt;=$NS$18),IF($NP$18="Single_Point",IF(301=$NR$18,$NN$18,0),IF($NP$18="Bell_Curve",$NN$18*(301-$NR$18+1)*($NS$18-301+1)/$NU$18,$NN$18/$NT$18)),0)</f>
        <v/>
      </c>
      <c r="KT18" s="228">
        <f>IF(AND(302&gt;=$NR$18,302&lt;=$NS$18),IF($NP$18="Single_Point",IF(302=$NR$18,$NN$18,0),IF($NP$18="Bell_Curve",$NN$18*(302-$NR$18+1)*($NS$18-302+1)/$NU$18,$NN$18/$NT$18)),0)</f>
        <v/>
      </c>
      <c r="KU18" s="228">
        <f>IF(AND(303&gt;=$NR$18,303&lt;=$NS$18),IF($NP$18="Single_Point",IF(303=$NR$18,$NN$18,0),IF($NP$18="Bell_Curve",$NN$18*(303-$NR$18+1)*($NS$18-303+1)/$NU$18,$NN$18/$NT$18)),0)</f>
        <v/>
      </c>
      <c r="KV18" s="228">
        <f>IF(AND(304&gt;=$NR$18,304&lt;=$NS$18),IF($NP$18="Single_Point",IF(304=$NR$18,$NN$18,0),IF($NP$18="Bell_Curve",$NN$18*(304-$NR$18+1)*($NS$18-304+1)/$NU$18,$NN$18/$NT$18)),0)</f>
        <v/>
      </c>
      <c r="KW18" s="228">
        <f>IF(AND(305&gt;=$NR$18,305&lt;=$NS$18),IF($NP$18="Single_Point",IF(305=$NR$18,$NN$18,0),IF($NP$18="Bell_Curve",$NN$18*(305-$NR$18+1)*($NS$18-305+1)/$NU$18,$NN$18/$NT$18)),0)</f>
        <v/>
      </c>
      <c r="KX18" s="228">
        <f>IF(AND(306&gt;=$NR$18,306&lt;=$NS$18),IF($NP$18="Single_Point",IF(306=$NR$18,$NN$18,0),IF($NP$18="Bell_Curve",$NN$18*(306-$NR$18+1)*($NS$18-306+1)/$NU$18,$NN$18/$NT$18)),0)</f>
        <v/>
      </c>
      <c r="KY18" s="228">
        <f>IF(AND(307&gt;=$NR$18,307&lt;=$NS$18),IF($NP$18="Single_Point",IF(307=$NR$18,$NN$18,0),IF($NP$18="Bell_Curve",$NN$18*(307-$NR$18+1)*($NS$18-307+1)/$NU$18,$NN$18/$NT$18)),0)</f>
        <v/>
      </c>
      <c r="KZ18" s="228">
        <f>IF(AND(308&gt;=$NR$18,308&lt;=$NS$18),IF($NP$18="Single_Point",IF(308=$NR$18,$NN$18,0),IF($NP$18="Bell_Curve",$NN$18*(308-$NR$18+1)*($NS$18-308+1)/$NU$18,$NN$18/$NT$18)),0)</f>
        <v/>
      </c>
      <c r="LA18" s="228">
        <f>IF(AND(309&gt;=$NR$18,309&lt;=$NS$18),IF($NP$18="Single_Point",IF(309=$NR$18,$NN$18,0),IF($NP$18="Bell_Curve",$NN$18*(309-$NR$18+1)*($NS$18-309+1)/$NU$18,$NN$18/$NT$18)),0)</f>
        <v/>
      </c>
      <c r="LB18" s="228">
        <f>IF(AND(310&gt;=$NR$18,310&lt;=$NS$18),IF($NP$18="Single_Point",IF(310=$NR$18,$NN$18,0),IF($NP$18="Bell_Curve",$NN$18*(310-$NR$18+1)*($NS$18-310+1)/$NU$18,$NN$18/$NT$18)),0)</f>
        <v/>
      </c>
      <c r="LC18" s="228">
        <f>IF(AND(311&gt;=$NR$18,311&lt;=$NS$18),IF($NP$18="Single_Point",IF(311=$NR$18,$NN$18,0),IF($NP$18="Bell_Curve",$NN$18*(311-$NR$18+1)*($NS$18-311+1)/$NU$18,$NN$18/$NT$18)),0)</f>
        <v/>
      </c>
      <c r="LD18" s="228">
        <f>IF(AND(312&gt;=$NR$18,312&lt;=$NS$18),IF($NP$18="Single_Point",IF(312=$NR$18,$NN$18,0),IF($NP$18="Bell_Curve",$NN$18*(312-$NR$18+1)*($NS$18-312+1)/$NU$18,$NN$18/$NT$18)),0)</f>
        <v/>
      </c>
      <c r="LE18" s="228">
        <f>IF(AND(313&gt;=$NR$18,313&lt;=$NS$18),IF($NP$18="Single_Point",IF(313=$NR$18,$NN$18,0),IF($NP$18="Bell_Curve",$NN$18*(313-$NR$18+1)*($NS$18-313+1)/$NU$18,$NN$18/$NT$18)),0)</f>
        <v/>
      </c>
      <c r="LF18" s="228">
        <f>IF(AND(314&gt;=$NR$18,314&lt;=$NS$18),IF($NP$18="Single_Point",IF(314=$NR$18,$NN$18,0),IF($NP$18="Bell_Curve",$NN$18*(314-$NR$18+1)*($NS$18-314+1)/$NU$18,$NN$18/$NT$18)),0)</f>
        <v/>
      </c>
      <c r="LG18" s="228">
        <f>IF(AND(315&gt;=$NR$18,315&lt;=$NS$18),IF($NP$18="Single_Point",IF(315=$NR$18,$NN$18,0),IF($NP$18="Bell_Curve",$NN$18*(315-$NR$18+1)*($NS$18-315+1)/$NU$18,$NN$18/$NT$18)),0)</f>
        <v/>
      </c>
      <c r="LH18" s="228">
        <f>IF(AND(316&gt;=$NR$18,316&lt;=$NS$18),IF($NP$18="Single_Point",IF(316=$NR$18,$NN$18,0),IF($NP$18="Bell_Curve",$NN$18*(316-$NR$18+1)*($NS$18-316+1)/$NU$18,$NN$18/$NT$18)),0)</f>
        <v/>
      </c>
      <c r="LI18" s="228">
        <f>IF(AND(317&gt;=$NR$18,317&lt;=$NS$18),IF($NP$18="Single_Point",IF(317=$NR$18,$NN$18,0),IF($NP$18="Bell_Curve",$NN$18*(317-$NR$18+1)*($NS$18-317+1)/$NU$18,$NN$18/$NT$18)),0)</f>
        <v/>
      </c>
      <c r="LJ18" s="228">
        <f>IF(AND(318&gt;=$NR$18,318&lt;=$NS$18),IF($NP$18="Single_Point",IF(318=$NR$18,$NN$18,0),IF($NP$18="Bell_Curve",$NN$18*(318-$NR$18+1)*($NS$18-318+1)/$NU$18,$NN$18/$NT$18)),0)</f>
        <v/>
      </c>
      <c r="LK18" s="228">
        <f>IF(AND(319&gt;=$NR$18,319&lt;=$NS$18),IF($NP$18="Single_Point",IF(319=$NR$18,$NN$18,0),IF($NP$18="Bell_Curve",$NN$18*(319-$NR$18+1)*($NS$18-319+1)/$NU$18,$NN$18/$NT$18)),0)</f>
        <v/>
      </c>
      <c r="LL18" s="228">
        <f>IF(AND(320&gt;=$NR$18,320&lt;=$NS$18),IF($NP$18="Single_Point",IF(320=$NR$18,$NN$18,0),IF($NP$18="Bell_Curve",$NN$18*(320-$NR$18+1)*($NS$18-320+1)/$NU$18,$NN$18/$NT$18)),0)</f>
        <v/>
      </c>
      <c r="LM18" s="228">
        <f>IF(AND(321&gt;=$NR$18,321&lt;=$NS$18),IF($NP$18="Single_Point",IF(321=$NR$18,$NN$18,0),IF($NP$18="Bell_Curve",$NN$18*(321-$NR$18+1)*($NS$18-321+1)/$NU$18,$NN$18/$NT$18)),0)</f>
        <v/>
      </c>
      <c r="LN18" s="228">
        <f>IF(AND(322&gt;=$NR$18,322&lt;=$NS$18),IF($NP$18="Single_Point",IF(322=$NR$18,$NN$18,0),IF($NP$18="Bell_Curve",$NN$18*(322-$NR$18+1)*($NS$18-322+1)/$NU$18,$NN$18/$NT$18)),0)</f>
        <v/>
      </c>
      <c r="LO18" s="228">
        <f>IF(AND(323&gt;=$NR$18,323&lt;=$NS$18),IF($NP$18="Single_Point",IF(323=$NR$18,$NN$18,0),IF($NP$18="Bell_Curve",$NN$18*(323-$NR$18+1)*($NS$18-323+1)/$NU$18,$NN$18/$NT$18)),0)</f>
        <v/>
      </c>
      <c r="LP18" s="228">
        <f>IF(AND(324&gt;=$NR$18,324&lt;=$NS$18),IF($NP$18="Single_Point",IF(324=$NR$18,$NN$18,0),IF($NP$18="Bell_Curve",$NN$18*(324-$NR$18+1)*($NS$18-324+1)/$NU$18,$NN$18/$NT$18)),0)</f>
        <v/>
      </c>
      <c r="LQ18" s="228">
        <f>IF(AND(325&gt;=$NR$18,325&lt;=$NS$18),IF($NP$18="Single_Point",IF(325=$NR$18,$NN$18,0),IF($NP$18="Bell_Curve",$NN$18*(325-$NR$18+1)*($NS$18-325+1)/$NU$18,$NN$18/$NT$18)),0)</f>
        <v/>
      </c>
      <c r="LR18" s="228">
        <f>IF(AND(326&gt;=$NR$18,326&lt;=$NS$18),IF($NP$18="Single_Point",IF(326=$NR$18,$NN$18,0),IF($NP$18="Bell_Curve",$NN$18*(326-$NR$18+1)*($NS$18-326+1)/$NU$18,$NN$18/$NT$18)),0)</f>
        <v/>
      </c>
      <c r="LS18" s="228">
        <f>IF(AND(327&gt;=$NR$18,327&lt;=$NS$18),IF($NP$18="Single_Point",IF(327=$NR$18,$NN$18,0),IF($NP$18="Bell_Curve",$NN$18*(327-$NR$18+1)*($NS$18-327+1)/$NU$18,$NN$18/$NT$18)),0)</f>
        <v/>
      </c>
      <c r="LT18" s="228">
        <f>IF(AND(328&gt;=$NR$18,328&lt;=$NS$18),IF($NP$18="Single_Point",IF(328=$NR$18,$NN$18,0),IF($NP$18="Bell_Curve",$NN$18*(328-$NR$18+1)*($NS$18-328+1)/$NU$18,$NN$18/$NT$18)),0)</f>
        <v/>
      </c>
      <c r="LU18" s="228">
        <f>IF(AND(329&gt;=$NR$18,329&lt;=$NS$18),IF($NP$18="Single_Point",IF(329=$NR$18,$NN$18,0),IF($NP$18="Bell_Curve",$NN$18*(329-$NR$18+1)*($NS$18-329+1)/$NU$18,$NN$18/$NT$18)),0)</f>
        <v/>
      </c>
      <c r="LV18" s="228">
        <f>IF(AND(330&gt;=$NR$18,330&lt;=$NS$18),IF($NP$18="Single_Point",IF(330=$NR$18,$NN$18,0),IF($NP$18="Bell_Curve",$NN$18*(330-$NR$18+1)*($NS$18-330+1)/$NU$18,$NN$18/$NT$18)),0)</f>
        <v/>
      </c>
      <c r="LW18" s="228">
        <f>IF(AND(331&gt;=$NR$18,331&lt;=$NS$18),IF($NP$18="Single_Point",IF(331=$NR$18,$NN$18,0),IF($NP$18="Bell_Curve",$NN$18*(331-$NR$18+1)*($NS$18-331+1)/$NU$18,$NN$18/$NT$18)),0)</f>
        <v/>
      </c>
      <c r="LX18" s="228">
        <f>IF(AND(332&gt;=$NR$18,332&lt;=$NS$18),IF($NP$18="Single_Point",IF(332=$NR$18,$NN$18,0),IF($NP$18="Bell_Curve",$NN$18*(332-$NR$18+1)*($NS$18-332+1)/$NU$18,$NN$18/$NT$18)),0)</f>
        <v/>
      </c>
      <c r="LY18" s="228">
        <f>IF(AND(333&gt;=$NR$18,333&lt;=$NS$18),IF($NP$18="Single_Point",IF(333=$NR$18,$NN$18,0),IF($NP$18="Bell_Curve",$NN$18*(333-$NR$18+1)*($NS$18-333+1)/$NU$18,$NN$18/$NT$18)),0)</f>
        <v/>
      </c>
      <c r="LZ18" s="228">
        <f>IF(AND(334&gt;=$NR$18,334&lt;=$NS$18),IF($NP$18="Single_Point",IF(334=$NR$18,$NN$18,0),IF($NP$18="Bell_Curve",$NN$18*(334-$NR$18+1)*($NS$18-334+1)/$NU$18,$NN$18/$NT$18)),0)</f>
        <v/>
      </c>
      <c r="MA18" s="228">
        <f>IF(AND(335&gt;=$NR$18,335&lt;=$NS$18),IF($NP$18="Single_Point",IF(335=$NR$18,$NN$18,0),IF($NP$18="Bell_Curve",$NN$18*(335-$NR$18+1)*($NS$18-335+1)/$NU$18,$NN$18/$NT$18)),0)</f>
        <v/>
      </c>
      <c r="MB18" s="228">
        <f>IF(AND(336&gt;=$NR$18,336&lt;=$NS$18),IF($NP$18="Single_Point",IF(336=$NR$18,$NN$18,0),IF($NP$18="Bell_Curve",$NN$18*(336-$NR$18+1)*($NS$18-336+1)/$NU$18,$NN$18/$NT$18)),0)</f>
        <v/>
      </c>
      <c r="MC18" s="228">
        <f>IF(AND(337&gt;=$NR$18,337&lt;=$NS$18),IF($NP$18="Single_Point",IF(337=$NR$18,$NN$18,0),IF($NP$18="Bell_Curve",$NN$18*(337-$NR$18+1)*($NS$18-337+1)/$NU$18,$NN$18/$NT$18)),0)</f>
        <v/>
      </c>
      <c r="MD18" s="228">
        <f>IF(AND(338&gt;=$NR$18,338&lt;=$NS$18),IF($NP$18="Single_Point",IF(338=$NR$18,$NN$18,0),IF($NP$18="Bell_Curve",$NN$18*(338-$NR$18+1)*($NS$18-338+1)/$NU$18,$NN$18/$NT$18)),0)</f>
        <v/>
      </c>
      <c r="ME18" s="228">
        <f>IF(AND(339&gt;=$NR$18,339&lt;=$NS$18),IF($NP$18="Single_Point",IF(339=$NR$18,$NN$18,0),IF($NP$18="Bell_Curve",$NN$18*(339-$NR$18+1)*($NS$18-339+1)/$NU$18,$NN$18/$NT$18)),0)</f>
        <v/>
      </c>
      <c r="MF18" s="228">
        <f>IF(AND(340&gt;=$NR$18,340&lt;=$NS$18),IF($NP$18="Single_Point",IF(340=$NR$18,$NN$18,0),IF($NP$18="Bell_Curve",$NN$18*(340-$NR$18+1)*($NS$18-340+1)/$NU$18,$NN$18/$NT$18)),0)</f>
        <v/>
      </c>
      <c r="MG18" s="228">
        <f>IF(AND(341&gt;=$NR$18,341&lt;=$NS$18),IF($NP$18="Single_Point",IF(341=$NR$18,$NN$18,0),IF($NP$18="Bell_Curve",$NN$18*(341-$NR$18+1)*($NS$18-341+1)/$NU$18,$NN$18/$NT$18)),0)</f>
        <v/>
      </c>
      <c r="MH18" s="228">
        <f>IF(AND(342&gt;=$NR$18,342&lt;=$NS$18),IF($NP$18="Single_Point",IF(342=$NR$18,$NN$18,0),IF($NP$18="Bell_Curve",$NN$18*(342-$NR$18+1)*($NS$18-342+1)/$NU$18,$NN$18/$NT$18)),0)</f>
        <v/>
      </c>
      <c r="MI18" s="228">
        <f>IF(AND(343&gt;=$NR$18,343&lt;=$NS$18),IF($NP$18="Single_Point",IF(343=$NR$18,$NN$18,0),IF($NP$18="Bell_Curve",$NN$18*(343-$NR$18+1)*($NS$18-343+1)/$NU$18,$NN$18/$NT$18)),0)</f>
        <v/>
      </c>
      <c r="MJ18" s="228">
        <f>IF(AND(344&gt;=$NR$18,344&lt;=$NS$18),IF($NP$18="Single_Point",IF(344=$NR$18,$NN$18,0),IF($NP$18="Bell_Curve",$NN$18*(344-$NR$18+1)*($NS$18-344+1)/$NU$18,$NN$18/$NT$18)),0)</f>
        <v/>
      </c>
      <c r="MK18" s="228">
        <f>IF(AND(345&gt;=$NR$18,345&lt;=$NS$18),IF($NP$18="Single_Point",IF(345=$NR$18,$NN$18,0),IF($NP$18="Bell_Curve",$NN$18*(345-$NR$18+1)*($NS$18-345+1)/$NU$18,$NN$18/$NT$18)),0)</f>
        <v/>
      </c>
      <c r="ML18" s="228">
        <f>IF(AND(346&gt;=$NR$18,346&lt;=$NS$18),IF($NP$18="Single_Point",IF(346=$NR$18,$NN$18,0),IF($NP$18="Bell_Curve",$NN$18*(346-$NR$18+1)*($NS$18-346+1)/$NU$18,$NN$18/$NT$18)),0)</f>
        <v/>
      </c>
      <c r="MM18" s="228">
        <f>IF(AND(347&gt;=$NR$18,347&lt;=$NS$18),IF($NP$18="Single_Point",IF(347=$NR$18,$NN$18,0),IF($NP$18="Bell_Curve",$NN$18*(347-$NR$18+1)*($NS$18-347+1)/$NU$18,$NN$18/$NT$18)),0)</f>
        <v/>
      </c>
      <c r="MN18" s="228">
        <f>IF(AND(348&gt;=$NR$18,348&lt;=$NS$18),IF($NP$18="Single_Point",IF(348=$NR$18,$NN$18,0),IF($NP$18="Bell_Curve",$NN$18*(348-$NR$18+1)*($NS$18-348+1)/$NU$18,$NN$18/$NT$18)),0)</f>
        <v/>
      </c>
      <c r="MO18" s="228">
        <f>IF(AND(349&gt;=$NR$18,349&lt;=$NS$18),IF($NP$18="Single_Point",IF(349=$NR$18,$NN$18,0),IF($NP$18="Bell_Curve",$NN$18*(349-$NR$18+1)*($NS$18-349+1)/$NU$18,$NN$18/$NT$18)),0)</f>
        <v/>
      </c>
      <c r="MP18" s="228">
        <f>IF(AND(350&gt;=$NR$18,350&lt;=$NS$18),IF($NP$18="Single_Point",IF(350=$NR$18,$NN$18,0),IF($NP$18="Bell_Curve",$NN$18*(350-$NR$18+1)*($NS$18-350+1)/$NU$18,$NN$18/$NT$18)),0)</f>
        <v/>
      </c>
      <c r="MQ18" s="228">
        <f>IF(AND(351&gt;=$NR$18,351&lt;=$NS$18),IF($NP$18="Single_Point",IF(351=$NR$18,$NN$18,0),IF($NP$18="Bell_Curve",$NN$18*(351-$NR$18+1)*($NS$18-351+1)/$NU$18,$NN$18/$NT$18)),0)</f>
        <v/>
      </c>
      <c r="MR18" s="228">
        <f>IF(AND(352&gt;=$NR$18,352&lt;=$NS$18),IF($NP$18="Single_Point",IF(352=$NR$18,$NN$18,0),IF($NP$18="Bell_Curve",$NN$18*(352-$NR$18+1)*($NS$18-352+1)/$NU$18,$NN$18/$NT$18)),0)</f>
        <v/>
      </c>
      <c r="MS18" s="228">
        <f>IF(AND(353&gt;=$NR$18,353&lt;=$NS$18),IF($NP$18="Single_Point",IF(353=$NR$18,$NN$18,0),IF($NP$18="Bell_Curve",$NN$18*(353-$NR$18+1)*($NS$18-353+1)/$NU$18,$NN$18/$NT$18)),0)</f>
        <v/>
      </c>
      <c r="MT18" s="228">
        <f>IF(AND(354&gt;=$NR$18,354&lt;=$NS$18),IF($NP$18="Single_Point",IF(354=$NR$18,$NN$18,0),IF($NP$18="Bell_Curve",$NN$18*(354-$NR$18+1)*($NS$18-354+1)/$NU$18,$NN$18/$NT$18)),0)</f>
        <v/>
      </c>
      <c r="MU18" s="228">
        <f>IF(AND(355&gt;=$NR$18,355&lt;=$NS$18),IF($NP$18="Single_Point",IF(355=$NR$18,$NN$18,0),IF($NP$18="Bell_Curve",$NN$18*(355-$NR$18+1)*($NS$18-355+1)/$NU$18,$NN$18/$NT$18)),0)</f>
        <v/>
      </c>
      <c r="MV18" s="228">
        <f>IF(AND(356&gt;=$NR$18,356&lt;=$NS$18),IF($NP$18="Single_Point",IF(356=$NR$18,$NN$18,0),IF($NP$18="Bell_Curve",$NN$18*(356-$NR$18+1)*($NS$18-356+1)/$NU$18,$NN$18/$NT$18)),0)</f>
        <v/>
      </c>
      <c r="MW18" s="228">
        <f>IF(AND(357&gt;=$NR$18,357&lt;=$NS$18),IF($NP$18="Single_Point",IF(357=$NR$18,$NN$18,0),IF($NP$18="Bell_Curve",$NN$18*(357-$NR$18+1)*($NS$18-357+1)/$NU$18,$NN$18/$NT$18)),0)</f>
        <v/>
      </c>
      <c r="MX18" s="228">
        <f>IF(AND(358&gt;=$NR$18,358&lt;=$NS$18),IF($NP$18="Single_Point",IF(358=$NR$18,$NN$18,0),IF($NP$18="Bell_Curve",$NN$18*(358-$NR$18+1)*($NS$18-358+1)/$NU$18,$NN$18/$NT$18)),0)</f>
        <v/>
      </c>
      <c r="MY18" s="228">
        <f>IF(AND(359&gt;=$NR$18,359&lt;=$NS$18),IF($NP$18="Single_Point",IF(359=$NR$18,$NN$18,0),IF($NP$18="Bell_Curve",$NN$18*(359-$NR$18+1)*($NS$18-359+1)/$NU$18,$NN$18/$NT$18)),0)</f>
        <v/>
      </c>
      <c r="MZ18" s="228">
        <f>IF(AND(360&gt;=$NR$18,360&lt;=$NS$18),IF($NP$18="Single_Point",IF(360=$NR$18,$NN$18,0),IF($NP$18="Bell_Curve",$NN$18*(360-$NR$18+1)*($NS$18-360+1)/$NU$18,$NN$18/$NT$18)),0)</f>
        <v/>
      </c>
      <c r="NA18" s="228">
        <f>IF(AND(361&gt;=$NR$18,361&lt;=$NS$18),IF($NP$18="Single_Point",IF(361=$NR$18,$NN$18,0),IF($NP$18="Bell_Curve",$NN$18*(361-$NR$18+1)*($NS$18-361+1)/$NU$18,$NN$18/$NT$18)),0)</f>
        <v/>
      </c>
      <c r="NB18" s="228">
        <f>IF(AND(362&gt;=$NR$18,362&lt;=$NS$18),IF($NP$18="Single_Point",IF(362=$NR$18,$NN$18,0),IF($NP$18="Bell_Curve",$NN$18*(362-$NR$18+1)*($NS$18-362+1)/$NU$18,$NN$18/$NT$18)),0)</f>
        <v/>
      </c>
      <c r="NC18" s="228">
        <f>IF(AND(363&gt;=$NR$18,363&lt;=$NS$18),IF($NP$18="Single_Point",IF(363=$NR$18,$NN$18,0),IF($NP$18="Bell_Curve",$NN$18*(363-$NR$18+1)*($NS$18-363+1)/$NU$18,$NN$18/$NT$18)),0)</f>
        <v/>
      </c>
      <c r="ND18" s="228">
        <f>IF(AND(364&gt;=$NR$18,364&lt;=$NS$18),IF($NP$18="Single_Point",IF(364=$NR$18,$NN$18,0),IF($NP$18="Bell_Curve",$NN$18*(364-$NR$18+1)*($NS$18-364+1)/$NU$18,$NN$18/$NT$18)),0)</f>
        <v/>
      </c>
      <c r="NE18" s="228">
        <f>IF(AND(365&gt;=$NR$18,365&lt;=$NS$18),IF($NP$18="Single_Point",IF(365=$NR$18,$NN$18,0),IF($NP$18="Bell_Curve",$NN$18*(365-$NR$18+1)*($NS$18-365+1)/$NU$18,$NN$18/$NT$18)),0)</f>
        <v/>
      </c>
      <c r="NF18" s="228">
        <f>IF(AND(366&gt;=$NR$18,366&lt;=$NS$18),IF($NP$18="Single_Point",IF(366=$NR$18,$NN$18,0),IF($NP$18="Bell_Curve",$NN$18*(366-$NR$18+1)*($NS$18-366+1)/$NU$18,$NN$18/$NT$18)),0)</f>
        <v/>
      </c>
      <c r="NG18" s="228">
        <f>IF(AND(367&gt;=$NR$18,367&lt;=$NS$18),IF($NP$18="Single_Point",IF(367=$NR$18,$NN$18,0),IF($NP$18="Bell_Curve",$NN$18*(367-$NR$18+1)*($NS$18-367+1)/$NU$18,$NN$18/$NT$18)),0)</f>
        <v/>
      </c>
      <c r="NH18" s="228">
        <f>IF(AND(368&gt;=$NR$18,368&lt;=$NS$18),IF($NP$18="Single_Point",IF(368=$NR$18,$NN$18,0),IF($NP$18="Bell_Curve",$NN$18*(368-$NR$18+1)*($NS$18-368+1)/$NU$18,$NN$18/$NT$18)),0)</f>
        <v/>
      </c>
      <c r="NI18" s="228">
        <f>IF(AND(369&gt;=$NR$18,369&lt;=$NS$18),IF($NP$18="Single_Point",IF(369=$NR$18,$NN$18,0),IF($NP$18="Bell_Curve",$NN$18*(369-$NR$18+1)*($NS$18-369+1)/$NU$18,$NN$18/$NT$18)),0)</f>
        <v/>
      </c>
      <c r="NJ18" s="228">
        <f>IF(AND(370&gt;=$NR$18,370&lt;=$NS$18),IF($NP$18="Single_Point",IF(370=$NR$18,$NN$18,0),IF($NP$18="Bell_Curve",$NN$18*(370-$NR$18+1)*($NS$18-370+1)/$NU$18,$NN$18/$NT$18)),0)</f>
        <v/>
      </c>
      <c r="NK18" s="228">
        <f>IF(AND(371&gt;=$NR$18,371&lt;=$NS$18),IF($NP$18="Single_Point",IF(371=$NR$18,$NN$18,0),IF($NP$18="Bell_Curve",$NN$18*(371-$NR$18+1)*($NS$18-371+1)/$NU$18,$NN$18/$NT$18)),0)</f>
        <v/>
      </c>
      <c r="NL18" s="247">
        <f>IF(AND(372&gt;=$NR$18,372&lt;=$NS$18),IF($NP$18="Single_Point",IF(372=$NR$18,$NN$18,0),IF($NP$18="Bell_Curve",$NN$18*(372-$NR$18+1)*($NS$18-372+1)/$NU$18,$NN$18/$NT$18)),0)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36" t="inlineStr">
        <is>
          <t>Hard Cost Contingency</t>
        </is>
      </c>
      <c r="D19" s="246">
        <f>SUM(E19:NL19)</f>
        <v/>
      </c>
      <c r="E19" s="228">
        <f>IF(AND(1&gt;=$NR$19,1&lt;=$NS$19),IF($NP$19="Single_Point",IF(1=$NR$19,$NN$19,0),IF($NP$19="Bell_Curve",$NN$19*(1-$NR$19+1)*($NS$19-1+1)/$NU$19,$NN$19/$NT$19)),0)</f>
        <v/>
      </c>
      <c r="F19" s="228">
        <f>IF(AND(2&gt;=$NR$19,2&lt;=$NS$19),IF($NP$19="Single_Point",IF(2=$NR$19,$NN$19,0),IF($NP$19="Bell_Curve",$NN$19*(2-$NR$19+1)*($NS$19-2+1)/$NU$19,$NN$19/$NT$19)),0)</f>
        <v/>
      </c>
      <c r="G19" s="228">
        <f>IF(AND(3&gt;=$NR$19,3&lt;=$NS$19),IF($NP$19="Single_Point",IF(3=$NR$19,$NN$19,0),IF($NP$19="Bell_Curve",$NN$19*(3-$NR$19+1)*($NS$19-3+1)/$NU$19,$NN$19/$NT$19)),0)</f>
        <v/>
      </c>
      <c r="H19" s="228">
        <f>IF(AND(4&gt;=$NR$19,4&lt;=$NS$19),IF($NP$19="Single_Point",IF(4=$NR$19,$NN$19,0),IF($NP$19="Bell_Curve",$NN$19*(4-$NR$19+1)*($NS$19-4+1)/$NU$19,$NN$19/$NT$19)),0)</f>
        <v/>
      </c>
      <c r="I19" s="228">
        <f>IF(AND(5&gt;=$NR$19,5&lt;=$NS$19),IF($NP$19="Single_Point",IF(5=$NR$19,$NN$19,0),IF($NP$19="Bell_Curve",$NN$19*(5-$NR$19+1)*($NS$19-5+1)/$NU$19,$NN$19/$NT$19)),0)</f>
        <v/>
      </c>
      <c r="J19" s="228">
        <f>IF(AND(6&gt;=$NR$19,6&lt;=$NS$19),IF($NP$19="Single_Point",IF(6=$NR$19,$NN$19,0),IF($NP$19="Bell_Curve",$NN$19*(6-$NR$19+1)*($NS$19-6+1)/$NU$19,$NN$19/$NT$19)),0)</f>
        <v/>
      </c>
      <c r="K19" s="228">
        <f>IF(AND(7&gt;=$NR$19,7&lt;=$NS$19),IF($NP$19="Single_Point",IF(7=$NR$19,$NN$19,0),IF($NP$19="Bell_Curve",$NN$19*(7-$NR$19+1)*($NS$19-7+1)/$NU$19,$NN$19/$NT$19)),0)</f>
        <v/>
      </c>
      <c r="L19" s="228">
        <f>IF(AND(8&gt;=$NR$19,8&lt;=$NS$19),IF($NP$19="Single_Point",IF(8=$NR$19,$NN$19,0),IF($NP$19="Bell_Curve",$NN$19*(8-$NR$19+1)*($NS$19-8+1)/$NU$19,$NN$19/$NT$19)),0)</f>
        <v/>
      </c>
      <c r="M19" s="228">
        <f>IF(AND(9&gt;=$NR$19,9&lt;=$NS$19),IF($NP$19="Single_Point",IF(9=$NR$19,$NN$19,0),IF($NP$19="Bell_Curve",$NN$19*(9-$NR$19+1)*($NS$19-9+1)/$NU$19,$NN$19/$NT$19)),0)</f>
        <v/>
      </c>
      <c r="N19" s="228">
        <f>IF(AND(10&gt;=$NR$19,10&lt;=$NS$19),IF($NP$19="Single_Point",IF(10=$NR$19,$NN$19,0),IF($NP$19="Bell_Curve",$NN$19*(10-$NR$19+1)*($NS$19-10+1)/$NU$19,$NN$19/$NT$19)),0)</f>
        <v/>
      </c>
      <c r="O19" s="228">
        <f>IF(AND(11&gt;=$NR$19,11&lt;=$NS$19),IF($NP$19="Single_Point",IF(11=$NR$19,$NN$19,0),IF($NP$19="Bell_Curve",$NN$19*(11-$NR$19+1)*($NS$19-11+1)/$NU$19,$NN$19/$NT$19)),0)</f>
        <v/>
      </c>
      <c r="P19" s="228">
        <f>IF(AND(12&gt;=$NR$19,12&lt;=$NS$19),IF($NP$19="Single_Point",IF(12=$NR$19,$NN$19,0),IF($NP$19="Bell_Curve",$NN$19*(12-$NR$19+1)*($NS$19-12+1)/$NU$19,$NN$19/$NT$19)),0)</f>
        <v/>
      </c>
      <c r="Q19" s="228">
        <f>IF(AND(13&gt;=$NR$19,13&lt;=$NS$19),IF($NP$19="Single_Point",IF(13=$NR$19,$NN$19,0),IF($NP$19="Bell_Curve",$NN$19*(13-$NR$19+1)*($NS$19-13+1)/$NU$19,$NN$19/$NT$19)),0)</f>
        <v/>
      </c>
      <c r="R19" s="228">
        <f>IF(AND(14&gt;=$NR$19,14&lt;=$NS$19),IF($NP$19="Single_Point",IF(14=$NR$19,$NN$19,0),IF($NP$19="Bell_Curve",$NN$19*(14-$NR$19+1)*($NS$19-14+1)/$NU$19,$NN$19/$NT$19)),0)</f>
        <v/>
      </c>
      <c r="S19" s="228">
        <f>IF(AND(15&gt;=$NR$19,15&lt;=$NS$19),IF($NP$19="Single_Point",IF(15=$NR$19,$NN$19,0),IF($NP$19="Bell_Curve",$NN$19*(15-$NR$19+1)*($NS$19-15+1)/$NU$19,$NN$19/$NT$19)),0)</f>
        <v/>
      </c>
      <c r="T19" s="228">
        <f>IF(AND(16&gt;=$NR$19,16&lt;=$NS$19),IF($NP$19="Single_Point",IF(16=$NR$19,$NN$19,0),IF($NP$19="Bell_Curve",$NN$19*(16-$NR$19+1)*($NS$19-16+1)/$NU$19,$NN$19/$NT$19)),0)</f>
        <v/>
      </c>
      <c r="U19" s="228">
        <f>IF(AND(17&gt;=$NR$19,17&lt;=$NS$19),IF($NP$19="Single_Point",IF(17=$NR$19,$NN$19,0),IF($NP$19="Bell_Curve",$NN$19*(17-$NR$19+1)*($NS$19-17+1)/$NU$19,$NN$19/$NT$19)),0)</f>
        <v/>
      </c>
      <c r="V19" s="228">
        <f>IF(AND(18&gt;=$NR$19,18&lt;=$NS$19),IF($NP$19="Single_Point",IF(18=$NR$19,$NN$19,0),IF($NP$19="Bell_Curve",$NN$19*(18-$NR$19+1)*($NS$19-18+1)/$NU$19,$NN$19/$NT$19)),0)</f>
        <v/>
      </c>
      <c r="W19" s="228">
        <f>IF(AND(19&gt;=$NR$19,19&lt;=$NS$19),IF($NP$19="Single_Point",IF(19=$NR$19,$NN$19,0),IF($NP$19="Bell_Curve",$NN$19*(19-$NR$19+1)*($NS$19-19+1)/$NU$19,$NN$19/$NT$19)),0)</f>
        <v/>
      </c>
      <c r="X19" s="228">
        <f>IF(AND(20&gt;=$NR$19,20&lt;=$NS$19),IF($NP$19="Single_Point",IF(20=$NR$19,$NN$19,0),IF($NP$19="Bell_Curve",$NN$19*(20-$NR$19+1)*($NS$19-20+1)/$NU$19,$NN$19/$NT$19)),0)</f>
        <v/>
      </c>
      <c r="Y19" s="228">
        <f>IF(AND(21&gt;=$NR$19,21&lt;=$NS$19),IF($NP$19="Single_Point",IF(21=$NR$19,$NN$19,0),IF($NP$19="Bell_Curve",$NN$19*(21-$NR$19+1)*($NS$19-21+1)/$NU$19,$NN$19/$NT$19)),0)</f>
        <v/>
      </c>
      <c r="Z19" s="228">
        <f>IF(AND(22&gt;=$NR$19,22&lt;=$NS$19),IF($NP$19="Single_Point",IF(22=$NR$19,$NN$19,0),IF($NP$19="Bell_Curve",$NN$19*(22-$NR$19+1)*($NS$19-22+1)/$NU$19,$NN$19/$NT$19)),0)</f>
        <v/>
      </c>
      <c r="AA19" s="228">
        <f>IF(AND(23&gt;=$NR$19,23&lt;=$NS$19),IF($NP$19="Single_Point",IF(23=$NR$19,$NN$19,0),IF($NP$19="Bell_Curve",$NN$19*(23-$NR$19+1)*($NS$19-23+1)/$NU$19,$NN$19/$NT$19)),0)</f>
        <v/>
      </c>
      <c r="AB19" s="228">
        <f>IF(AND(24&gt;=$NR$19,24&lt;=$NS$19),IF($NP$19="Single_Point",IF(24=$NR$19,$NN$19,0),IF($NP$19="Bell_Curve",$NN$19*(24-$NR$19+1)*($NS$19-24+1)/$NU$19,$NN$19/$NT$19)),0)</f>
        <v/>
      </c>
      <c r="AC19" s="228">
        <f>IF(AND(25&gt;=$NR$19,25&lt;=$NS$19),IF($NP$19="Single_Point",IF(25=$NR$19,$NN$19,0),IF($NP$19="Bell_Curve",$NN$19*(25-$NR$19+1)*($NS$19-25+1)/$NU$19,$NN$19/$NT$19)),0)</f>
        <v/>
      </c>
      <c r="AD19" s="228">
        <f>IF(AND(26&gt;=$NR$19,26&lt;=$NS$19),IF($NP$19="Single_Point",IF(26=$NR$19,$NN$19,0),IF($NP$19="Bell_Curve",$NN$19*(26-$NR$19+1)*($NS$19-26+1)/$NU$19,$NN$19/$NT$19)),0)</f>
        <v/>
      </c>
      <c r="AE19" s="228">
        <f>IF(AND(27&gt;=$NR$19,27&lt;=$NS$19),IF($NP$19="Single_Point",IF(27=$NR$19,$NN$19,0),IF($NP$19="Bell_Curve",$NN$19*(27-$NR$19+1)*($NS$19-27+1)/$NU$19,$NN$19/$NT$19)),0)</f>
        <v/>
      </c>
      <c r="AF19" s="228">
        <f>IF(AND(28&gt;=$NR$19,28&lt;=$NS$19),IF($NP$19="Single_Point",IF(28=$NR$19,$NN$19,0),IF($NP$19="Bell_Curve",$NN$19*(28-$NR$19+1)*($NS$19-28+1)/$NU$19,$NN$19/$NT$19)),0)</f>
        <v/>
      </c>
      <c r="AG19" s="228">
        <f>IF(AND(29&gt;=$NR$19,29&lt;=$NS$19),IF($NP$19="Single_Point",IF(29=$NR$19,$NN$19,0),IF($NP$19="Bell_Curve",$NN$19*(29-$NR$19+1)*($NS$19-29+1)/$NU$19,$NN$19/$NT$19)),0)</f>
        <v/>
      </c>
      <c r="AH19" s="228">
        <f>IF(AND(30&gt;=$NR$19,30&lt;=$NS$19),IF($NP$19="Single_Point",IF(30=$NR$19,$NN$19,0),IF($NP$19="Bell_Curve",$NN$19*(30-$NR$19+1)*($NS$19-30+1)/$NU$19,$NN$19/$NT$19)),0)</f>
        <v/>
      </c>
      <c r="AI19" s="228">
        <f>IF(AND(31&gt;=$NR$19,31&lt;=$NS$19),IF($NP$19="Single_Point",IF(31=$NR$19,$NN$19,0),IF($NP$19="Bell_Curve",$NN$19*(31-$NR$19+1)*($NS$19-31+1)/$NU$19,$NN$19/$NT$19)),0)</f>
        <v/>
      </c>
      <c r="AJ19" s="228">
        <f>IF(AND(32&gt;=$NR$19,32&lt;=$NS$19),IF($NP$19="Single_Point",IF(32=$NR$19,$NN$19,0),IF($NP$19="Bell_Curve",$NN$19*(32-$NR$19+1)*($NS$19-32+1)/$NU$19,$NN$19/$NT$19)),0)</f>
        <v/>
      </c>
      <c r="AK19" s="228">
        <f>IF(AND(33&gt;=$NR$19,33&lt;=$NS$19),IF($NP$19="Single_Point",IF(33=$NR$19,$NN$19,0),IF($NP$19="Bell_Curve",$NN$19*(33-$NR$19+1)*($NS$19-33+1)/$NU$19,$NN$19/$NT$19)),0)</f>
        <v/>
      </c>
      <c r="AL19" s="228">
        <f>IF(AND(34&gt;=$NR$19,34&lt;=$NS$19),IF($NP$19="Single_Point",IF(34=$NR$19,$NN$19,0),IF($NP$19="Bell_Curve",$NN$19*(34-$NR$19+1)*($NS$19-34+1)/$NU$19,$NN$19/$NT$19)),0)</f>
        <v/>
      </c>
      <c r="AM19" s="228">
        <f>IF(AND(35&gt;=$NR$19,35&lt;=$NS$19),IF($NP$19="Single_Point",IF(35=$NR$19,$NN$19,0),IF($NP$19="Bell_Curve",$NN$19*(35-$NR$19+1)*($NS$19-35+1)/$NU$19,$NN$19/$NT$19)),0)</f>
        <v/>
      </c>
      <c r="AN19" s="228">
        <f>IF(AND(36&gt;=$NR$19,36&lt;=$NS$19),IF($NP$19="Single_Point",IF(36=$NR$19,$NN$19,0),IF($NP$19="Bell_Curve",$NN$19*(36-$NR$19+1)*($NS$19-36+1)/$NU$19,$NN$19/$NT$19)),0)</f>
        <v/>
      </c>
      <c r="AO19" s="228">
        <f>IF(AND(37&gt;=$NR$19,37&lt;=$NS$19),IF($NP$19="Single_Point",IF(37=$NR$19,$NN$19,0),IF($NP$19="Bell_Curve",$NN$19*(37-$NR$19+1)*($NS$19-37+1)/$NU$19,$NN$19/$NT$19)),0)</f>
        <v/>
      </c>
      <c r="AP19" s="228">
        <f>IF(AND(38&gt;=$NR$19,38&lt;=$NS$19),IF($NP$19="Single_Point",IF(38=$NR$19,$NN$19,0),IF($NP$19="Bell_Curve",$NN$19*(38-$NR$19+1)*($NS$19-38+1)/$NU$19,$NN$19/$NT$19)),0)</f>
        <v/>
      </c>
      <c r="AQ19" s="228">
        <f>IF(AND(39&gt;=$NR$19,39&lt;=$NS$19),IF($NP$19="Single_Point",IF(39=$NR$19,$NN$19,0),IF($NP$19="Bell_Curve",$NN$19*(39-$NR$19+1)*($NS$19-39+1)/$NU$19,$NN$19/$NT$19)),0)</f>
        <v/>
      </c>
      <c r="AR19" s="228">
        <f>IF(AND(40&gt;=$NR$19,40&lt;=$NS$19),IF($NP$19="Single_Point",IF(40=$NR$19,$NN$19,0),IF($NP$19="Bell_Curve",$NN$19*(40-$NR$19+1)*($NS$19-40+1)/$NU$19,$NN$19/$NT$19)),0)</f>
        <v/>
      </c>
      <c r="AS19" s="228">
        <f>IF(AND(41&gt;=$NR$19,41&lt;=$NS$19),IF($NP$19="Single_Point",IF(41=$NR$19,$NN$19,0),IF($NP$19="Bell_Curve",$NN$19*(41-$NR$19+1)*($NS$19-41+1)/$NU$19,$NN$19/$NT$19)),0)</f>
        <v/>
      </c>
      <c r="AT19" s="228">
        <f>IF(AND(42&gt;=$NR$19,42&lt;=$NS$19),IF($NP$19="Single_Point",IF(42=$NR$19,$NN$19,0),IF($NP$19="Bell_Curve",$NN$19*(42-$NR$19+1)*($NS$19-42+1)/$NU$19,$NN$19/$NT$19)),0)</f>
        <v/>
      </c>
      <c r="AU19" s="228">
        <f>IF(AND(43&gt;=$NR$19,43&lt;=$NS$19),IF($NP$19="Single_Point",IF(43=$NR$19,$NN$19,0),IF($NP$19="Bell_Curve",$NN$19*(43-$NR$19+1)*($NS$19-43+1)/$NU$19,$NN$19/$NT$19)),0)</f>
        <v/>
      </c>
      <c r="AV19" s="228">
        <f>IF(AND(44&gt;=$NR$19,44&lt;=$NS$19),IF($NP$19="Single_Point",IF(44=$NR$19,$NN$19,0),IF($NP$19="Bell_Curve",$NN$19*(44-$NR$19+1)*($NS$19-44+1)/$NU$19,$NN$19/$NT$19)),0)</f>
        <v/>
      </c>
      <c r="AW19" s="228">
        <f>IF(AND(45&gt;=$NR$19,45&lt;=$NS$19),IF($NP$19="Single_Point",IF(45=$NR$19,$NN$19,0),IF($NP$19="Bell_Curve",$NN$19*(45-$NR$19+1)*($NS$19-45+1)/$NU$19,$NN$19/$NT$19)),0)</f>
        <v/>
      </c>
      <c r="AX19" s="228">
        <f>IF(AND(46&gt;=$NR$19,46&lt;=$NS$19),IF($NP$19="Single_Point",IF(46=$NR$19,$NN$19,0),IF($NP$19="Bell_Curve",$NN$19*(46-$NR$19+1)*($NS$19-46+1)/$NU$19,$NN$19/$NT$19)),0)</f>
        <v/>
      </c>
      <c r="AY19" s="228">
        <f>IF(AND(47&gt;=$NR$19,47&lt;=$NS$19),IF($NP$19="Single_Point",IF(47=$NR$19,$NN$19,0),IF($NP$19="Bell_Curve",$NN$19*(47-$NR$19+1)*($NS$19-47+1)/$NU$19,$NN$19/$NT$19)),0)</f>
        <v/>
      </c>
      <c r="AZ19" s="228">
        <f>IF(AND(48&gt;=$NR$19,48&lt;=$NS$19),IF($NP$19="Single_Point",IF(48=$NR$19,$NN$19,0),IF($NP$19="Bell_Curve",$NN$19*(48-$NR$19+1)*($NS$19-48+1)/$NU$19,$NN$19/$NT$19)),0)</f>
        <v/>
      </c>
      <c r="BA19" s="228">
        <f>IF(AND(49&gt;=$NR$19,49&lt;=$NS$19),IF($NP$19="Single_Point",IF(49=$NR$19,$NN$19,0),IF($NP$19="Bell_Curve",$NN$19*(49-$NR$19+1)*($NS$19-49+1)/$NU$19,$NN$19/$NT$19)),0)</f>
        <v/>
      </c>
      <c r="BB19" s="228">
        <f>IF(AND(50&gt;=$NR$19,50&lt;=$NS$19),IF($NP$19="Single_Point",IF(50=$NR$19,$NN$19,0),IF($NP$19="Bell_Curve",$NN$19*(50-$NR$19+1)*($NS$19-50+1)/$NU$19,$NN$19/$NT$19)),0)</f>
        <v/>
      </c>
      <c r="BC19" s="228">
        <f>IF(AND(51&gt;=$NR$19,51&lt;=$NS$19),IF($NP$19="Single_Point",IF(51=$NR$19,$NN$19,0),IF($NP$19="Bell_Curve",$NN$19*(51-$NR$19+1)*($NS$19-51+1)/$NU$19,$NN$19/$NT$19)),0)</f>
        <v/>
      </c>
      <c r="BD19" s="228">
        <f>IF(AND(52&gt;=$NR$19,52&lt;=$NS$19),IF($NP$19="Single_Point",IF(52=$NR$19,$NN$19,0),IF($NP$19="Bell_Curve",$NN$19*(52-$NR$19+1)*($NS$19-52+1)/$NU$19,$NN$19/$NT$19)),0)</f>
        <v/>
      </c>
      <c r="BE19" s="228">
        <f>IF(AND(53&gt;=$NR$19,53&lt;=$NS$19),IF($NP$19="Single_Point",IF(53=$NR$19,$NN$19,0),IF($NP$19="Bell_Curve",$NN$19*(53-$NR$19+1)*($NS$19-53+1)/$NU$19,$NN$19/$NT$19)),0)</f>
        <v/>
      </c>
      <c r="BF19" s="228">
        <f>IF(AND(54&gt;=$NR$19,54&lt;=$NS$19),IF($NP$19="Single_Point",IF(54=$NR$19,$NN$19,0),IF($NP$19="Bell_Curve",$NN$19*(54-$NR$19+1)*($NS$19-54+1)/$NU$19,$NN$19/$NT$19)),0)</f>
        <v/>
      </c>
      <c r="BG19" s="228">
        <f>IF(AND(55&gt;=$NR$19,55&lt;=$NS$19),IF($NP$19="Single_Point",IF(55=$NR$19,$NN$19,0),IF($NP$19="Bell_Curve",$NN$19*(55-$NR$19+1)*($NS$19-55+1)/$NU$19,$NN$19/$NT$19)),0)</f>
        <v/>
      </c>
      <c r="BH19" s="228">
        <f>IF(AND(56&gt;=$NR$19,56&lt;=$NS$19),IF($NP$19="Single_Point",IF(56=$NR$19,$NN$19,0),IF($NP$19="Bell_Curve",$NN$19*(56-$NR$19+1)*($NS$19-56+1)/$NU$19,$NN$19/$NT$19)),0)</f>
        <v/>
      </c>
      <c r="BI19" s="228">
        <f>IF(AND(57&gt;=$NR$19,57&lt;=$NS$19),IF($NP$19="Single_Point",IF(57=$NR$19,$NN$19,0),IF($NP$19="Bell_Curve",$NN$19*(57-$NR$19+1)*($NS$19-57+1)/$NU$19,$NN$19/$NT$19)),0)</f>
        <v/>
      </c>
      <c r="BJ19" s="228">
        <f>IF(AND(58&gt;=$NR$19,58&lt;=$NS$19),IF($NP$19="Single_Point",IF(58=$NR$19,$NN$19,0),IF($NP$19="Bell_Curve",$NN$19*(58-$NR$19+1)*($NS$19-58+1)/$NU$19,$NN$19/$NT$19)),0)</f>
        <v/>
      </c>
      <c r="BK19" s="228">
        <f>IF(AND(59&gt;=$NR$19,59&lt;=$NS$19),IF($NP$19="Single_Point",IF(59=$NR$19,$NN$19,0),IF($NP$19="Bell_Curve",$NN$19*(59-$NR$19+1)*($NS$19-59+1)/$NU$19,$NN$19/$NT$19)),0)</f>
        <v/>
      </c>
      <c r="BL19" s="228">
        <f>IF(AND(60&gt;=$NR$19,60&lt;=$NS$19),IF($NP$19="Single_Point",IF(60=$NR$19,$NN$19,0),IF($NP$19="Bell_Curve",$NN$19*(60-$NR$19+1)*($NS$19-60+1)/$NU$19,$NN$19/$NT$19)),0)</f>
        <v/>
      </c>
      <c r="BM19" s="228">
        <f>IF(AND(61&gt;=$NR$19,61&lt;=$NS$19),IF($NP$19="Single_Point",IF(61=$NR$19,$NN$19,0),IF($NP$19="Bell_Curve",$NN$19*(61-$NR$19+1)*($NS$19-61+1)/$NU$19,$NN$19/$NT$19)),0)</f>
        <v/>
      </c>
      <c r="BN19" s="228">
        <f>IF(AND(62&gt;=$NR$19,62&lt;=$NS$19),IF($NP$19="Single_Point",IF(62=$NR$19,$NN$19,0),IF($NP$19="Bell_Curve",$NN$19*(62-$NR$19+1)*($NS$19-62+1)/$NU$19,$NN$19/$NT$19)),0)</f>
        <v/>
      </c>
      <c r="BO19" s="228">
        <f>IF(AND(63&gt;=$NR$19,63&lt;=$NS$19),IF($NP$19="Single_Point",IF(63=$NR$19,$NN$19,0),IF($NP$19="Bell_Curve",$NN$19*(63-$NR$19+1)*($NS$19-63+1)/$NU$19,$NN$19/$NT$19)),0)</f>
        <v/>
      </c>
      <c r="BP19" s="228">
        <f>IF(AND(64&gt;=$NR$19,64&lt;=$NS$19),IF($NP$19="Single_Point",IF(64=$NR$19,$NN$19,0),IF($NP$19="Bell_Curve",$NN$19*(64-$NR$19+1)*($NS$19-64+1)/$NU$19,$NN$19/$NT$19)),0)</f>
        <v/>
      </c>
      <c r="BQ19" s="228">
        <f>IF(AND(65&gt;=$NR$19,65&lt;=$NS$19),IF($NP$19="Single_Point",IF(65=$NR$19,$NN$19,0),IF($NP$19="Bell_Curve",$NN$19*(65-$NR$19+1)*($NS$19-65+1)/$NU$19,$NN$19/$NT$19)),0)</f>
        <v/>
      </c>
      <c r="BR19" s="228">
        <f>IF(AND(66&gt;=$NR$19,66&lt;=$NS$19),IF($NP$19="Single_Point",IF(66=$NR$19,$NN$19,0),IF($NP$19="Bell_Curve",$NN$19*(66-$NR$19+1)*($NS$19-66+1)/$NU$19,$NN$19/$NT$19)),0)</f>
        <v/>
      </c>
      <c r="BS19" s="228">
        <f>IF(AND(67&gt;=$NR$19,67&lt;=$NS$19),IF($NP$19="Single_Point",IF(67=$NR$19,$NN$19,0),IF($NP$19="Bell_Curve",$NN$19*(67-$NR$19+1)*($NS$19-67+1)/$NU$19,$NN$19/$NT$19)),0)</f>
        <v/>
      </c>
      <c r="BT19" s="228">
        <f>IF(AND(68&gt;=$NR$19,68&lt;=$NS$19),IF($NP$19="Single_Point",IF(68=$NR$19,$NN$19,0),IF($NP$19="Bell_Curve",$NN$19*(68-$NR$19+1)*($NS$19-68+1)/$NU$19,$NN$19/$NT$19)),0)</f>
        <v/>
      </c>
      <c r="BU19" s="228">
        <f>IF(AND(69&gt;=$NR$19,69&lt;=$NS$19),IF($NP$19="Single_Point",IF(69=$NR$19,$NN$19,0),IF($NP$19="Bell_Curve",$NN$19*(69-$NR$19+1)*($NS$19-69+1)/$NU$19,$NN$19/$NT$19)),0)</f>
        <v/>
      </c>
      <c r="BV19" s="228">
        <f>IF(AND(70&gt;=$NR$19,70&lt;=$NS$19),IF($NP$19="Single_Point",IF(70=$NR$19,$NN$19,0),IF($NP$19="Bell_Curve",$NN$19*(70-$NR$19+1)*($NS$19-70+1)/$NU$19,$NN$19/$NT$19)),0)</f>
        <v/>
      </c>
      <c r="BW19" s="228">
        <f>IF(AND(71&gt;=$NR$19,71&lt;=$NS$19),IF($NP$19="Single_Point",IF(71=$NR$19,$NN$19,0),IF($NP$19="Bell_Curve",$NN$19*(71-$NR$19+1)*($NS$19-71+1)/$NU$19,$NN$19/$NT$19)),0)</f>
        <v/>
      </c>
      <c r="BX19" s="228">
        <f>IF(AND(72&gt;=$NR$19,72&lt;=$NS$19),IF($NP$19="Single_Point",IF(72=$NR$19,$NN$19,0),IF($NP$19="Bell_Curve",$NN$19*(72-$NR$19+1)*($NS$19-72+1)/$NU$19,$NN$19/$NT$19)),0)</f>
        <v/>
      </c>
      <c r="BY19" s="228">
        <f>IF(AND(73&gt;=$NR$19,73&lt;=$NS$19),IF($NP$19="Single_Point",IF(73=$NR$19,$NN$19,0),IF($NP$19="Bell_Curve",$NN$19*(73-$NR$19+1)*($NS$19-73+1)/$NU$19,$NN$19/$NT$19)),0)</f>
        <v/>
      </c>
      <c r="BZ19" s="228">
        <f>IF(AND(74&gt;=$NR$19,74&lt;=$NS$19),IF($NP$19="Single_Point",IF(74=$NR$19,$NN$19,0),IF($NP$19="Bell_Curve",$NN$19*(74-$NR$19+1)*($NS$19-74+1)/$NU$19,$NN$19/$NT$19)),0)</f>
        <v/>
      </c>
      <c r="CA19" s="228">
        <f>IF(AND(75&gt;=$NR$19,75&lt;=$NS$19),IF($NP$19="Single_Point",IF(75=$NR$19,$NN$19,0),IF($NP$19="Bell_Curve",$NN$19*(75-$NR$19+1)*($NS$19-75+1)/$NU$19,$NN$19/$NT$19)),0)</f>
        <v/>
      </c>
      <c r="CB19" s="228">
        <f>IF(AND(76&gt;=$NR$19,76&lt;=$NS$19),IF($NP$19="Single_Point",IF(76=$NR$19,$NN$19,0),IF($NP$19="Bell_Curve",$NN$19*(76-$NR$19+1)*($NS$19-76+1)/$NU$19,$NN$19/$NT$19)),0)</f>
        <v/>
      </c>
      <c r="CC19" s="228">
        <f>IF(AND(77&gt;=$NR$19,77&lt;=$NS$19),IF($NP$19="Single_Point",IF(77=$NR$19,$NN$19,0),IF($NP$19="Bell_Curve",$NN$19*(77-$NR$19+1)*($NS$19-77+1)/$NU$19,$NN$19/$NT$19)),0)</f>
        <v/>
      </c>
      <c r="CD19" s="228">
        <f>IF(AND(78&gt;=$NR$19,78&lt;=$NS$19),IF($NP$19="Single_Point",IF(78=$NR$19,$NN$19,0),IF($NP$19="Bell_Curve",$NN$19*(78-$NR$19+1)*($NS$19-78+1)/$NU$19,$NN$19/$NT$19)),0)</f>
        <v/>
      </c>
      <c r="CE19" s="228">
        <f>IF(AND(79&gt;=$NR$19,79&lt;=$NS$19),IF($NP$19="Single_Point",IF(79=$NR$19,$NN$19,0),IF($NP$19="Bell_Curve",$NN$19*(79-$NR$19+1)*($NS$19-79+1)/$NU$19,$NN$19/$NT$19)),0)</f>
        <v/>
      </c>
      <c r="CF19" s="228">
        <f>IF(AND(80&gt;=$NR$19,80&lt;=$NS$19),IF($NP$19="Single_Point",IF(80=$NR$19,$NN$19,0),IF($NP$19="Bell_Curve",$NN$19*(80-$NR$19+1)*($NS$19-80+1)/$NU$19,$NN$19/$NT$19)),0)</f>
        <v/>
      </c>
      <c r="CG19" s="228">
        <f>IF(AND(81&gt;=$NR$19,81&lt;=$NS$19),IF($NP$19="Single_Point",IF(81=$NR$19,$NN$19,0),IF($NP$19="Bell_Curve",$NN$19*(81-$NR$19+1)*($NS$19-81+1)/$NU$19,$NN$19/$NT$19)),0)</f>
        <v/>
      </c>
      <c r="CH19" s="228">
        <f>IF(AND(82&gt;=$NR$19,82&lt;=$NS$19),IF($NP$19="Single_Point",IF(82=$NR$19,$NN$19,0),IF($NP$19="Bell_Curve",$NN$19*(82-$NR$19+1)*($NS$19-82+1)/$NU$19,$NN$19/$NT$19)),0)</f>
        <v/>
      </c>
      <c r="CI19" s="228">
        <f>IF(AND(83&gt;=$NR$19,83&lt;=$NS$19),IF($NP$19="Single_Point",IF(83=$NR$19,$NN$19,0),IF($NP$19="Bell_Curve",$NN$19*(83-$NR$19+1)*($NS$19-83+1)/$NU$19,$NN$19/$NT$19)),0)</f>
        <v/>
      </c>
      <c r="CJ19" s="228">
        <f>IF(AND(84&gt;=$NR$19,84&lt;=$NS$19),IF($NP$19="Single_Point",IF(84=$NR$19,$NN$19,0),IF($NP$19="Bell_Curve",$NN$19*(84-$NR$19+1)*($NS$19-84+1)/$NU$19,$NN$19/$NT$19)),0)</f>
        <v/>
      </c>
      <c r="CK19" s="228">
        <f>IF(AND(85&gt;=$NR$19,85&lt;=$NS$19),IF($NP$19="Single_Point",IF(85=$NR$19,$NN$19,0),IF($NP$19="Bell_Curve",$NN$19*(85-$NR$19+1)*($NS$19-85+1)/$NU$19,$NN$19/$NT$19)),0)</f>
        <v/>
      </c>
      <c r="CL19" s="228">
        <f>IF(AND(86&gt;=$NR$19,86&lt;=$NS$19),IF($NP$19="Single_Point",IF(86=$NR$19,$NN$19,0),IF($NP$19="Bell_Curve",$NN$19*(86-$NR$19+1)*($NS$19-86+1)/$NU$19,$NN$19/$NT$19)),0)</f>
        <v/>
      </c>
      <c r="CM19" s="228">
        <f>IF(AND(87&gt;=$NR$19,87&lt;=$NS$19),IF($NP$19="Single_Point",IF(87=$NR$19,$NN$19,0),IF($NP$19="Bell_Curve",$NN$19*(87-$NR$19+1)*($NS$19-87+1)/$NU$19,$NN$19/$NT$19)),0)</f>
        <v/>
      </c>
      <c r="CN19" s="228">
        <f>IF(AND(88&gt;=$NR$19,88&lt;=$NS$19),IF($NP$19="Single_Point",IF(88=$NR$19,$NN$19,0),IF($NP$19="Bell_Curve",$NN$19*(88-$NR$19+1)*($NS$19-88+1)/$NU$19,$NN$19/$NT$19)),0)</f>
        <v/>
      </c>
      <c r="CO19" s="228">
        <f>IF(AND(89&gt;=$NR$19,89&lt;=$NS$19),IF($NP$19="Single_Point",IF(89=$NR$19,$NN$19,0),IF($NP$19="Bell_Curve",$NN$19*(89-$NR$19+1)*($NS$19-89+1)/$NU$19,$NN$19/$NT$19)),0)</f>
        <v/>
      </c>
      <c r="CP19" s="228">
        <f>IF(AND(90&gt;=$NR$19,90&lt;=$NS$19),IF($NP$19="Single_Point",IF(90=$NR$19,$NN$19,0),IF($NP$19="Bell_Curve",$NN$19*(90-$NR$19+1)*($NS$19-90+1)/$NU$19,$NN$19/$NT$19)),0)</f>
        <v/>
      </c>
      <c r="CQ19" s="228">
        <f>IF(AND(91&gt;=$NR$19,91&lt;=$NS$19),IF($NP$19="Single_Point",IF(91=$NR$19,$NN$19,0),IF($NP$19="Bell_Curve",$NN$19*(91-$NR$19+1)*($NS$19-91+1)/$NU$19,$NN$19/$NT$19)),0)</f>
        <v/>
      </c>
      <c r="CR19" s="228">
        <f>IF(AND(92&gt;=$NR$19,92&lt;=$NS$19),IF($NP$19="Single_Point",IF(92=$NR$19,$NN$19,0),IF($NP$19="Bell_Curve",$NN$19*(92-$NR$19+1)*($NS$19-92+1)/$NU$19,$NN$19/$NT$19)),0)</f>
        <v/>
      </c>
      <c r="CS19" s="228">
        <f>IF(AND(93&gt;=$NR$19,93&lt;=$NS$19),IF($NP$19="Single_Point",IF(93=$NR$19,$NN$19,0),IF($NP$19="Bell_Curve",$NN$19*(93-$NR$19+1)*($NS$19-93+1)/$NU$19,$NN$19/$NT$19)),0)</f>
        <v/>
      </c>
      <c r="CT19" s="228">
        <f>IF(AND(94&gt;=$NR$19,94&lt;=$NS$19),IF($NP$19="Single_Point",IF(94=$NR$19,$NN$19,0),IF($NP$19="Bell_Curve",$NN$19*(94-$NR$19+1)*($NS$19-94+1)/$NU$19,$NN$19/$NT$19)),0)</f>
        <v/>
      </c>
      <c r="CU19" s="228">
        <f>IF(AND(95&gt;=$NR$19,95&lt;=$NS$19),IF($NP$19="Single_Point",IF(95=$NR$19,$NN$19,0),IF($NP$19="Bell_Curve",$NN$19*(95-$NR$19+1)*($NS$19-95+1)/$NU$19,$NN$19/$NT$19)),0)</f>
        <v/>
      </c>
      <c r="CV19" s="228">
        <f>IF(AND(96&gt;=$NR$19,96&lt;=$NS$19),IF($NP$19="Single_Point",IF(96=$NR$19,$NN$19,0),IF($NP$19="Bell_Curve",$NN$19*(96-$NR$19+1)*($NS$19-96+1)/$NU$19,$NN$19/$NT$19)),0)</f>
        <v/>
      </c>
      <c r="CW19" s="228">
        <f>IF(AND(97&gt;=$NR$19,97&lt;=$NS$19),IF($NP$19="Single_Point",IF(97=$NR$19,$NN$19,0),IF($NP$19="Bell_Curve",$NN$19*(97-$NR$19+1)*($NS$19-97+1)/$NU$19,$NN$19/$NT$19)),0)</f>
        <v/>
      </c>
      <c r="CX19" s="228">
        <f>IF(AND(98&gt;=$NR$19,98&lt;=$NS$19),IF($NP$19="Single_Point",IF(98=$NR$19,$NN$19,0),IF($NP$19="Bell_Curve",$NN$19*(98-$NR$19+1)*($NS$19-98+1)/$NU$19,$NN$19/$NT$19)),0)</f>
        <v/>
      </c>
      <c r="CY19" s="228">
        <f>IF(AND(99&gt;=$NR$19,99&lt;=$NS$19),IF($NP$19="Single_Point",IF(99=$NR$19,$NN$19,0),IF($NP$19="Bell_Curve",$NN$19*(99-$NR$19+1)*($NS$19-99+1)/$NU$19,$NN$19/$NT$19)),0)</f>
        <v/>
      </c>
      <c r="CZ19" s="228">
        <f>IF(AND(100&gt;=$NR$19,100&lt;=$NS$19),IF($NP$19="Single_Point",IF(100=$NR$19,$NN$19,0),IF($NP$19="Bell_Curve",$NN$19*(100-$NR$19+1)*($NS$19-100+1)/$NU$19,$NN$19/$NT$19)),0)</f>
        <v/>
      </c>
      <c r="DA19" s="228">
        <f>IF(AND(101&gt;=$NR$19,101&lt;=$NS$19),IF($NP$19="Single_Point",IF(101=$NR$19,$NN$19,0),IF($NP$19="Bell_Curve",$NN$19*(101-$NR$19+1)*($NS$19-101+1)/$NU$19,$NN$19/$NT$19)),0)</f>
        <v/>
      </c>
      <c r="DB19" s="228">
        <f>IF(AND(102&gt;=$NR$19,102&lt;=$NS$19),IF($NP$19="Single_Point",IF(102=$NR$19,$NN$19,0),IF($NP$19="Bell_Curve",$NN$19*(102-$NR$19+1)*($NS$19-102+1)/$NU$19,$NN$19/$NT$19)),0)</f>
        <v/>
      </c>
      <c r="DC19" s="228">
        <f>IF(AND(103&gt;=$NR$19,103&lt;=$NS$19),IF($NP$19="Single_Point",IF(103=$NR$19,$NN$19,0),IF($NP$19="Bell_Curve",$NN$19*(103-$NR$19+1)*($NS$19-103+1)/$NU$19,$NN$19/$NT$19)),0)</f>
        <v/>
      </c>
      <c r="DD19" s="228">
        <f>IF(AND(104&gt;=$NR$19,104&lt;=$NS$19),IF($NP$19="Single_Point",IF(104=$NR$19,$NN$19,0),IF($NP$19="Bell_Curve",$NN$19*(104-$NR$19+1)*($NS$19-104+1)/$NU$19,$NN$19/$NT$19)),0)</f>
        <v/>
      </c>
      <c r="DE19" s="228">
        <f>IF(AND(105&gt;=$NR$19,105&lt;=$NS$19),IF($NP$19="Single_Point",IF(105=$NR$19,$NN$19,0),IF($NP$19="Bell_Curve",$NN$19*(105-$NR$19+1)*($NS$19-105+1)/$NU$19,$NN$19/$NT$19)),0)</f>
        <v/>
      </c>
      <c r="DF19" s="228">
        <f>IF(AND(106&gt;=$NR$19,106&lt;=$NS$19),IF($NP$19="Single_Point",IF(106=$NR$19,$NN$19,0),IF($NP$19="Bell_Curve",$NN$19*(106-$NR$19+1)*($NS$19-106+1)/$NU$19,$NN$19/$NT$19)),0)</f>
        <v/>
      </c>
      <c r="DG19" s="228">
        <f>IF(AND(107&gt;=$NR$19,107&lt;=$NS$19),IF($NP$19="Single_Point",IF(107=$NR$19,$NN$19,0),IF($NP$19="Bell_Curve",$NN$19*(107-$NR$19+1)*($NS$19-107+1)/$NU$19,$NN$19/$NT$19)),0)</f>
        <v/>
      </c>
      <c r="DH19" s="228">
        <f>IF(AND(108&gt;=$NR$19,108&lt;=$NS$19),IF($NP$19="Single_Point",IF(108=$NR$19,$NN$19,0),IF($NP$19="Bell_Curve",$NN$19*(108-$NR$19+1)*($NS$19-108+1)/$NU$19,$NN$19/$NT$19)),0)</f>
        <v/>
      </c>
      <c r="DI19" s="228">
        <f>IF(AND(109&gt;=$NR$19,109&lt;=$NS$19),IF($NP$19="Single_Point",IF(109=$NR$19,$NN$19,0),IF($NP$19="Bell_Curve",$NN$19*(109-$NR$19+1)*($NS$19-109+1)/$NU$19,$NN$19/$NT$19)),0)</f>
        <v/>
      </c>
      <c r="DJ19" s="228">
        <f>IF(AND(110&gt;=$NR$19,110&lt;=$NS$19),IF($NP$19="Single_Point",IF(110=$NR$19,$NN$19,0),IF($NP$19="Bell_Curve",$NN$19*(110-$NR$19+1)*($NS$19-110+1)/$NU$19,$NN$19/$NT$19)),0)</f>
        <v/>
      </c>
      <c r="DK19" s="228">
        <f>IF(AND(111&gt;=$NR$19,111&lt;=$NS$19),IF($NP$19="Single_Point",IF(111=$NR$19,$NN$19,0),IF($NP$19="Bell_Curve",$NN$19*(111-$NR$19+1)*($NS$19-111+1)/$NU$19,$NN$19/$NT$19)),0)</f>
        <v/>
      </c>
      <c r="DL19" s="228">
        <f>IF(AND(112&gt;=$NR$19,112&lt;=$NS$19),IF($NP$19="Single_Point",IF(112=$NR$19,$NN$19,0),IF($NP$19="Bell_Curve",$NN$19*(112-$NR$19+1)*($NS$19-112+1)/$NU$19,$NN$19/$NT$19)),0)</f>
        <v/>
      </c>
      <c r="DM19" s="228">
        <f>IF(AND(113&gt;=$NR$19,113&lt;=$NS$19),IF($NP$19="Single_Point",IF(113=$NR$19,$NN$19,0),IF($NP$19="Bell_Curve",$NN$19*(113-$NR$19+1)*($NS$19-113+1)/$NU$19,$NN$19/$NT$19)),0)</f>
        <v/>
      </c>
      <c r="DN19" s="228">
        <f>IF(AND(114&gt;=$NR$19,114&lt;=$NS$19),IF($NP$19="Single_Point",IF(114=$NR$19,$NN$19,0),IF($NP$19="Bell_Curve",$NN$19*(114-$NR$19+1)*($NS$19-114+1)/$NU$19,$NN$19/$NT$19)),0)</f>
        <v/>
      </c>
      <c r="DO19" s="228">
        <f>IF(AND(115&gt;=$NR$19,115&lt;=$NS$19),IF($NP$19="Single_Point",IF(115=$NR$19,$NN$19,0),IF($NP$19="Bell_Curve",$NN$19*(115-$NR$19+1)*($NS$19-115+1)/$NU$19,$NN$19/$NT$19)),0)</f>
        <v/>
      </c>
      <c r="DP19" s="228">
        <f>IF(AND(116&gt;=$NR$19,116&lt;=$NS$19),IF($NP$19="Single_Point",IF(116=$NR$19,$NN$19,0),IF($NP$19="Bell_Curve",$NN$19*(116-$NR$19+1)*($NS$19-116+1)/$NU$19,$NN$19/$NT$19)),0)</f>
        <v/>
      </c>
      <c r="DQ19" s="228">
        <f>IF(AND(117&gt;=$NR$19,117&lt;=$NS$19),IF($NP$19="Single_Point",IF(117=$NR$19,$NN$19,0),IF($NP$19="Bell_Curve",$NN$19*(117-$NR$19+1)*($NS$19-117+1)/$NU$19,$NN$19/$NT$19)),0)</f>
        <v/>
      </c>
      <c r="DR19" s="228">
        <f>IF(AND(118&gt;=$NR$19,118&lt;=$NS$19),IF($NP$19="Single_Point",IF(118=$NR$19,$NN$19,0),IF($NP$19="Bell_Curve",$NN$19*(118-$NR$19+1)*($NS$19-118+1)/$NU$19,$NN$19/$NT$19)),0)</f>
        <v/>
      </c>
      <c r="DS19" s="228">
        <f>IF(AND(119&gt;=$NR$19,119&lt;=$NS$19),IF($NP$19="Single_Point",IF(119=$NR$19,$NN$19,0),IF($NP$19="Bell_Curve",$NN$19*(119-$NR$19+1)*($NS$19-119+1)/$NU$19,$NN$19/$NT$19)),0)</f>
        <v/>
      </c>
      <c r="DT19" s="228">
        <f>IF(AND(120&gt;=$NR$19,120&lt;=$NS$19),IF($NP$19="Single_Point",IF(120=$NR$19,$NN$19,0),IF($NP$19="Bell_Curve",$NN$19*(120-$NR$19+1)*($NS$19-120+1)/$NU$19,$NN$19/$NT$19)),0)</f>
        <v/>
      </c>
      <c r="DU19" s="228">
        <f>IF(AND(121&gt;=$NR$19,121&lt;=$NS$19),IF($NP$19="Single_Point",IF(121=$NR$19,$NN$19,0),IF($NP$19="Bell_Curve",$NN$19*(121-$NR$19+1)*($NS$19-121+1)/$NU$19,$NN$19/$NT$19)),0)</f>
        <v/>
      </c>
      <c r="DV19" s="228">
        <f>IF(AND(122&gt;=$NR$19,122&lt;=$NS$19),IF($NP$19="Single_Point",IF(122=$NR$19,$NN$19,0),IF($NP$19="Bell_Curve",$NN$19*(122-$NR$19+1)*($NS$19-122+1)/$NU$19,$NN$19/$NT$19)),0)</f>
        <v/>
      </c>
      <c r="DW19" s="228">
        <f>IF(AND(123&gt;=$NR$19,123&lt;=$NS$19),IF($NP$19="Single_Point",IF(123=$NR$19,$NN$19,0),IF($NP$19="Bell_Curve",$NN$19*(123-$NR$19+1)*($NS$19-123+1)/$NU$19,$NN$19/$NT$19)),0)</f>
        <v/>
      </c>
      <c r="DX19" s="228">
        <f>IF(AND(124&gt;=$NR$19,124&lt;=$NS$19),IF($NP$19="Single_Point",IF(124=$NR$19,$NN$19,0),IF($NP$19="Bell_Curve",$NN$19*(124-$NR$19+1)*($NS$19-124+1)/$NU$19,$NN$19/$NT$19)),0)</f>
        <v/>
      </c>
      <c r="DY19" s="228">
        <f>IF(AND(125&gt;=$NR$19,125&lt;=$NS$19),IF($NP$19="Single_Point",IF(125=$NR$19,$NN$19,0),IF($NP$19="Bell_Curve",$NN$19*(125-$NR$19+1)*($NS$19-125+1)/$NU$19,$NN$19/$NT$19)),0)</f>
        <v/>
      </c>
      <c r="DZ19" s="228">
        <f>IF(AND(126&gt;=$NR$19,126&lt;=$NS$19),IF($NP$19="Single_Point",IF(126=$NR$19,$NN$19,0),IF($NP$19="Bell_Curve",$NN$19*(126-$NR$19+1)*($NS$19-126+1)/$NU$19,$NN$19/$NT$19)),0)</f>
        <v/>
      </c>
      <c r="EA19" s="228">
        <f>IF(AND(127&gt;=$NR$19,127&lt;=$NS$19),IF($NP$19="Single_Point",IF(127=$NR$19,$NN$19,0),IF($NP$19="Bell_Curve",$NN$19*(127-$NR$19+1)*($NS$19-127+1)/$NU$19,$NN$19/$NT$19)),0)</f>
        <v/>
      </c>
      <c r="EB19" s="228">
        <f>IF(AND(128&gt;=$NR$19,128&lt;=$NS$19),IF($NP$19="Single_Point",IF(128=$NR$19,$NN$19,0),IF($NP$19="Bell_Curve",$NN$19*(128-$NR$19+1)*($NS$19-128+1)/$NU$19,$NN$19/$NT$19)),0)</f>
        <v/>
      </c>
      <c r="EC19" s="228">
        <f>IF(AND(129&gt;=$NR$19,129&lt;=$NS$19),IF($NP$19="Single_Point",IF(129=$NR$19,$NN$19,0),IF($NP$19="Bell_Curve",$NN$19*(129-$NR$19+1)*($NS$19-129+1)/$NU$19,$NN$19/$NT$19)),0)</f>
        <v/>
      </c>
      <c r="ED19" s="228">
        <f>IF(AND(130&gt;=$NR$19,130&lt;=$NS$19),IF($NP$19="Single_Point",IF(130=$NR$19,$NN$19,0),IF($NP$19="Bell_Curve",$NN$19*(130-$NR$19+1)*($NS$19-130+1)/$NU$19,$NN$19/$NT$19)),0)</f>
        <v/>
      </c>
      <c r="EE19" s="228">
        <f>IF(AND(131&gt;=$NR$19,131&lt;=$NS$19),IF($NP$19="Single_Point",IF(131=$NR$19,$NN$19,0),IF($NP$19="Bell_Curve",$NN$19*(131-$NR$19+1)*($NS$19-131+1)/$NU$19,$NN$19/$NT$19)),0)</f>
        <v/>
      </c>
      <c r="EF19" s="228">
        <f>IF(AND(132&gt;=$NR$19,132&lt;=$NS$19),IF($NP$19="Single_Point",IF(132=$NR$19,$NN$19,0),IF($NP$19="Bell_Curve",$NN$19*(132-$NR$19+1)*($NS$19-132+1)/$NU$19,$NN$19/$NT$19)),0)</f>
        <v/>
      </c>
      <c r="EG19" s="228">
        <f>IF(AND(133&gt;=$NR$19,133&lt;=$NS$19),IF($NP$19="Single_Point",IF(133=$NR$19,$NN$19,0),IF($NP$19="Bell_Curve",$NN$19*(133-$NR$19+1)*($NS$19-133+1)/$NU$19,$NN$19/$NT$19)),0)</f>
        <v/>
      </c>
      <c r="EH19" s="228">
        <f>IF(AND(134&gt;=$NR$19,134&lt;=$NS$19),IF($NP$19="Single_Point",IF(134=$NR$19,$NN$19,0),IF($NP$19="Bell_Curve",$NN$19*(134-$NR$19+1)*($NS$19-134+1)/$NU$19,$NN$19/$NT$19)),0)</f>
        <v/>
      </c>
      <c r="EI19" s="228">
        <f>IF(AND(135&gt;=$NR$19,135&lt;=$NS$19),IF($NP$19="Single_Point",IF(135=$NR$19,$NN$19,0),IF($NP$19="Bell_Curve",$NN$19*(135-$NR$19+1)*($NS$19-135+1)/$NU$19,$NN$19/$NT$19)),0)</f>
        <v/>
      </c>
      <c r="EJ19" s="228">
        <f>IF(AND(136&gt;=$NR$19,136&lt;=$NS$19),IF($NP$19="Single_Point",IF(136=$NR$19,$NN$19,0),IF($NP$19="Bell_Curve",$NN$19*(136-$NR$19+1)*($NS$19-136+1)/$NU$19,$NN$19/$NT$19)),0)</f>
        <v/>
      </c>
      <c r="EK19" s="228">
        <f>IF(AND(137&gt;=$NR$19,137&lt;=$NS$19),IF($NP$19="Single_Point",IF(137=$NR$19,$NN$19,0),IF($NP$19="Bell_Curve",$NN$19*(137-$NR$19+1)*($NS$19-137+1)/$NU$19,$NN$19/$NT$19)),0)</f>
        <v/>
      </c>
      <c r="EL19" s="228">
        <f>IF(AND(138&gt;=$NR$19,138&lt;=$NS$19),IF($NP$19="Single_Point",IF(138=$NR$19,$NN$19,0),IF($NP$19="Bell_Curve",$NN$19*(138-$NR$19+1)*($NS$19-138+1)/$NU$19,$NN$19/$NT$19)),0)</f>
        <v/>
      </c>
      <c r="EM19" s="228">
        <f>IF(AND(139&gt;=$NR$19,139&lt;=$NS$19),IF($NP$19="Single_Point",IF(139=$NR$19,$NN$19,0),IF($NP$19="Bell_Curve",$NN$19*(139-$NR$19+1)*($NS$19-139+1)/$NU$19,$NN$19/$NT$19)),0)</f>
        <v/>
      </c>
      <c r="EN19" s="228">
        <f>IF(AND(140&gt;=$NR$19,140&lt;=$NS$19),IF($NP$19="Single_Point",IF(140=$NR$19,$NN$19,0),IF($NP$19="Bell_Curve",$NN$19*(140-$NR$19+1)*($NS$19-140+1)/$NU$19,$NN$19/$NT$19)),0)</f>
        <v/>
      </c>
      <c r="EO19" s="228">
        <f>IF(AND(141&gt;=$NR$19,141&lt;=$NS$19),IF($NP$19="Single_Point",IF(141=$NR$19,$NN$19,0),IF($NP$19="Bell_Curve",$NN$19*(141-$NR$19+1)*($NS$19-141+1)/$NU$19,$NN$19/$NT$19)),0)</f>
        <v/>
      </c>
      <c r="EP19" s="228">
        <f>IF(AND(142&gt;=$NR$19,142&lt;=$NS$19),IF($NP$19="Single_Point",IF(142=$NR$19,$NN$19,0),IF($NP$19="Bell_Curve",$NN$19*(142-$NR$19+1)*($NS$19-142+1)/$NU$19,$NN$19/$NT$19)),0)</f>
        <v/>
      </c>
      <c r="EQ19" s="228">
        <f>IF(AND(143&gt;=$NR$19,143&lt;=$NS$19),IF($NP$19="Single_Point",IF(143=$NR$19,$NN$19,0),IF($NP$19="Bell_Curve",$NN$19*(143-$NR$19+1)*($NS$19-143+1)/$NU$19,$NN$19/$NT$19)),0)</f>
        <v/>
      </c>
      <c r="ER19" s="228">
        <f>IF(AND(144&gt;=$NR$19,144&lt;=$NS$19),IF($NP$19="Single_Point",IF(144=$NR$19,$NN$19,0),IF($NP$19="Bell_Curve",$NN$19*(144-$NR$19+1)*($NS$19-144+1)/$NU$19,$NN$19/$NT$19)),0)</f>
        <v/>
      </c>
      <c r="ES19" s="228">
        <f>IF(AND(145&gt;=$NR$19,145&lt;=$NS$19),IF($NP$19="Single_Point",IF(145=$NR$19,$NN$19,0),IF($NP$19="Bell_Curve",$NN$19*(145-$NR$19+1)*($NS$19-145+1)/$NU$19,$NN$19/$NT$19)),0)</f>
        <v/>
      </c>
      <c r="ET19" s="228">
        <f>IF(AND(146&gt;=$NR$19,146&lt;=$NS$19),IF($NP$19="Single_Point",IF(146=$NR$19,$NN$19,0),IF($NP$19="Bell_Curve",$NN$19*(146-$NR$19+1)*($NS$19-146+1)/$NU$19,$NN$19/$NT$19)),0)</f>
        <v/>
      </c>
      <c r="EU19" s="228">
        <f>IF(AND(147&gt;=$NR$19,147&lt;=$NS$19),IF($NP$19="Single_Point",IF(147=$NR$19,$NN$19,0),IF($NP$19="Bell_Curve",$NN$19*(147-$NR$19+1)*($NS$19-147+1)/$NU$19,$NN$19/$NT$19)),0)</f>
        <v/>
      </c>
      <c r="EV19" s="228">
        <f>IF(AND(148&gt;=$NR$19,148&lt;=$NS$19),IF($NP$19="Single_Point",IF(148=$NR$19,$NN$19,0),IF($NP$19="Bell_Curve",$NN$19*(148-$NR$19+1)*($NS$19-148+1)/$NU$19,$NN$19/$NT$19)),0)</f>
        <v/>
      </c>
      <c r="EW19" s="228">
        <f>IF(AND(149&gt;=$NR$19,149&lt;=$NS$19),IF($NP$19="Single_Point",IF(149=$NR$19,$NN$19,0),IF($NP$19="Bell_Curve",$NN$19*(149-$NR$19+1)*($NS$19-149+1)/$NU$19,$NN$19/$NT$19)),0)</f>
        <v/>
      </c>
      <c r="EX19" s="228">
        <f>IF(AND(150&gt;=$NR$19,150&lt;=$NS$19),IF($NP$19="Single_Point",IF(150=$NR$19,$NN$19,0),IF($NP$19="Bell_Curve",$NN$19*(150-$NR$19+1)*($NS$19-150+1)/$NU$19,$NN$19/$NT$19)),0)</f>
        <v/>
      </c>
      <c r="EY19" s="228">
        <f>IF(AND(151&gt;=$NR$19,151&lt;=$NS$19),IF($NP$19="Single_Point",IF(151=$NR$19,$NN$19,0),IF($NP$19="Bell_Curve",$NN$19*(151-$NR$19+1)*($NS$19-151+1)/$NU$19,$NN$19/$NT$19)),0)</f>
        <v/>
      </c>
      <c r="EZ19" s="228">
        <f>IF(AND(152&gt;=$NR$19,152&lt;=$NS$19),IF($NP$19="Single_Point",IF(152=$NR$19,$NN$19,0),IF($NP$19="Bell_Curve",$NN$19*(152-$NR$19+1)*($NS$19-152+1)/$NU$19,$NN$19/$NT$19)),0)</f>
        <v/>
      </c>
      <c r="FA19" s="228">
        <f>IF(AND(153&gt;=$NR$19,153&lt;=$NS$19),IF($NP$19="Single_Point",IF(153=$NR$19,$NN$19,0),IF($NP$19="Bell_Curve",$NN$19*(153-$NR$19+1)*($NS$19-153+1)/$NU$19,$NN$19/$NT$19)),0)</f>
        <v/>
      </c>
      <c r="FB19" s="228">
        <f>IF(AND(154&gt;=$NR$19,154&lt;=$NS$19),IF($NP$19="Single_Point",IF(154=$NR$19,$NN$19,0),IF($NP$19="Bell_Curve",$NN$19*(154-$NR$19+1)*($NS$19-154+1)/$NU$19,$NN$19/$NT$19)),0)</f>
        <v/>
      </c>
      <c r="FC19" s="228">
        <f>IF(AND(155&gt;=$NR$19,155&lt;=$NS$19),IF($NP$19="Single_Point",IF(155=$NR$19,$NN$19,0),IF($NP$19="Bell_Curve",$NN$19*(155-$NR$19+1)*($NS$19-155+1)/$NU$19,$NN$19/$NT$19)),0)</f>
        <v/>
      </c>
      <c r="FD19" s="228">
        <f>IF(AND(156&gt;=$NR$19,156&lt;=$NS$19),IF($NP$19="Single_Point",IF(156=$NR$19,$NN$19,0),IF($NP$19="Bell_Curve",$NN$19*(156-$NR$19+1)*($NS$19-156+1)/$NU$19,$NN$19/$NT$19)),0)</f>
        <v/>
      </c>
      <c r="FE19" s="228">
        <f>IF(AND(157&gt;=$NR$19,157&lt;=$NS$19),IF($NP$19="Single_Point",IF(157=$NR$19,$NN$19,0),IF($NP$19="Bell_Curve",$NN$19*(157-$NR$19+1)*($NS$19-157+1)/$NU$19,$NN$19/$NT$19)),0)</f>
        <v/>
      </c>
      <c r="FF19" s="228">
        <f>IF(AND(158&gt;=$NR$19,158&lt;=$NS$19),IF($NP$19="Single_Point",IF(158=$NR$19,$NN$19,0),IF($NP$19="Bell_Curve",$NN$19*(158-$NR$19+1)*($NS$19-158+1)/$NU$19,$NN$19/$NT$19)),0)</f>
        <v/>
      </c>
      <c r="FG19" s="228">
        <f>IF(AND(159&gt;=$NR$19,159&lt;=$NS$19),IF($NP$19="Single_Point",IF(159=$NR$19,$NN$19,0),IF($NP$19="Bell_Curve",$NN$19*(159-$NR$19+1)*($NS$19-159+1)/$NU$19,$NN$19/$NT$19)),0)</f>
        <v/>
      </c>
      <c r="FH19" s="228">
        <f>IF(AND(160&gt;=$NR$19,160&lt;=$NS$19),IF($NP$19="Single_Point",IF(160=$NR$19,$NN$19,0),IF($NP$19="Bell_Curve",$NN$19*(160-$NR$19+1)*($NS$19-160+1)/$NU$19,$NN$19/$NT$19)),0)</f>
        <v/>
      </c>
      <c r="FI19" s="228">
        <f>IF(AND(161&gt;=$NR$19,161&lt;=$NS$19),IF($NP$19="Single_Point",IF(161=$NR$19,$NN$19,0),IF($NP$19="Bell_Curve",$NN$19*(161-$NR$19+1)*($NS$19-161+1)/$NU$19,$NN$19/$NT$19)),0)</f>
        <v/>
      </c>
      <c r="FJ19" s="228">
        <f>IF(AND(162&gt;=$NR$19,162&lt;=$NS$19),IF($NP$19="Single_Point",IF(162=$NR$19,$NN$19,0),IF($NP$19="Bell_Curve",$NN$19*(162-$NR$19+1)*($NS$19-162+1)/$NU$19,$NN$19/$NT$19)),0)</f>
        <v/>
      </c>
      <c r="FK19" s="228">
        <f>IF(AND(163&gt;=$NR$19,163&lt;=$NS$19),IF($NP$19="Single_Point",IF(163=$NR$19,$NN$19,0),IF($NP$19="Bell_Curve",$NN$19*(163-$NR$19+1)*($NS$19-163+1)/$NU$19,$NN$19/$NT$19)),0)</f>
        <v/>
      </c>
      <c r="FL19" s="228">
        <f>IF(AND(164&gt;=$NR$19,164&lt;=$NS$19),IF($NP$19="Single_Point",IF(164=$NR$19,$NN$19,0),IF($NP$19="Bell_Curve",$NN$19*(164-$NR$19+1)*($NS$19-164+1)/$NU$19,$NN$19/$NT$19)),0)</f>
        <v/>
      </c>
      <c r="FM19" s="228">
        <f>IF(AND(165&gt;=$NR$19,165&lt;=$NS$19),IF($NP$19="Single_Point",IF(165=$NR$19,$NN$19,0),IF($NP$19="Bell_Curve",$NN$19*(165-$NR$19+1)*($NS$19-165+1)/$NU$19,$NN$19/$NT$19)),0)</f>
        <v/>
      </c>
      <c r="FN19" s="228">
        <f>IF(AND(166&gt;=$NR$19,166&lt;=$NS$19),IF($NP$19="Single_Point",IF(166=$NR$19,$NN$19,0),IF($NP$19="Bell_Curve",$NN$19*(166-$NR$19+1)*($NS$19-166+1)/$NU$19,$NN$19/$NT$19)),0)</f>
        <v/>
      </c>
      <c r="FO19" s="228">
        <f>IF(AND(167&gt;=$NR$19,167&lt;=$NS$19),IF($NP$19="Single_Point",IF(167=$NR$19,$NN$19,0),IF($NP$19="Bell_Curve",$NN$19*(167-$NR$19+1)*($NS$19-167+1)/$NU$19,$NN$19/$NT$19)),0)</f>
        <v/>
      </c>
      <c r="FP19" s="228">
        <f>IF(AND(168&gt;=$NR$19,168&lt;=$NS$19),IF($NP$19="Single_Point",IF(168=$NR$19,$NN$19,0),IF($NP$19="Bell_Curve",$NN$19*(168-$NR$19+1)*($NS$19-168+1)/$NU$19,$NN$19/$NT$19)),0)</f>
        <v/>
      </c>
      <c r="FQ19" s="228">
        <f>IF(AND(169&gt;=$NR$19,169&lt;=$NS$19),IF($NP$19="Single_Point",IF(169=$NR$19,$NN$19,0),IF($NP$19="Bell_Curve",$NN$19*(169-$NR$19+1)*($NS$19-169+1)/$NU$19,$NN$19/$NT$19)),0)</f>
        <v/>
      </c>
      <c r="FR19" s="228">
        <f>IF(AND(170&gt;=$NR$19,170&lt;=$NS$19),IF($NP$19="Single_Point",IF(170=$NR$19,$NN$19,0),IF($NP$19="Bell_Curve",$NN$19*(170-$NR$19+1)*($NS$19-170+1)/$NU$19,$NN$19/$NT$19)),0)</f>
        <v/>
      </c>
      <c r="FS19" s="228">
        <f>IF(AND(171&gt;=$NR$19,171&lt;=$NS$19),IF($NP$19="Single_Point",IF(171=$NR$19,$NN$19,0),IF($NP$19="Bell_Curve",$NN$19*(171-$NR$19+1)*($NS$19-171+1)/$NU$19,$NN$19/$NT$19)),0)</f>
        <v/>
      </c>
      <c r="FT19" s="228">
        <f>IF(AND(172&gt;=$NR$19,172&lt;=$NS$19),IF($NP$19="Single_Point",IF(172=$NR$19,$NN$19,0),IF($NP$19="Bell_Curve",$NN$19*(172-$NR$19+1)*($NS$19-172+1)/$NU$19,$NN$19/$NT$19)),0)</f>
        <v/>
      </c>
      <c r="FU19" s="228">
        <f>IF(AND(173&gt;=$NR$19,173&lt;=$NS$19),IF($NP$19="Single_Point",IF(173=$NR$19,$NN$19,0),IF($NP$19="Bell_Curve",$NN$19*(173-$NR$19+1)*($NS$19-173+1)/$NU$19,$NN$19/$NT$19)),0)</f>
        <v/>
      </c>
      <c r="FV19" s="228">
        <f>IF(AND(174&gt;=$NR$19,174&lt;=$NS$19),IF($NP$19="Single_Point",IF(174=$NR$19,$NN$19,0),IF($NP$19="Bell_Curve",$NN$19*(174-$NR$19+1)*($NS$19-174+1)/$NU$19,$NN$19/$NT$19)),0)</f>
        <v/>
      </c>
      <c r="FW19" s="228">
        <f>IF(AND(175&gt;=$NR$19,175&lt;=$NS$19),IF($NP$19="Single_Point",IF(175=$NR$19,$NN$19,0),IF($NP$19="Bell_Curve",$NN$19*(175-$NR$19+1)*($NS$19-175+1)/$NU$19,$NN$19/$NT$19)),0)</f>
        <v/>
      </c>
      <c r="FX19" s="228">
        <f>IF(AND(176&gt;=$NR$19,176&lt;=$NS$19),IF($NP$19="Single_Point",IF(176=$NR$19,$NN$19,0),IF($NP$19="Bell_Curve",$NN$19*(176-$NR$19+1)*($NS$19-176+1)/$NU$19,$NN$19/$NT$19)),0)</f>
        <v/>
      </c>
      <c r="FY19" s="228">
        <f>IF(AND(177&gt;=$NR$19,177&lt;=$NS$19),IF($NP$19="Single_Point",IF(177=$NR$19,$NN$19,0),IF($NP$19="Bell_Curve",$NN$19*(177-$NR$19+1)*($NS$19-177+1)/$NU$19,$NN$19/$NT$19)),0)</f>
        <v/>
      </c>
      <c r="FZ19" s="228">
        <f>IF(AND(178&gt;=$NR$19,178&lt;=$NS$19),IF($NP$19="Single_Point",IF(178=$NR$19,$NN$19,0),IF($NP$19="Bell_Curve",$NN$19*(178-$NR$19+1)*($NS$19-178+1)/$NU$19,$NN$19/$NT$19)),0)</f>
        <v/>
      </c>
      <c r="GA19" s="228">
        <f>IF(AND(179&gt;=$NR$19,179&lt;=$NS$19),IF($NP$19="Single_Point",IF(179=$NR$19,$NN$19,0),IF($NP$19="Bell_Curve",$NN$19*(179-$NR$19+1)*($NS$19-179+1)/$NU$19,$NN$19/$NT$19)),0)</f>
        <v/>
      </c>
      <c r="GB19" s="228">
        <f>IF(AND(180&gt;=$NR$19,180&lt;=$NS$19),IF($NP$19="Single_Point",IF(180=$NR$19,$NN$19,0),IF($NP$19="Bell_Curve",$NN$19*(180-$NR$19+1)*($NS$19-180+1)/$NU$19,$NN$19/$NT$19)),0)</f>
        <v/>
      </c>
      <c r="GC19" s="228">
        <f>IF(AND(181&gt;=$NR$19,181&lt;=$NS$19),IF($NP$19="Single_Point",IF(181=$NR$19,$NN$19,0),IF($NP$19="Bell_Curve",$NN$19*(181-$NR$19+1)*($NS$19-181+1)/$NU$19,$NN$19/$NT$19)),0)</f>
        <v/>
      </c>
      <c r="GD19" s="228">
        <f>IF(AND(182&gt;=$NR$19,182&lt;=$NS$19),IF($NP$19="Single_Point",IF(182=$NR$19,$NN$19,0),IF($NP$19="Bell_Curve",$NN$19*(182-$NR$19+1)*($NS$19-182+1)/$NU$19,$NN$19/$NT$19)),0)</f>
        <v/>
      </c>
      <c r="GE19" s="228">
        <f>IF(AND(183&gt;=$NR$19,183&lt;=$NS$19),IF($NP$19="Single_Point",IF(183=$NR$19,$NN$19,0),IF($NP$19="Bell_Curve",$NN$19*(183-$NR$19+1)*($NS$19-183+1)/$NU$19,$NN$19/$NT$19)),0)</f>
        <v/>
      </c>
      <c r="GF19" s="228">
        <f>IF(AND(184&gt;=$NR$19,184&lt;=$NS$19),IF($NP$19="Single_Point",IF(184=$NR$19,$NN$19,0),IF($NP$19="Bell_Curve",$NN$19*(184-$NR$19+1)*($NS$19-184+1)/$NU$19,$NN$19/$NT$19)),0)</f>
        <v/>
      </c>
      <c r="GG19" s="228">
        <f>IF(AND(185&gt;=$NR$19,185&lt;=$NS$19),IF($NP$19="Single_Point",IF(185=$NR$19,$NN$19,0),IF($NP$19="Bell_Curve",$NN$19*(185-$NR$19+1)*($NS$19-185+1)/$NU$19,$NN$19/$NT$19)),0)</f>
        <v/>
      </c>
      <c r="GH19" s="228">
        <f>IF(AND(186&gt;=$NR$19,186&lt;=$NS$19),IF($NP$19="Single_Point",IF(186=$NR$19,$NN$19,0),IF($NP$19="Bell_Curve",$NN$19*(186-$NR$19+1)*($NS$19-186+1)/$NU$19,$NN$19/$NT$19)),0)</f>
        <v/>
      </c>
      <c r="GI19" s="228">
        <f>IF(AND(187&gt;=$NR$19,187&lt;=$NS$19),IF($NP$19="Single_Point",IF(187=$NR$19,$NN$19,0),IF($NP$19="Bell_Curve",$NN$19*(187-$NR$19+1)*($NS$19-187+1)/$NU$19,$NN$19/$NT$19)),0)</f>
        <v/>
      </c>
      <c r="GJ19" s="228">
        <f>IF(AND(188&gt;=$NR$19,188&lt;=$NS$19),IF($NP$19="Single_Point",IF(188=$NR$19,$NN$19,0),IF($NP$19="Bell_Curve",$NN$19*(188-$NR$19+1)*($NS$19-188+1)/$NU$19,$NN$19/$NT$19)),0)</f>
        <v/>
      </c>
      <c r="GK19" s="228">
        <f>IF(AND(189&gt;=$NR$19,189&lt;=$NS$19),IF($NP$19="Single_Point",IF(189=$NR$19,$NN$19,0),IF($NP$19="Bell_Curve",$NN$19*(189-$NR$19+1)*($NS$19-189+1)/$NU$19,$NN$19/$NT$19)),0)</f>
        <v/>
      </c>
      <c r="GL19" s="228">
        <f>IF(AND(190&gt;=$NR$19,190&lt;=$NS$19),IF($NP$19="Single_Point",IF(190=$NR$19,$NN$19,0),IF($NP$19="Bell_Curve",$NN$19*(190-$NR$19+1)*($NS$19-190+1)/$NU$19,$NN$19/$NT$19)),0)</f>
        <v/>
      </c>
      <c r="GM19" s="228">
        <f>IF(AND(191&gt;=$NR$19,191&lt;=$NS$19),IF($NP$19="Single_Point",IF(191=$NR$19,$NN$19,0),IF($NP$19="Bell_Curve",$NN$19*(191-$NR$19+1)*($NS$19-191+1)/$NU$19,$NN$19/$NT$19)),0)</f>
        <v/>
      </c>
      <c r="GN19" s="228">
        <f>IF(AND(192&gt;=$NR$19,192&lt;=$NS$19),IF($NP$19="Single_Point",IF(192=$NR$19,$NN$19,0),IF($NP$19="Bell_Curve",$NN$19*(192-$NR$19+1)*($NS$19-192+1)/$NU$19,$NN$19/$NT$19)),0)</f>
        <v/>
      </c>
      <c r="GO19" s="228">
        <f>IF(AND(193&gt;=$NR$19,193&lt;=$NS$19),IF($NP$19="Single_Point",IF(193=$NR$19,$NN$19,0),IF($NP$19="Bell_Curve",$NN$19*(193-$NR$19+1)*($NS$19-193+1)/$NU$19,$NN$19/$NT$19)),0)</f>
        <v/>
      </c>
      <c r="GP19" s="228">
        <f>IF(AND(194&gt;=$NR$19,194&lt;=$NS$19),IF($NP$19="Single_Point",IF(194=$NR$19,$NN$19,0),IF($NP$19="Bell_Curve",$NN$19*(194-$NR$19+1)*($NS$19-194+1)/$NU$19,$NN$19/$NT$19)),0)</f>
        <v/>
      </c>
      <c r="GQ19" s="228">
        <f>IF(AND(195&gt;=$NR$19,195&lt;=$NS$19),IF($NP$19="Single_Point",IF(195=$NR$19,$NN$19,0),IF($NP$19="Bell_Curve",$NN$19*(195-$NR$19+1)*($NS$19-195+1)/$NU$19,$NN$19/$NT$19)),0)</f>
        <v/>
      </c>
      <c r="GR19" s="228">
        <f>IF(AND(196&gt;=$NR$19,196&lt;=$NS$19),IF($NP$19="Single_Point",IF(196=$NR$19,$NN$19,0),IF($NP$19="Bell_Curve",$NN$19*(196-$NR$19+1)*($NS$19-196+1)/$NU$19,$NN$19/$NT$19)),0)</f>
        <v/>
      </c>
      <c r="GS19" s="228">
        <f>IF(AND(197&gt;=$NR$19,197&lt;=$NS$19),IF($NP$19="Single_Point",IF(197=$NR$19,$NN$19,0),IF($NP$19="Bell_Curve",$NN$19*(197-$NR$19+1)*($NS$19-197+1)/$NU$19,$NN$19/$NT$19)),0)</f>
        <v/>
      </c>
      <c r="GT19" s="228">
        <f>IF(AND(198&gt;=$NR$19,198&lt;=$NS$19),IF($NP$19="Single_Point",IF(198=$NR$19,$NN$19,0),IF($NP$19="Bell_Curve",$NN$19*(198-$NR$19+1)*($NS$19-198+1)/$NU$19,$NN$19/$NT$19)),0)</f>
        <v/>
      </c>
      <c r="GU19" s="228">
        <f>IF(AND(199&gt;=$NR$19,199&lt;=$NS$19),IF($NP$19="Single_Point",IF(199=$NR$19,$NN$19,0),IF($NP$19="Bell_Curve",$NN$19*(199-$NR$19+1)*($NS$19-199+1)/$NU$19,$NN$19/$NT$19)),0)</f>
        <v/>
      </c>
      <c r="GV19" s="228">
        <f>IF(AND(200&gt;=$NR$19,200&lt;=$NS$19),IF($NP$19="Single_Point",IF(200=$NR$19,$NN$19,0),IF($NP$19="Bell_Curve",$NN$19*(200-$NR$19+1)*($NS$19-200+1)/$NU$19,$NN$19/$NT$19)),0)</f>
        <v/>
      </c>
      <c r="GW19" s="228">
        <f>IF(AND(201&gt;=$NR$19,201&lt;=$NS$19),IF($NP$19="Single_Point",IF(201=$NR$19,$NN$19,0),IF($NP$19="Bell_Curve",$NN$19*(201-$NR$19+1)*($NS$19-201+1)/$NU$19,$NN$19/$NT$19)),0)</f>
        <v/>
      </c>
      <c r="GX19" s="228">
        <f>IF(AND(202&gt;=$NR$19,202&lt;=$NS$19),IF($NP$19="Single_Point",IF(202=$NR$19,$NN$19,0),IF($NP$19="Bell_Curve",$NN$19*(202-$NR$19+1)*($NS$19-202+1)/$NU$19,$NN$19/$NT$19)),0)</f>
        <v/>
      </c>
      <c r="GY19" s="228">
        <f>IF(AND(203&gt;=$NR$19,203&lt;=$NS$19),IF($NP$19="Single_Point",IF(203=$NR$19,$NN$19,0),IF($NP$19="Bell_Curve",$NN$19*(203-$NR$19+1)*($NS$19-203+1)/$NU$19,$NN$19/$NT$19)),0)</f>
        <v/>
      </c>
      <c r="GZ19" s="228">
        <f>IF(AND(204&gt;=$NR$19,204&lt;=$NS$19),IF($NP$19="Single_Point",IF(204=$NR$19,$NN$19,0),IF($NP$19="Bell_Curve",$NN$19*(204-$NR$19+1)*($NS$19-204+1)/$NU$19,$NN$19/$NT$19)),0)</f>
        <v/>
      </c>
      <c r="HA19" s="228">
        <f>IF(AND(205&gt;=$NR$19,205&lt;=$NS$19),IF($NP$19="Single_Point",IF(205=$NR$19,$NN$19,0),IF($NP$19="Bell_Curve",$NN$19*(205-$NR$19+1)*($NS$19-205+1)/$NU$19,$NN$19/$NT$19)),0)</f>
        <v/>
      </c>
      <c r="HB19" s="228">
        <f>IF(AND(206&gt;=$NR$19,206&lt;=$NS$19),IF($NP$19="Single_Point",IF(206=$NR$19,$NN$19,0),IF($NP$19="Bell_Curve",$NN$19*(206-$NR$19+1)*($NS$19-206+1)/$NU$19,$NN$19/$NT$19)),0)</f>
        <v/>
      </c>
      <c r="HC19" s="228">
        <f>IF(AND(207&gt;=$NR$19,207&lt;=$NS$19),IF($NP$19="Single_Point",IF(207=$NR$19,$NN$19,0),IF($NP$19="Bell_Curve",$NN$19*(207-$NR$19+1)*($NS$19-207+1)/$NU$19,$NN$19/$NT$19)),0)</f>
        <v/>
      </c>
      <c r="HD19" s="228">
        <f>IF(AND(208&gt;=$NR$19,208&lt;=$NS$19),IF($NP$19="Single_Point",IF(208=$NR$19,$NN$19,0),IF($NP$19="Bell_Curve",$NN$19*(208-$NR$19+1)*($NS$19-208+1)/$NU$19,$NN$19/$NT$19)),0)</f>
        <v/>
      </c>
      <c r="HE19" s="228">
        <f>IF(AND(209&gt;=$NR$19,209&lt;=$NS$19),IF($NP$19="Single_Point",IF(209=$NR$19,$NN$19,0),IF($NP$19="Bell_Curve",$NN$19*(209-$NR$19+1)*($NS$19-209+1)/$NU$19,$NN$19/$NT$19)),0)</f>
        <v/>
      </c>
      <c r="HF19" s="228">
        <f>IF(AND(210&gt;=$NR$19,210&lt;=$NS$19),IF($NP$19="Single_Point",IF(210=$NR$19,$NN$19,0),IF($NP$19="Bell_Curve",$NN$19*(210-$NR$19+1)*($NS$19-210+1)/$NU$19,$NN$19/$NT$19)),0)</f>
        <v/>
      </c>
      <c r="HG19" s="228">
        <f>IF(AND(211&gt;=$NR$19,211&lt;=$NS$19),IF($NP$19="Single_Point",IF(211=$NR$19,$NN$19,0),IF($NP$19="Bell_Curve",$NN$19*(211-$NR$19+1)*($NS$19-211+1)/$NU$19,$NN$19/$NT$19)),0)</f>
        <v/>
      </c>
      <c r="HH19" s="228">
        <f>IF(AND(212&gt;=$NR$19,212&lt;=$NS$19),IF($NP$19="Single_Point",IF(212=$NR$19,$NN$19,0),IF($NP$19="Bell_Curve",$NN$19*(212-$NR$19+1)*($NS$19-212+1)/$NU$19,$NN$19/$NT$19)),0)</f>
        <v/>
      </c>
      <c r="HI19" s="228">
        <f>IF(AND(213&gt;=$NR$19,213&lt;=$NS$19),IF($NP$19="Single_Point",IF(213=$NR$19,$NN$19,0),IF($NP$19="Bell_Curve",$NN$19*(213-$NR$19+1)*($NS$19-213+1)/$NU$19,$NN$19/$NT$19)),0)</f>
        <v/>
      </c>
      <c r="HJ19" s="228">
        <f>IF(AND(214&gt;=$NR$19,214&lt;=$NS$19),IF($NP$19="Single_Point",IF(214=$NR$19,$NN$19,0),IF($NP$19="Bell_Curve",$NN$19*(214-$NR$19+1)*($NS$19-214+1)/$NU$19,$NN$19/$NT$19)),0)</f>
        <v/>
      </c>
      <c r="HK19" s="228">
        <f>IF(AND(215&gt;=$NR$19,215&lt;=$NS$19),IF($NP$19="Single_Point",IF(215=$NR$19,$NN$19,0),IF($NP$19="Bell_Curve",$NN$19*(215-$NR$19+1)*($NS$19-215+1)/$NU$19,$NN$19/$NT$19)),0)</f>
        <v/>
      </c>
      <c r="HL19" s="228">
        <f>IF(AND(216&gt;=$NR$19,216&lt;=$NS$19),IF($NP$19="Single_Point",IF(216=$NR$19,$NN$19,0),IF($NP$19="Bell_Curve",$NN$19*(216-$NR$19+1)*($NS$19-216+1)/$NU$19,$NN$19/$NT$19)),0)</f>
        <v/>
      </c>
      <c r="HM19" s="228">
        <f>IF(AND(217&gt;=$NR$19,217&lt;=$NS$19),IF($NP$19="Single_Point",IF(217=$NR$19,$NN$19,0),IF($NP$19="Bell_Curve",$NN$19*(217-$NR$19+1)*($NS$19-217+1)/$NU$19,$NN$19/$NT$19)),0)</f>
        <v/>
      </c>
      <c r="HN19" s="228">
        <f>IF(AND(218&gt;=$NR$19,218&lt;=$NS$19),IF($NP$19="Single_Point",IF(218=$NR$19,$NN$19,0),IF($NP$19="Bell_Curve",$NN$19*(218-$NR$19+1)*($NS$19-218+1)/$NU$19,$NN$19/$NT$19)),0)</f>
        <v/>
      </c>
      <c r="HO19" s="228">
        <f>IF(AND(219&gt;=$NR$19,219&lt;=$NS$19),IF($NP$19="Single_Point",IF(219=$NR$19,$NN$19,0),IF($NP$19="Bell_Curve",$NN$19*(219-$NR$19+1)*($NS$19-219+1)/$NU$19,$NN$19/$NT$19)),0)</f>
        <v/>
      </c>
      <c r="HP19" s="228">
        <f>IF(AND(220&gt;=$NR$19,220&lt;=$NS$19),IF($NP$19="Single_Point",IF(220=$NR$19,$NN$19,0),IF($NP$19="Bell_Curve",$NN$19*(220-$NR$19+1)*($NS$19-220+1)/$NU$19,$NN$19/$NT$19)),0)</f>
        <v/>
      </c>
      <c r="HQ19" s="228">
        <f>IF(AND(221&gt;=$NR$19,221&lt;=$NS$19),IF($NP$19="Single_Point",IF(221=$NR$19,$NN$19,0),IF($NP$19="Bell_Curve",$NN$19*(221-$NR$19+1)*($NS$19-221+1)/$NU$19,$NN$19/$NT$19)),0)</f>
        <v/>
      </c>
      <c r="HR19" s="228">
        <f>IF(AND(222&gt;=$NR$19,222&lt;=$NS$19),IF($NP$19="Single_Point",IF(222=$NR$19,$NN$19,0),IF($NP$19="Bell_Curve",$NN$19*(222-$NR$19+1)*($NS$19-222+1)/$NU$19,$NN$19/$NT$19)),0)</f>
        <v/>
      </c>
      <c r="HS19" s="228">
        <f>IF(AND(223&gt;=$NR$19,223&lt;=$NS$19),IF($NP$19="Single_Point",IF(223=$NR$19,$NN$19,0),IF($NP$19="Bell_Curve",$NN$19*(223-$NR$19+1)*($NS$19-223+1)/$NU$19,$NN$19/$NT$19)),0)</f>
        <v/>
      </c>
      <c r="HT19" s="228">
        <f>IF(AND(224&gt;=$NR$19,224&lt;=$NS$19),IF($NP$19="Single_Point",IF(224=$NR$19,$NN$19,0),IF($NP$19="Bell_Curve",$NN$19*(224-$NR$19+1)*($NS$19-224+1)/$NU$19,$NN$19/$NT$19)),0)</f>
        <v/>
      </c>
      <c r="HU19" s="228">
        <f>IF(AND(225&gt;=$NR$19,225&lt;=$NS$19),IF($NP$19="Single_Point",IF(225=$NR$19,$NN$19,0),IF($NP$19="Bell_Curve",$NN$19*(225-$NR$19+1)*($NS$19-225+1)/$NU$19,$NN$19/$NT$19)),0)</f>
        <v/>
      </c>
      <c r="HV19" s="228">
        <f>IF(AND(226&gt;=$NR$19,226&lt;=$NS$19),IF($NP$19="Single_Point",IF(226=$NR$19,$NN$19,0),IF($NP$19="Bell_Curve",$NN$19*(226-$NR$19+1)*($NS$19-226+1)/$NU$19,$NN$19/$NT$19)),0)</f>
        <v/>
      </c>
      <c r="HW19" s="228">
        <f>IF(AND(227&gt;=$NR$19,227&lt;=$NS$19),IF($NP$19="Single_Point",IF(227=$NR$19,$NN$19,0),IF($NP$19="Bell_Curve",$NN$19*(227-$NR$19+1)*($NS$19-227+1)/$NU$19,$NN$19/$NT$19)),0)</f>
        <v/>
      </c>
      <c r="HX19" s="228">
        <f>IF(AND(228&gt;=$NR$19,228&lt;=$NS$19),IF($NP$19="Single_Point",IF(228=$NR$19,$NN$19,0),IF($NP$19="Bell_Curve",$NN$19*(228-$NR$19+1)*($NS$19-228+1)/$NU$19,$NN$19/$NT$19)),0)</f>
        <v/>
      </c>
      <c r="HY19" s="228">
        <f>IF(AND(229&gt;=$NR$19,229&lt;=$NS$19),IF($NP$19="Single_Point",IF(229=$NR$19,$NN$19,0),IF($NP$19="Bell_Curve",$NN$19*(229-$NR$19+1)*($NS$19-229+1)/$NU$19,$NN$19/$NT$19)),0)</f>
        <v/>
      </c>
      <c r="HZ19" s="228">
        <f>IF(AND(230&gt;=$NR$19,230&lt;=$NS$19),IF($NP$19="Single_Point",IF(230=$NR$19,$NN$19,0),IF($NP$19="Bell_Curve",$NN$19*(230-$NR$19+1)*($NS$19-230+1)/$NU$19,$NN$19/$NT$19)),0)</f>
        <v/>
      </c>
      <c r="IA19" s="228">
        <f>IF(AND(231&gt;=$NR$19,231&lt;=$NS$19),IF($NP$19="Single_Point",IF(231=$NR$19,$NN$19,0),IF($NP$19="Bell_Curve",$NN$19*(231-$NR$19+1)*($NS$19-231+1)/$NU$19,$NN$19/$NT$19)),0)</f>
        <v/>
      </c>
      <c r="IB19" s="228">
        <f>IF(AND(232&gt;=$NR$19,232&lt;=$NS$19),IF($NP$19="Single_Point",IF(232=$NR$19,$NN$19,0),IF($NP$19="Bell_Curve",$NN$19*(232-$NR$19+1)*($NS$19-232+1)/$NU$19,$NN$19/$NT$19)),0)</f>
        <v/>
      </c>
      <c r="IC19" s="228">
        <f>IF(AND(233&gt;=$NR$19,233&lt;=$NS$19),IF($NP$19="Single_Point",IF(233=$NR$19,$NN$19,0),IF($NP$19="Bell_Curve",$NN$19*(233-$NR$19+1)*($NS$19-233+1)/$NU$19,$NN$19/$NT$19)),0)</f>
        <v/>
      </c>
      <c r="ID19" s="228">
        <f>IF(AND(234&gt;=$NR$19,234&lt;=$NS$19),IF($NP$19="Single_Point",IF(234=$NR$19,$NN$19,0),IF($NP$19="Bell_Curve",$NN$19*(234-$NR$19+1)*($NS$19-234+1)/$NU$19,$NN$19/$NT$19)),0)</f>
        <v/>
      </c>
      <c r="IE19" s="228">
        <f>IF(AND(235&gt;=$NR$19,235&lt;=$NS$19),IF($NP$19="Single_Point",IF(235=$NR$19,$NN$19,0),IF($NP$19="Bell_Curve",$NN$19*(235-$NR$19+1)*($NS$19-235+1)/$NU$19,$NN$19/$NT$19)),0)</f>
        <v/>
      </c>
      <c r="IF19" s="228">
        <f>IF(AND(236&gt;=$NR$19,236&lt;=$NS$19),IF($NP$19="Single_Point",IF(236=$NR$19,$NN$19,0),IF($NP$19="Bell_Curve",$NN$19*(236-$NR$19+1)*($NS$19-236+1)/$NU$19,$NN$19/$NT$19)),0)</f>
        <v/>
      </c>
      <c r="IG19" s="228">
        <f>IF(AND(237&gt;=$NR$19,237&lt;=$NS$19),IF($NP$19="Single_Point",IF(237=$NR$19,$NN$19,0),IF($NP$19="Bell_Curve",$NN$19*(237-$NR$19+1)*($NS$19-237+1)/$NU$19,$NN$19/$NT$19)),0)</f>
        <v/>
      </c>
      <c r="IH19" s="228">
        <f>IF(AND(238&gt;=$NR$19,238&lt;=$NS$19),IF($NP$19="Single_Point",IF(238=$NR$19,$NN$19,0),IF($NP$19="Bell_Curve",$NN$19*(238-$NR$19+1)*($NS$19-238+1)/$NU$19,$NN$19/$NT$19)),0)</f>
        <v/>
      </c>
      <c r="II19" s="228">
        <f>IF(AND(239&gt;=$NR$19,239&lt;=$NS$19),IF($NP$19="Single_Point",IF(239=$NR$19,$NN$19,0),IF($NP$19="Bell_Curve",$NN$19*(239-$NR$19+1)*($NS$19-239+1)/$NU$19,$NN$19/$NT$19)),0)</f>
        <v/>
      </c>
      <c r="IJ19" s="228">
        <f>IF(AND(240&gt;=$NR$19,240&lt;=$NS$19),IF($NP$19="Single_Point",IF(240=$NR$19,$NN$19,0),IF($NP$19="Bell_Curve",$NN$19*(240-$NR$19+1)*($NS$19-240+1)/$NU$19,$NN$19/$NT$19)),0)</f>
        <v/>
      </c>
      <c r="IK19" s="228">
        <f>IF(AND(241&gt;=$NR$19,241&lt;=$NS$19),IF($NP$19="Single_Point",IF(241=$NR$19,$NN$19,0),IF($NP$19="Bell_Curve",$NN$19*(241-$NR$19+1)*($NS$19-241+1)/$NU$19,$NN$19/$NT$19)),0)</f>
        <v/>
      </c>
      <c r="IL19" s="228">
        <f>IF(AND(242&gt;=$NR$19,242&lt;=$NS$19),IF($NP$19="Single_Point",IF(242=$NR$19,$NN$19,0),IF($NP$19="Bell_Curve",$NN$19*(242-$NR$19+1)*($NS$19-242+1)/$NU$19,$NN$19/$NT$19)),0)</f>
        <v/>
      </c>
      <c r="IM19" s="228">
        <f>IF(AND(243&gt;=$NR$19,243&lt;=$NS$19),IF($NP$19="Single_Point",IF(243=$NR$19,$NN$19,0),IF($NP$19="Bell_Curve",$NN$19*(243-$NR$19+1)*($NS$19-243+1)/$NU$19,$NN$19/$NT$19)),0)</f>
        <v/>
      </c>
      <c r="IN19" s="228">
        <f>IF(AND(244&gt;=$NR$19,244&lt;=$NS$19),IF($NP$19="Single_Point",IF(244=$NR$19,$NN$19,0),IF($NP$19="Bell_Curve",$NN$19*(244-$NR$19+1)*($NS$19-244+1)/$NU$19,$NN$19/$NT$19)),0)</f>
        <v/>
      </c>
      <c r="IO19" s="228">
        <f>IF(AND(245&gt;=$NR$19,245&lt;=$NS$19),IF($NP$19="Single_Point",IF(245=$NR$19,$NN$19,0),IF($NP$19="Bell_Curve",$NN$19*(245-$NR$19+1)*($NS$19-245+1)/$NU$19,$NN$19/$NT$19)),0)</f>
        <v/>
      </c>
      <c r="IP19" s="228">
        <f>IF(AND(246&gt;=$NR$19,246&lt;=$NS$19),IF($NP$19="Single_Point",IF(246=$NR$19,$NN$19,0),IF($NP$19="Bell_Curve",$NN$19*(246-$NR$19+1)*($NS$19-246+1)/$NU$19,$NN$19/$NT$19)),0)</f>
        <v/>
      </c>
      <c r="IQ19" s="228">
        <f>IF(AND(247&gt;=$NR$19,247&lt;=$NS$19),IF($NP$19="Single_Point",IF(247=$NR$19,$NN$19,0),IF($NP$19="Bell_Curve",$NN$19*(247-$NR$19+1)*($NS$19-247+1)/$NU$19,$NN$19/$NT$19)),0)</f>
        <v/>
      </c>
      <c r="IR19" s="228">
        <f>IF(AND(248&gt;=$NR$19,248&lt;=$NS$19),IF($NP$19="Single_Point",IF(248=$NR$19,$NN$19,0),IF($NP$19="Bell_Curve",$NN$19*(248-$NR$19+1)*($NS$19-248+1)/$NU$19,$NN$19/$NT$19)),0)</f>
        <v/>
      </c>
      <c r="IS19" s="228">
        <f>IF(AND(249&gt;=$NR$19,249&lt;=$NS$19),IF($NP$19="Single_Point",IF(249=$NR$19,$NN$19,0),IF($NP$19="Bell_Curve",$NN$19*(249-$NR$19+1)*($NS$19-249+1)/$NU$19,$NN$19/$NT$19)),0)</f>
        <v/>
      </c>
      <c r="IT19" s="228">
        <f>IF(AND(250&gt;=$NR$19,250&lt;=$NS$19),IF($NP$19="Single_Point",IF(250=$NR$19,$NN$19,0),IF($NP$19="Bell_Curve",$NN$19*(250-$NR$19+1)*($NS$19-250+1)/$NU$19,$NN$19/$NT$19)),0)</f>
        <v/>
      </c>
      <c r="IU19" s="228">
        <f>IF(AND(251&gt;=$NR$19,251&lt;=$NS$19),IF($NP$19="Single_Point",IF(251=$NR$19,$NN$19,0),IF($NP$19="Bell_Curve",$NN$19*(251-$NR$19+1)*($NS$19-251+1)/$NU$19,$NN$19/$NT$19)),0)</f>
        <v/>
      </c>
      <c r="IV19" s="228">
        <f>IF(AND(252&gt;=$NR$19,252&lt;=$NS$19),IF($NP$19="Single_Point",IF(252=$NR$19,$NN$19,0),IF($NP$19="Bell_Curve",$NN$19*(252-$NR$19+1)*($NS$19-252+1)/$NU$19,$NN$19/$NT$19)),0)</f>
        <v/>
      </c>
      <c r="IW19" s="228">
        <f>IF(AND(253&gt;=$NR$19,253&lt;=$NS$19),IF($NP$19="Single_Point",IF(253=$NR$19,$NN$19,0),IF($NP$19="Bell_Curve",$NN$19*(253-$NR$19+1)*($NS$19-253+1)/$NU$19,$NN$19/$NT$19)),0)</f>
        <v/>
      </c>
      <c r="IX19" s="228">
        <f>IF(AND(254&gt;=$NR$19,254&lt;=$NS$19),IF($NP$19="Single_Point",IF(254=$NR$19,$NN$19,0),IF($NP$19="Bell_Curve",$NN$19*(254-$NR$19+1)*($NS$19-254+1)/$NU$19,$NN$19/$NT$19)),0)</f>
        <v/>
      </c>
      <c r="IY19" s="228">
        <f>IF(AND(255&gt;=$NR$19,255&lt;=$NS$19),IF($NP$19="Single_Point",IF(255=$NR$19,$NN$19,0),IF($NP$19="Bell_Curve",$NN$19*(255-$NR$19+1)*($NS$19-255+1)/$NU$19,$NN$19/$NT$19)),0)</f>
        <v/>
      </c>
      <c r="IZ19" s="228">
        <f>IF(AND(256&gt;=$NR$19,256&lt;=$NS$19),IF($NP$19="Single_Point",IF(256=$NR$19,$NN$19,0),IF($NP$19="Bell_Curve",$NN$19*(256-$NR$19+1)*($NS$19-256+1)/$NU$19,$NN$19/$NT$19)),0)</f>
        <v/>
      </c>
      <c r="JA19" s="228">
        <f>IF(AND(257&gt;=$NR$19,257&lt;=$NS$19),IF($NP$19="Single_Point",IF(257=$NR$19,$NN$19,0),IF($NP$19="Bell_Curve",$NN$19*(257-$NR$19+1)*($NS$19-257+1)/$NU$19,$NN$19/$NT$19)),0)</f>
        <v/>
      </c>
      <c r="JB19" s="228">
        <f>IF(AND(258&gt;=$NR$19,258&lt;=$NS$19),IF($NP$19="Single_Point",IF(258=$NR$19,$NN$19,0),IF($NP$19="Bell_Curve",$NN$19*(258-$NR$19+1)*($NS$19-258+1)/$NU$19,$NN$19/$NT$19)),0)</f>
        <v/>
      </c>
      <c r="JC19" s="228">
        <f>IF(AND(259&gt;=$NR$19,259&lt;=$NS$19),IF($NP$19="Single_Point",IF(259=$NR$19,$NN$19,0),IF($NP$19="Bell_Curve",$NN$19*(259-$NR$19+1)*($NS$19-259+1)/$NU$19,$NN$19/$NT$19)),0)</f>
        <v/>
      </c>
      <c r="JD19" s="228">
        <f>IF(AND(260&gt;=$NR$19,260&lt;=$NS$19),IF($NP$19="Single_Point",IF(260=$NR$19,$NN$19,0),IF($NP$19="Bell_Curve",$NN$19*(260-$NR$19+1)*($NS$19-260+1)/$NU$19,$NN$19/$NT$19)),0)</f>
        <v/>
      </c>
      <c r="JE19" s="228">
        <f>IF(AND(261&gt;=$NR$19,261&lt;=$NS$19),IF($NP$19="Single_Point",IF(261=$NR$19,$NN$19,0),IF($NP$19="Bell_Curve",$NN$19*(261-$NR$19+1)*($NS$19-261+1)/$NU$19,$NN$19/$NT$19)),0)</f>
        <v/>
      </c>
      <c r="JF19" s="228">
        <f>IF(AND(262&gt;=$NR$19,262&lt;=$NS$19),IF($NP$19="Single_Point",IF(262=$NR$19,$NN$19,0),IF($NP$19="Bell_Curve",$NN$19*(262-$NR$19+1)*($NS$19-262+1)/$NU$19,$NN$19/$NT$19)),0)</f>
        <v/>
      </c>
      <c r="JG19" s="228">
        <f>IF(AND(263&gt;=$NR$19,263&lt;=$NS$19),IF($NP$19="Single_Point",IF(263=$NR$19,$NN$19,0),IF($NP$19="Bell_Curve",$NN$19*(263-$NR$19+1)*($NS$19-263+1)/$NU$19,$NN$19/$NT$19)),0)</f>
        <v/>
      </c>
      <c r="JH19" s="228">
        <f>IF(AND(264&gt;=$NR$19,264&lt;=$NS$19),IF($NP$19="Single_Point",IF(264=$NR$19,$NN$19,0),IF($NP$19="Bell_Curve",$NN$19*(264-$NR$19+1)*($NS$19-264+1)/$NU$19,$NN$19/$NT$19)),0)</f>
        <v/>
      </c>
      <c r="JI19" s="228">
        <f>IF(AND(265&gt;=$NR$19,265&lt;=$NS$19),IF($NP$19="Single_Point",IF(265=$NR$19,$NN$19,0),IF($NP$19="Bell_Curve",$NN$19*(265-$NR$19+1)*($NS$19-265+1)/$NU$19,$NN$19/$NT$19)),0)</f>
        <v/>
      </c>
      <c r="JJ19" s="228">
        <f>IF(AND(266&gt;=$NR$19,266&lt;=$NS$19),IF($NP$19="Single_Point",IF(266=$NR$19,$NN$19,0),IF($NP$19="Bell_Curve",$NN$19*(266-$NR$19+1)*($NS$19-266+1)/$NU$19,$NN$19/$NT$19)),0)</f>
        <v/>
      </c>
      <c r="JK19" s="228">
        <f>IF(AND(267&gt;=$NR$19,267&lt;=$NS$19),IF($NP$19="Single_Point",IF(267=$NR$19,$NN$19,0),IF($NP$19="Bell_Curve",$NN$19*(267-$NR$19+1)*($NS$19-267+1)/$NU$19,$NN$19/$NT$19)),0)</f>
        <v/>
      </c>
      <c r="JL19" s="228">
        <f>IF(AND(268&gt;=$NR$19,268&lt;=$NS$19),IF($NP$19="Single_Point",IF(268=$NR$19,$NN$19,0),IF($NP$19="Bell_Curve",$NN$19*(268-$NR$19+1)*($NS$19-268+1)/$NU$19,$NN$19/$NT$19)),0)</f>
        <v/>
      </c>
      <c r="JM19" s="228">
        <f>IF(AND(269&gt;=$NR$19,269&lt;=$NS$19),IF($NP$19="Single_Point",IF(269=$NR$19,$NN$19,0),IF($NP$19="Bell_Curve",$NN$19*(269-$NR$19+1)*($NS$19-269+1)/$NU$19,$NN$19/$NT$19)),0)</f>
        <v/>
      </c>
      <c r="JN19" s="228">
        <f>IF(AND(270&gt;=$NR$19,270&lt;=$NS$19),IF($NP$19="Single_Point",IF(270=$NR$19,$NN$19,0),IF($NP$19="Bell_Curve",$NN$19*(270-$NR$19+1)*($NS$19-270+1)/$NU$19,$NN$19/$NT$19)),0)</f>
        <v/>
      </c>
      <c r="JO19" s="228">
        <f>IF(AND(271&gt;=$NR$19,271&lt;=$NS$19),IF($NP$19="Single_Point",IF(271=$NR$19,$NN$19,0),IF($NP$19="Bell_Curve",$NN$19*(271-$NR$19+1)*($NS$19-271+1)/$NU$19,$NN$19/$NT$19)),0)</f>
        <v/>
      </c>
      <c r="JP19" s="228">
        <f>IF(AND(272&gt;=$NR$19,272&lt;=$NS$19),IF($NP$19="Single_Point",IF(272=$NR$19,$NN$19,0),IF($NP$19="Bell_Curve",$NN$19*(272-$NR$19+1)*($NS$19-272+1)/$NU$19,$NN$19/$NT$19)),0)</f>
        <v/>
      </c>
      <c r="JQ19" s="228">
        <f>IF(AND(273&gt;=$NR$19,273&lt;=$NS$19),IF($NP$19="Single_Point",IF(273=$NR$19,$NN$19,0),IF($NP$19="Bell_Curve",$NN$19*(273-$NR$19+1)*($NS$19-273+1)/$NU$19,$NN$19/$NT$19)),0)</f>
        <v/>
      </c>
      <c r="JR19" s="228">
        <f>IF(AND(274&gt;=$NR$19,274&lt;=$NS$19),IF($NP$19="Single_Point",IF(274=$NR$19,$NN$19,0),IF($NP$19="Bell_Curve",$NN$19*(274-$NR$19+1)*($NS$19-274+1)/$NU$19,$NN$19/$NT$19)),0)</f>
        <v/>
      </c>
      <c r="JS19" s="228">
        <f>IF(AND(275&gt;=$NR$19,275&lt;=$NS$19),IF($NP$19="Single_Point",IF(275=$NR$19,$NN$19,0),IF($NP$19="Bell_Curve",$NN$19*(275-$NR$19+1)*($NS$19-275+1)/$NU$19,$NN$19/$NT$19)),0)</f>
        <v/>
      </c>
      <c r="JT19" s="228">
        <f>IF(AND(276&gt;=$NR$19,276&lt;=$NS$19),IF($NP$19="Single_Point",IF(276=$NR$19,$NN$19,0),IF($NP$19="Bell_Curve",$NN$19*(276-$NR$19+1)*($NS$19-276+1)/$NU$19,$NN$19/$NT$19)),0)</f>
        <v/>
      </c>
      <c r="JU19" s="228">
        <f>IF(AND(277&gt;=$NR$19,277&lt;=$NS$19),IF($NP$19="Single_Point",IF(277=$NR$19,$NN$19,0),IF($NP$19="Bell_Curve",$NN$19*(277-$NR$19+1)*($NS$19-277+1)/$NU$19,$NN$19/$NT$19)),0)</f>
        <v/>
      </c>
      <c r="JV19" s="228">
        <f>IF(AND(278&gt;=$NR$19,278&lt;=$NS$19),IF($NP$19="Single_Point",IF(278=$NR$19,$NN$19,0),IF($NP$19="Bell_Curve",$NN$19*(278-$NR$19+1)*($NS$19-278+1)/$NU$19,$NN$19/$NT$19)),0)</f>
        <v/>
      </c>
      <c r="JW19" s="228">
        <f>IF(AND(279&gt;=$NR$19,279&lt;=$NS$19),IF($NP$19="Single_Point",IF(279=$NR$19,$NN$19,0),IF($NP$19="Bell_Curve",$NN$19*(279-$NR$19+1)*($NS$19-279+1)/$NU$19,$NN$19/$NT$19)),0)</f>
        <v/>
      </c>
      <c r="JX19" s="228">
        <f>IF(AND(280&gt;=$NR$19,280&lt;=$NS$19),IF($NP$19="Single_Point",IF(280=$NR$19,$NN$19,0),IF($NP$19="Bell_Curve",$NN$19*(280-$NR$19+1)*($NS$19-280+1)/$NU$19,$NN$19/$NT$19)),0)</f>
        <v/>
      </c>
      <c r="JY19" s="228">
        <f>IF(AND(281&gt;=$NR$19,281&lt;=$NS$19),IF($NP$19="Single_Point",IF(281=$NR$19,$NN$19,0),IF($NP$19="Bell_Curve",$NN$19*(281-$NR$19+1)*($NS$19-281+1)/$NU$19,$NN$19/$NT$19)),0)</f>
        <v/>
      </c>
      <c r="JZ19" s="228">
        <f>IF(AND(282&gt;=$NR$19,282&lt;=$NS$19),IF($NP$19="Single_Point",IF(282=$NR$19,$NN$19,0),IF($NP$19="Bell_Curve",$NN$19*(282-$NR$19+1)*($NS$19-282+1)/$NU$19,$NN$19/$NT$19)),0)</f>
        <v/>
      </c>
      <c r="KA19" s="228">
        <f>IF(AND(283&gt;=$NR$19,283&lt;=$NS$19),IF($NP$19="Single_Point",IF(283=$NR$19,$NN$19,0),IF($NP$19="Bell_Curve",$NN$19*(283-$NR$19+1)*($NS$19-283+1)/$NU$19,$NN$19/$NT$19)),0)</f>
        <v/>
      </c>
      <c r="KB19" s="228">
        <f>IF(AND(284&gt;=$NR$19,284&lt;=$NS$19),IF($NP$19="Single_Point",IF(284=$NR$19,$NN$19,0),IF($NP$19="Bell_Curve",$NN$19*(284-$NR$19+1)*($NS$19-284+1)/$NU$19,$NN$19/$NT$19)),0)</f>
        <v/>
      </c>
      <c r="KC19" s="228">
        <f>IF(AND(285&gt;=$NR$19,285&lt;=$NS$19),IF($NP$19="Single_Point",IF(285=$NR$19,$NN$19,0),IF($NP$19="Bell_Curve",$NN$19*(285-$NR$19+1)*($NS$19-285+1)/$NU$19,$NN$19/$NT$19)),0)</f>
        <v/>
      </c>
      <c r="KD19" s="228">
        <f>IF(AND(286&gt;=$NR$19,286&lt;=$NS$19),IF($NP$19="Single_Point",IF(286=$NR$19,$NN$19,0),IF($NP$19="Bell_Curve",$NN$19*(286-$NR$19+1)*($NS$19-286+1)/$NU$19,$NN$19/$NT$19)),0)</f>
        <v/>
      </c>
      <c r="KE19" s="228">
        <f>IF(AND(287&gt;=$NR$19,287&lt;=$NS$19),IF($NP$19="Single_Point",IF(287=$NR$19,$NN$19,0),IF($NP$19="Bell_Curve",$NN$19*(287-$NR$19+1)*($NS$19-287+1)/$NU$19,$NN$19/$NT$19)),0)</f>
        <v/>
      </c>
      <c r="KF19" s="228">
        <f>IF(AND(288&gt;=$NR$19,288&lt;=$NS$19),IF($NP$19="Single_Point",IF(288=$NR$19,$NN$19,0),IF($NP$19="Bell_Curve",$NN$19*(288-$NR$19+1)*($NS$19-288+1)/$NU$19,$NN$19/$NT$19)),0)</f>
        <v/>
      </c>
      <c r="KG19" s="228">
        <f>IF(AND(289&gt;=$NR$19,289&lt;=$NS$19),IF($NP$19="Single_Point",IF(289=$NR$19,$NN$19,0),IF($NP$19="Bell_Curve",$NN$19*(289-$NR$19+1)*($NS$19-289+1)/$NU$19,$NN$19/$NT$19)),0)</f>
        <v/>
      </c>
      <c r="KH19" s="228">
        <f>IF(AND(290&gt;=$NR$19,290&lt;=$NS$19),IF($NP$19="Single_Point",IF(290=$NR$19,$NN$19,0),IF($NP$19="Bell_Curve",$NN$19*(290-$NR$19+1)*($NS$19-290+1)/$NU$19,$NN$19/$NT$19)),0)</f>
        <v/>
      </c>
      <c r="KI19" s="228">
        <f>IF(AND(291&gt;=$NR$19,291&lt;=$NS$19),IF($NP$19="Single_Point",IF(291=$NR$19,$NN$19,0),IF($NP$19="Bell_Curve",$NN$19*(291-$NR$19+1)*($NS$19-291+1)/$NU$19,$NN$19/$NT$19)),0)</f>
        <v/>
      </c>
      <c r="KJ19" s="228">
        <f>IF(AND(292&gt;=$NR$19,292&lt;=$NS$19),IF($NP$19="Single_Point",IF(292=$NR$19,$NN$19,0),IF($NP$19="Bell_Curve",$NN$19*(292-$NR$19+1)*($NS$19-292+1)/$NU$19,$NN$19/$NT$19)),0)</f>
        <v/>
      </c>
      <c r="KK19" s="228">
        <f>IF(AND(293&gt;=$NR$19,293&lt;=$NS$19),IF($NP$19="Single_Point",IF(293=$NR$19,$NN$19,0),IF($NP$19="Bell_Curve",$NN$19*(293-$NR$19+1)*($NS$19-293+1)/$NU$19,$NN$19/$NT$19)),0)</f>
        <v/>
      </c>
      <c r="KL19" s="228">
        <f>IF(AND(294&gt;=$NR$19,294&lt;=$NS$19),IF($NP$19="Single_Point",IF(294=$NR$19,$NN$19,0),IF($NP$19="Bell_Curve",$NN$19*(294-$NR$19+1)*($NS$19-294+1)/$NU$19,$NN$19/$NT$19)),0)</f>
        <v/>
      </c>
      <c r="KM19" s="228">
        <f>IF(AND(295&gt;=$NR$19,295&lt;=$NS$19),IF($NP$19="Single_Point",IF(295=$NR$19,$NN$19,0),IF($NP$19="Bell_Curve",$NN$19*(295-$NR$19+1)*($NS$19-295+1)/$NU$19,$NN$19/$NT$19)),0)</f>
        <v/>
      </c>
      <c r="KN19" s="228">
        <f>IF(AND(296&gt;=$NR$19,296&lt;=$NS$19),IF($NP$19="Single_Point",IF(296=$NR$19,$NN$19,0),IF($NP$19="Bell_Curve",$NN$19*(296-$NR$19+1)*($NS$19-296+1)/$NU$19,$NN$19/$NT$19)),0)</f>
        <v/>
      </c>
      <c r="KO19" s="228">
        <f>IF(AND(297&gt;=$NR$19,297&lt;=$NS$19),IF($NP$19="Single_Point",IF(297=$NR$19,$NN$19,0),IF($NP$19="Bell_Curve",$NN$19*(297-$NR$19+1)*($NS$19-297+1)/$NU$19,$NN$19/$NT$19)),0)</f>
        <v/>
      </c>
      <c r="KP19" s="228">
        <f>IF(AND(298&gt;=$NR$19,298&lt;=$NS$19),IF($NP$19="Single_Point",IF(298=$NR$19,$NN$19,0),IF($NP$19="Bell_Curve",$NN$19*(298-$NR$19+1)*($NS$19-298+1)/$NU$19,$NN$19/$NT$19)),0)</f>
        <v/>
      </c>
      <c r="KQ19" s="228">
        <f>IF(AND(299&gt;=$NR$19,299&lt;=$NS$19),IF($NP$19="Single_Point",IF(299=$NR$19,$NN$19,0),IF($NP$19="Bell_Curve",$NN$19*(299-$NR$19+1)*($NS$19-299+1)/$NU$19,$NN$19/$NT$19)),0)</f>
        <v/>
      </c>
      <c r="KR19" s="228">
        <f>IF(AND(300&gt;=$NR$19,300&lt;=$NS$19),IF($NP$19="Single_Point",IF(300=$NR$19,$NN$19,0),IF($NP$19="Bell_Curve",$NN$19*(300-$NR$19+1)*($NS$19-300+1)/$NU$19,$NN$19/$NT$19)),0)</f>
        <v/>
      </c>
      <c r="KS19" s="228">
        <f>IF(AND(301&gt;=$NR$19,301&lt;=$NS$19),IF($NP$19="Single_Point",IF(301=$NR$19,$NN$19,0),IF($NP$19="Bell_Curve",$NN$19*(301-$NR$19+1)*($NS$19-301+1)/$NU$19,$NN$19/$NT$19)),0)</f>
        <v/>
      </c>
      <c r="KT19" s="228">
        <f>IF(AND(302&gt;=$NR$19,302&lt;=$NS$19),IF($NP$19="Single_Point",IF(302=$NR$19,$NN$19,0),IF($NP$19="Bell_Curve",$NN$19*(302-$NR$19+1)*($NS$19-302+1)/$NU$19,$NN$19/$NT$19)),0)</f>
        <v/>
      </c>
      <c r="KU19" s="228">
        <f>IF(AND(303&gt;=$NR$19,303&lt;=$NS$19),IF($NP$19="Single_Point",IF(303=$NR$19,$NN$19,0),IF($NP$19="Bell_Curve",$NN$19*(303-$NR$19+1)*($NS$19-303+1)/$NU$19,$NN$19/$NT$19)),0)</f>
        <v/>
      </c>
      <c r="KV19" s="228">
        <f>IF(AND(304&gt;=$NR$19,304&lt;=$NS$19),IF($NP$19="Single_Point",IF(304=$NR$19,$NN$19,0),IF($NP$19="Bell_Curve",$NN$19*(304-$NR$19+1)*($NS$19-304+1)/$NU$19,$NN$19/$NT$19)),0)</f>
        <v/>
      </c>
      <c r="KW19" s="228">
        <f>IF(AND(305&gt;=$NR$19,305&lt;=$NS$19),IF($NP$19="Single_Point",IF(305=$NR$19,$NN$19,0),IF($NP$19="Bell_Curve",$NN$19*(305-$NR$19+1)*($NS$19-305+1)/$NU$19,$NN$19/$NT$19)),0)</f>
        <v/>
      </c>
      <c r="KX19" s="228">
        <f>IF(AND(306&gt;=$NR$19,306&lt;=$NS$19),IF($NP$19="Single_Point",IF(306=$NR$19,$NN$19,0),IF($NP$19="Bell_Curve",$NN$19*(306-$NR$19+1)*($NS$19-306+1)/$NU$19,$NN$19/$NT$19)),0)</f>
        <v/>
      </c>
      <c r="KY19" s="228">
        <f>IF(AND(307&gt;=$NR$19,307&lt;=$NS$19),IF($NP$19="Single_Point",IF(307=$NR$19,$NN$19,0),IF($NP$19="Bell_Curve",$NN$19*(307-$NR$19+1)*($NS$19-307+1)/$NU$19,$NN$19/$NT$19)),0)</f>
        <v/>
      </c>
      <c r="KZ19" s="228">
        <f>IF(AND(308&gt;=$NR$19,308&lt;=$NS$19),IF($NP$19="Single_Point",IF(308=$NR$19,$NN$19,0),IF($NP$19="Bell_Curve",$NN$19*(308-$NR$19+1)*($NS$19-308+1)/$NU$19,$NN$19/$NT$19)),0)</f>
        <v/>
      </c>
      <c r="LA19" s="228">
        <f>IF(AND(309&gt;=$NR$19,309&lt;=$NS$19),IF($NP$19="Single_Point",IF(309=$NR$19,$NN$19,0),IF($NP$19="Bell_Curve",$NN$19*(309-$NR$19+1)*($NS$19-309+1)/$NU$19,$NN$19/$NT$19)),0)</f>
        <v/>
      </c>
      <c r="LB19" s="228">
        <f>IF(AND(310&gt;=$NR$19,310&lt;=$NS$19),IF($NP$19="Single_Point",IF(310=$NR$19,$NN$19,0),IF($NP$19="Bell_Curve",$NN$19*(310-$NR$19+1)*($NS$19-310+1)/$NU$19,$NN$19/$NT$19)),0)</f>
        <v/>
      </c>
      <c r="LC19" s="228">
        <f>IF(AND(311&gt;=$NR$19,311&lt;=$NS$19),IF($NP$19="Single_Point",IF(311=$NR$19,$NN$19,0),IF($NP$19="Bell_Curve",$NN$19*(311-$NR$19+1)*($NS$19-311+1)/$NU$19,$NN$19/$NT$19)),0)</f>
        <v/>
      </c>
      <c r="LD19" s="228">
        <f>IF(AND(312&gt;=$NR$19,312&lt;=$NS$19),IF($NP$19="Single_Point",IF(312=$NR$19,$NN$19,0),IF($NP$19="Bell_Curve",$NN$19*(312-$NR$19+1)*($NS$19-312+1)/$NU$19,$NN$19/$NT$19)),0)</f>
        <v/>
      </c>
      <c r="LE19" s="228">
        <f>IF(AND(313&gt;=$NR$19,313&lt;=$NS$19),IF($NP$19="Single_Point",IF(313=$NR$19,$NN$19,0),IF($NP$19="Bell_Curve",$NN$19*(313-$NR$19+1)*($NS$19-313+1)/$NU$19,$NN$19/$NT$19)),0)</f>
        <v/>
      </c>
      <c r="LF19" s="228">
        <f>IF(AND(314&gt;=$NR$19,314&lt;=$NS$19),IF($NP$19="Single_Point",IF(314=$NR$19,$NN$19,0),IF($NP$19="Bell_Curve",$NN$19*(314-$NR$19+1)*($NS$19-314+1)/$NU$19,$NN$19/$NT$19)),0)</f>
        <v/>
      </c>
      <c r="LG19" s="228">
        <f>IF(AND(315&gt;=$NR$19,315&lt;=$NS$19),IF($NP$19="Single_Point",IF(315=$NR$19,$NN$19,0),IF($NP$19="Bell_Curve",$NN$19*(315-$NR$19+1)*($NS$19-315+1)/$NU$19,$NN$19/$NT$19)),0)</f>
        <v/>
      </c>
      <c r="LH19" s="228">
        <f>IF(AND(316&gt;=$NR$19,316&lt;=$NS$19),IF($NP$19="Single_Point",IF(316=$NR$19,$NN$19,0),IF($NP$19="Bell_Curve",$NN$19*(316-$NR$19+1)*($NS$19-316+1)/$NU$19,$NN$19/$NT$19)),0)</f>
        <v/>
      </c>
      <c r="LI19" s="228">
        <f>IF(AND(317&gt;=$NR$19,317&lt;=$NS$19),IF($NP$19="Single_Point",IF(317=$NR$19,$NN$19,0),IF($NP$19="Bell_Curve",$NN$19*(317-$NR$19+1)*($NS$19-317+1)/$NU$19,$NN$19/$NT$19)),0)</f>
        <v/>
      </c>
      <c r="LJ19" s="228">
        <f>IF(AND(318&gt;=$NR$19,318&lt;=$NS$19),IF($NP$19="Single_Point",IF(318=$NR$19,$NN$19,0),IF($NP$19="Bell_Curve",$NN$19*(318-$NR$19+1)*($NS$19-318+1)/$NU$19,$NN$19/$NT$19)),0)</f>
        <v/>
      </c>
      <c r="LK19" s="228">
        <f>IF(AND(319&gt;=$NR$19,319&lt;=$NS$19),IF($NP$19="Single_Point",IF(319=$NR$19,$NN$19,0),IF($NP$19="Bell_Curve",$NN$19*(319-$NR$19+1)*($NS$19-319+1)/$NU$19,$NN$19/$NT$19)),0)</f>
        <v/>
      </c>
      <c r="LL19" s="228">
        <f>IF(AND(320&gt;=$NR$19,320&lt;=$NS$19),IF($NP$19="Single_Point",IF(320=$NR$19,$NN$19,0),IF($NP$19="Bell_Curve",$NN$19*(320-$NR$19+1)*($NS$19-320+1)/$NU$19,$NN$19/$NT$19)),0)</f>
        <v/>
      </c>
      <c r="LM19" s="228">
        <f>IF(AND(321&gt;=$NR$19,321&lt;=$NS$19),IF($NP$19="Single_Point",IF(321=$NR$19,$NN$19,0),IF($NP$19="Bell_Curve",$NN$19*(321-$NR$19+1)*($NS$19-321+1)/$NU$19,$NN$19/$NT$19)),0)</f>
        <v/>
      </c>
      <c r="LN19" s="228">
        <f>IF(AND(322&gt;=$NR$19,322&lt;=$NS$19),IF($NP$19="Single_Point",IF(322=$NR$19,$NN$19,0),IF($NP$19="Bell_Curve",$NN$19*(322-$NR$19+1)*($NS$19-322+1)/$NU$19,$NN$19/$NT$19)),0)</f>
        <v/>
      </c>
      <c r="LO19" s="228">
        <f>IF(AND(323&gt;=$NR$19,323&lt;=$NS$19),IF($NP$19="Single_Point",IF(323=$NR$19,$NN$19,0),IF($NP$19="Bell_Curve",$NN$19*(323-$NR$19+1)*($NS$19-323+1)/$NU$19,$NN$19/$NT$19)),0)</f>
        <v/>
      </c>
      <c r="LP19" s="228">
        <f>IF(AND(324&gt;=$NR$19,324&lt;=$NS$19),IF($NP$19="Single_Point",IF(324=$NR$19,$NN$19,0),IF($NP$19="Bell_Curve",$NN$19*(324-$NR$19+1)*($NS$19-324+1)/$NU$19,$NN$19/$NT$19)),0)</f>
        <v/>
      </c>
      <c r="LQ19" s="228">
        <f>IF(AND(325&gt;=$NR$19,325&lt;=$NS$19),IF($NP$19="Single_Point",IF(325=$NR$19,$NN$19,0),IF($NP$19="Bell_Curve",$NN$19*(325-$NR$19+1)*($NS$19-325+1)/$NU$19,$NN$19/$NT$19)),0)</f>
        <v/>
      </c>
      <c r="LR19" s="228">
        <f>IF(AND(326&gt;=$NR$19,326&lt;=$NS$19),IF($NP$19="Single_Point",IF(326=$NR$19,$NN$19,0),IF($NP$19="Bell_Curve",$NN$19*(326-$NR$19+1)*($NS$19-326+1)/$NU$19,$NN$19/$NT$19)),0)</f>
        <v/>
      </c>
      <c r="LS19" s="228">
        <f>IF(AND(327&gt;=$NR$19,327&lt;=$NS$19),IF($NP$19="Single_Point",IF(327=$NR$19,$NN$19,0),IF($NP$19="Bell_Curve",$NN$19*(327-$NR$19+1)*($NS$19-327+1)/$NU$19,$NN$19/$NT$19)),0)</f>
        <v/>
      </c>
      <c r="LT19" s="228">
        <f>IF(AND(328&gt;=$NR$19,328&lt;=$NS$19),IF($NP$19="Single_Point",IF(328=$NR$19,$NN$19,0),IF($NP$19="Bell_Curve",$NN$19*(328-$NR$19+1)*($NS$19-328+1)/$NU$19,$NN$19/$NT$19)),0)</f>
        <v/>
      </c>
      <c r="LU19" s="228">
        <f>IF(AND(329&gt;=$NR$19,329&lt;=$NS$19),IF($NP$19="Single_Point",IF(329=$NR$19,$NN$19,0),IF($NP$19="Bell_Curve",$NN$19*(329-$NR$19+1)*($NS$19-329+1)/$NU$19,$NN$19/$NT$19)),0)</f>
        <v/>
      </c>
      <c r="LV19" s="228">
        <f>IF(AND(330&gt;=$NR$19,330&lt;=$NS$19),IF($NP$19="Single_Point",IF(330=$NR$19,$NN$19,0),IF($NP$19="Bell_Curve",$NN$19*(330-$NR$19+1)*($NS$19-330+1)/$NU$19,$NN$19/$NT$19)),0)</f>
        <v/>
      </c>
      <c r="LW19" s="228">
        <f>IF(AND(331&gt;=$NR$19,331&lt;=$NS$19),IF($NP$19="Single_Point",IF(331=$NR$19,$NN$19,0),IF($NP$19="Bell_Curve",$NN$19*(331-$NR$19+1)*($NS$19-331+1)/$NU$19,$NN$19/$NT$19)),0)</f>
        <v/>
      </c>
      <c r="LX19" s="228">
        <f>IF(AND(332&gt;=$NR$19,332&lt;=$NS$19),IF($NP$19="Single_Point",IF(332=$NR$19,$NN$19,0),IF($NP$19="Bell_Curve",$NN$19*(332-$NR$19+1)*($NS$19-332+1)/$NU$19,$NN$19/$NT$19)),0)</f>
        <v/>
      </c>
      <c r="LY19" s="228">
        <f>IF(AND(333&gt;=$NR$19,333&lt;=$NS$19),IF($NP$19="Single_Point",IF(333=$NR$19,$NN$19,0),IF($NP$19="Bell_Curve",$NN$19*(333-$NR$19+1)*($NS$19-333+1)/$NU$19,$NN$19/$NT$19)),0)</f>
        <v/>
      </c>
      <c r="LZ19" s="228">
        <f>IF(AND(334&gt;=$NR$19,334&lt;=$NS$19),IF($NP$19="Single_Point",IF(334=$NR$19,$NN$19,0),IF($NP$19="Bell_Curve",$NN$19*(334-$NR$19+1)*($NS$19-334+1)/$NU$19,$NN$19/$NT$19)),0)</f>
        <v/>
      </c>
      <c r="MA19" s="228">
        <f>IF(AND(335&gt;=$NR$19,335&lt;=$NS$19),IF($NP$19="Single_Point",IF(335=$NR$19,$NN$19,0),IF($NP$19="Bell_Curve",$NN$19*(335-$NR$19+1)*($NS$19-335+1)/$NU$19,$NN$19/$NT$19)),0)</f>
        <v/>
      </c>
      <c r="MB19" s="228">
        <f>IF(AND(336&gt;=$NR$19,336&lt;=$NS$19),IF($NP$19="Single_Point",IF(336=$NR$19,$NN$19,0),IF($NP$19="Bell_Curve",$NN$19*(336-$NR$19+1)*($NS$19-336+1)/$NU$19,$NN$19/$NT$19)),0)</f>
        <v/>
      </c>
      <c r="MC19" s="228">
        <f>IF(AND(337&gt;=$NR$19,337&lt;=$NS$19),IF($NP$19="Single_Point",IF(337=$NR$19,$NN$19,0),IF($NP$19="Bell_Curve",$NN$19*(337-$NR$19+1)*($NS$19-337+1)/$NU$19,$NN$19/$NT$19)),0)</f>
        <v/>
      </c>
      <c r="MD19" s="228">
        <f>IF(AND(338&gt;=$NR$19,338&lt;=$NS$19),IF($NP$19="Single_Point",IF(338=$NR$19,$NN$19,0),IF($NP$19="Bell_Curve",$NN$19*(338-$NR$19+1)*($NS$19-338+1)/$NU$19,$NN$19/$NT$19)),0)</f>
        <v/>
      </c>
      <c r="ME19" s="228">
        <f>IF(AND(339&gt;=$NR$19,339&lt;=$NS$19),IF($NP$19="Single_Point",IF(339=$NR$19,$NN$19,0),IF($NP$19="Bell_Curve",$NN$19*(339-$NR$19+1)*($NS$19-339+1)/$NU$19,$NN$19/$NT$19)),0)</f>
        <v/>
      </c>
      <c r="MF19" s="228">
        <f>IF(AND(340&gt;=$NR$19,340&lt;=$NS$19),IF($NP$19="Single_Point",IF(340=$NR$19,$NN$19,0),IF($NP$19="Bell_Curve",$NN$19*(340-$NR$19+1)*($NS$19-340+1)/$NU$19,$NN$19/$NT$19)),0)</f>
        <v/>
      </c>
      <c r="MG19" s="228">
        <f>IF(AND(341&gt;=$NR$19,341&lt;=$NS$19),IF($NP$19="Single_Point",IF(341=$NR$19,$NN$19,0),IF($NP$19="Bell_Curve",$NN$19*(341-$NR$19+1)*($NS$19-341+1)/$NU$19,$NN$19/$NT$19)),0)</f>
        <v/>
      </c>
      <c r="MH19" s="228">
        <f>IF(AND(342&gt;=$NR$19,342&lt;=$NS$19),IF($NP$19="Single_Point",IF(342=$NR$19,$NN$19,0),IF($NP$19="Bell_Curve",$NN$19*(342-$NR$19+1)*($NS$19-342+1)/$NU$19,$NN$19/$NT$19)),0)</f>
        <v/>
      </c>
      <c r="MI19" s="228">
        <f>IF(AND(343&gt;=$NR$19,343&lt;=$NS$19),IF($NP$19="Single_Point",IF(343=$NR$19,$NN$19,0),IF($NP$19="Bell_Curve",$NN$19*(343-$NR$19+1)*($NS$19-343+1)/$NU$19,$NN$19/$NT$19)),0)</f>
        <v/>
      </c>
      <c r="MJ19" s="228">
        <f>IF(AND(344&gt;=$NR$19,344&lt;=$NS$19),IF($NP$19="Single_Point",IF(344=$NR$19,$NN$19,0),IF($NP$19="Bell_Curve",$NN$19*(344-$NR$19+1)*($NS$19-344+1)/$NU$19,$NN$19/$NT$19)),0)</f>
        <v/>
      </c>
      <c r="MK19" s="228">
        <f>IF(AND(345&gt;=$NR$19,345&lt;=$NS$19),IF($NP$19="Single_Point",IF(345=$NR$19,$NN$19,0),IF($NP$19="Bell_Curve",$NN$19*(345-$NR$19+1)*($NS$19-345+1)/$NU$19,$NN$19/$NT$19)),0)</f>
        <v/>
      </c>
      <c r="ML19" s="228">
        <f>IF(AND(346&gt;=$NR$19,346&lt;=$NS$19),IF($NP$19="Single_Point",IF(346=$NR$19,$NN$19,0),IF($NP$19="Bell_Curve",$NN$19*(346-$NR$19+1)*($NS$19-346+1)/$NU$19,$NN$19/$NT$19)),0)</f>
        <v/>
      </c>
      <c r="MM19" s="228">
        <f>IF(AND(347&gt;=$NR$19,347&lt;=$NS$19),IF($NP$19="Single_Point",IF(347=$NR$19,$NN$19,0),IF($NP$19="Bell_Curve",$NN$19*(347-$NR$19+1)*($NS$19-347+1)/$NU$19,$NN$19/$NT$19)),0)</f>
        <v/>
      </c>
      <c r="MN19" s="228">
        <f>IF(AND(348&gt;=$NR$19,348&lt;=$NS$19),IF($NP$19="Single_Point",IF(348=$NR$19,$NN$19,0),IF($NP$19="Bell_Curve",$NN$19*(348-$NR$19+1)*($NS$19-348+1)/$NU$19,$NN$19/$NT$19)),0)</f>
        <v/>
      </c>
      <c r="MO19" s="228">
        <f>IF(AND(349&gt;=$NR$19,349&lt;=$NS$19),IF($NP$19="Single_Point",IF(349=$NR$19,$NN$19,0),IF($NP$19="Bell_Curve",$NN$19*(349-$NR$19+1)*($NS$19-349+1)/$NU$19,$NN$19/$NT$19)),0)</f>
        <v/>
      </c>
      <c r="MP19" s="228">
        <f>IF(AND(350&gt;=$NR$19,350&lt;=$NS$19),IF($NP$19="Single_Point",IF(350=$NR$19,$NN$19,0),IF($NP$19="Bell_Curve",$NN$19*(350-$NR$19+1)*($NS$19-350+1)/$NU$19,$NN$19/$NT$19)),0)</f>
        <v/>
      </c>
      <c r="MQ19" s="228">
        <f>IF(AND(351&gt;=$NR$19,351&lt;=$NS$19),IF($NP$19="Single_Point",IF(351=$NR$19,$NN$19,0),IF($NP$19="Bell_Curve",$NN$19*(351-$NR$19+1)*($NS$19-351+1)/$NU$19,$NN$19/$NT$19)),0)</f>
        <v/>
      </c>
      <c r="MR19" s="228">
        <f>IF(AND(352&gt;=$NR$19,352&lt;=$NS$19),IF($NP$19="Single_Point",IF(352=$NR$19,$NN$19,0),IF($NP$19="Bell_Curve",$NN$19*(352-$NR$19+1)*($NS$19-352+1)/$NU$19,$NN$19/$NT$19)),0)</f>
        <v/>
      </c>
      <c r="MS19" s="228">
        <f>IF(AND(353&gt;=$NR$19,353&lt;=$NS$19),IF($NP$19="Single_Point",IF(353=$NR$19,$NN$19,0),IF($NP$19="Bell_Curve",$NN$19*(353-$NR$19+1)*($NS$19-353+1)/$NU$19,$NN$19/$NT$19)),0)</f>
        <v/>
      </c>
      <c r="MT19" s="228">
        <f>IF(AND(354&gt;=$NR$19,354&lt;=$NS$19),IF($NP$19="Single_Point",IF(354=$NR$19,$NN$19,0),IF($NP$19="Bell_Curve",$NN$19*(354-$NR$19+1)*($NS$19-354+1)/$NU$19,$NN$19/$NT$19)),0)</f>
        <v/>
      </c>
      <c r="MU19" s="228">
        <f>IF(AND(355&gt;=$NR$19,355&lt;=$NS$19),IF($NP$19="Single_Point",IF(355=$NR$19,$NN$19,0),IF($NP$19="Bell_Curve",$NN$19*(355-$NR$19+1)*($NS$19-355+1)/$NU$19,$NN$19/$NT$19)),0)</f>
        <v/>
      </c>
      <c r="MV19" s="228">
        <f>IF(AND(356&gt;=$NR$19,356&lt;=$NS$19),IF($NP$19="Single_Point",IF(356=$NR$19,$NN$19,0),IF($NP$19="Bell_Curve",$NN$19*(356-$NR$19+1)*($NS$19-356+1)/$NU$19,$NN$19/$NT$19)),0)</f>
        <v/>
      </c>
      <c r="MW19" s="228">
        <f>IF(AND(357&gt;=$NR$19,357&lt;=$NS$19),IF($NP$19="Single_Point",IF(357=$NR$19,$NN$19,0),IF($NP$19="Bell_Curve",$NN$19*(357-$NR$19+1)*($NS$19-357+1)/$NU$19,$NN$19/$NT$19)),0)</f>
        <v/>
      </c>
      <c r="MX19" s="228">
        <f>IF(AND(358&gt;=$NR$19,358&lt;=$NS$19),IF($NP$19="Single_Point",IF(358=$NR$19,$NN$19,0),IF($NP$19="Bell_Curve",$NN$19*(358-$NR$19+1)*($NS$19-358+1)/$NU$19,$NN$19/$NT$19)),0)</f>
        <v/>
      </c>
      <c r="MY19" s="228">
        <f>IF(AND(359&gt;=$NR$19,359&lt;=$NS$19),IF($NP$19="Single_Point",IF(359=$NR$19,$NN$19,0),IF($NP$19="Bell_Curve",$NN$19*(359-$NR$19+1)*($NS$19-359+1)/$NU$19,$NN$19/$NT$19)),0)</f>
        <v/>
      </c>
      <c r="MZ19" s="228">
        <f>IF(AND(360&gt;=$NR$19,360&lt;=$NS$19),IF($NP$19="Single_Point",IF(360=$NR$19,$NN$19,0),IF($NP$19="Bell_Curve",$NN$19*(360-$NR$19+1)*($NS$19-360+1)/$NU$19,$NN$19/$NT$19)),0)</f>
        <v/>
      </c>
      <c r="NA19" s="228">
        <f>IF(AND(361&gt;=$NR$19,361&lt;=$NS$19),IF($NP$19="Single_Point",IF(361=$NR$19,$NN$19,0),IF($NP$19="Bell_Curve",$NN$19*(361-$NR$19+1)*($NS$19-361+1)/$NU$19,$NN$19/$NT$19)),0)</f>
        <v/>
      </c>
      <c r="NB19" s="228">
        <f>IF(AND(362&gt;=$NR$19,362&lt;=$NS$19),IF($NP$19="Single_Point",IF(362=$NR$19,$NN$19,0),IF($NP$19="Bell_Curve",$NN$19*(362-$NR$19+1)*($NS$19-362+1)/$NU$19,$NN$19/$NT$19)),0)</f>
        <v/>
      </c>
      <c r="NC19" s="228">
        <f>IF(AND(363&gt;=$NR$19,363&lt;=$NS$19),IF($NP$19="Single_Point",IF(363=$NR$19,$NN$19,0),IF($NP$19="Bell_Curve",$NN$19*(363-$NR$19+1)*($NS$19-363+1)/$NU$19,$NN$19/$NT$19)),0)</f>
        <v/>
      </c>
      <c r="ND19" s="228">
        <f>IF(AND(364&gt;=$NR$19,364&lt;=$NS$19),IF($NP$19="Single_Point",IF(364=$NR$19,$NN$19,0),IF($NP$19="Bell_Curve",$NN$19*(364-$NR$19+1)*($NS$19-364+1)/$NU$19,$NN$19/$NT$19)),0)</f>
        <v/>
      </c>
      <c r="NE19" s="228">
        <f>IF(AND(365&gt;=$NR$19,365&lt;=$NS$19),IF($NP$19="Single_Point",IF(365=$NR$19,$NN$19,0),IF($NP$19="Bell_Curve",$NN$19*(365-$NR$19+1)*($NS$19-365+1)/$NU$19,$NN$19/$NT$19)),0)</f>
        <v/>
      </c>
      <c r="NF19" s="228">
        <f>IF(AND(366&gt;=$NR$19,366&lt;=$NS$19),IF($NP$19="Single_Point",IF(366=$NR$19,$NN$19,0),IF($NP$19="Bell_Curve",$NN$19*(366-$NR$19+1)*($NS$19-366+1)/$NU$19,$NN$19/$NT$19)),0)</f>
        <v/>
      </c>
      <c r="NG19" s="228">
        <f>IF(AND(367&gt;=$NR$19,367&lt;=$NS$19),IF($NP$19="Single_Point",IF(367=$NR$19,$NN$19,0),IF($NP$19="Bell_Curve",$NN$19*(367-$NR$19+1)*($NS$19-367+1)/$NU$19,$NN$19/$NT$19)),0)</f>
        <v/>
      </c>
      <c r="NH19" s="228">
        <f>IF(AND(368&gt;=$NR$19,368&lt;=$NS$19),IF($NP$19="Single_Point",IF(368=$NR$19,$NN$19,0),IF($NP$19="Bell_Curve",$NN$19*(368-$NR$19+1)*($NS$19-368+1)/$NU$19,$NN$19/$NT$19)),0)</f>
        <v/>
      </c>
      <c r="NI19" s="228">
        <f>IF(AND(369&gt;=$NR$19,369&lt;=$NS$19),IF($NP$19="Single_Point",IF(369=$NR$19,$NN$19,0),IF($NP$19="Bell_Curve",$NN$19*(369-$NR$19+1)*($NS$19-369+1)/$NU$19,$NN$19/$NT$19)),0)</f>
        <v/>
      </c>
      <c r="NJ19" s="228">
        <f>IF(AND(370&gt;=$NR$19,370&lt;=$NS$19),IF($NP$19="Single_Point",IF(370=$NR$19,$NN$19,0),IF($NP$19="Bell_Curve",$NN$19*(370-$NR$19+1)*($NS$19-370+1)/$NU$19,$NN$19/$NT$19)),0)</f>
        <v/>
      </c>
      <c r="NK19" s="228">
        <f>IF(AND(371&gt;=$NR$19,371&lt;=$NS$19),IF($NP$19="Single_Point",IF(371=$NR$19,$NN$19,0),IF($NP$19="Bell_Curve",$NN$19*(371-$NR$19+1)*($NS$19-371+1)/$NU$19,$NN$19/$NT$19)),0)</f>
        <v/>
      </c>
      <c r="NL19" s="247">
        <f>IF(AND(372&gt;=$NR$19,372&lt;=$NS$19),IF($NP$19="Single_Point",IF(372=$NR$19,$NN$19,0),IF($NP$19="Bell_Curve",$NN$19*(372-$NR$19+1)*($NS$19-372+1)/$NU$19,$NN$19/$NT$19)),0)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36" t="inlineStr">
        <is>
          <t>GC Fee</t>
        </is>
      </c>
      <c r="D20" s="246">
        <f>SUM(E20:NL20)</f>
        <v/>
      </c>
      <c r="E20" s="228">
        <f>IF(AND(1&gt;=$NR$20,1&lt;=$NS$20),IF($NP$20="Single_Point",IF(1=$NR$20,$NN$20,0),IF($NP$20="Bell_Curve",$NN$20*(1-$NR$20+1)*($NS$20-1+1)/$NU$20,$NN$20/$NT$20)),0)</f>
        <v/>
      </c>
      <c r="F20" s="228">
        <f>IF(AND(2&gt;=$NR$20,2&lt;=$NS$20),IF($NP$20="Single_Point",IF(2=$NR$20,$NN$20,0),IF($NP$20="Bell_Curve",$NN$20*(2-$NR$20+1)*($NS$20-2+1)/$NU$20,$NN$20/$NT$20)),0)</f>
        <v/>
      </c>
      <c r="G20" s="228">
        <f>IF(AND(3&gt;=$NR$20,3&lt;=$NS$20),IF($NP$20="Single_Point",IF(3=$NR$20,$NN$20,0),IF($NP$20="Bell_Curve",$NN$20*(3-$NR$20+1)*($NS$20-3+1)/$NU$20,$NN$20/$NT$20)),0)</f>
        <v/>
      </c>
      <c r="H20" s="228">
        <f>IF(AND(4&gt;=$NR$20,4&lt;=$NS$20),IF($NP$20="Single_Point",IF(4=$NR$20,$NN$20,0),IF($NP$20="Bell_Curve",$NN$20*(4-$NR$20+1)*($NS$20-4+1)/$NU$20,$NN$20/$NT$20)),0)</f>
        <v/>
      </c>
      <c r="I20" s="228">
        <f>IF(AND(5&gt;=$NR$20,5&lt;=$NS$20),IF($NP$20="Single_Point",IF(5=$NR$20,$NN$20,0),IF($NP$20="Bell_Curve",$NN$20*(5-$NR$20+1)*($NS$20-5+1)/$NU$20,$NN$20/$NT$20)),0)</f>
        <v/>
      </c>
      <c r="J20" s="228">
        <f>IF(AND(6&gt;=$NR$20,6&lt;=$NS$20),IF($NP$20="Single_Point",IF(6=$NR$20,$NN$20,0),IF($NP$20="Bell_Curve",$NN$20*(6-$NR$20+1)*($NS$20-6+1)/$NU$20,$NN$20/$NT$20)),0)</f>
        <v/>
      </c>
      <c r="K20" s="228">
        <f>IF(AND(7&gt;=$NR$20,7&lt;=$NS$20),IF($NP$20="Single_Point",IF(7=$NR$20,$NN$20,0),IF($NP$20="Bell_Curve",$NN$20*(7-$NR$20+1)*($NS$20-7+1)/$NU$20,$NN$20/$NT$20)),0)</f>
        <v/>
      </c>
      <c r="L20" s="228">
        <f>IF(AND(8&gt;=$NR$20,8&lt;=$NS$20),IF($NP$20="Single_Point",IF(8=$NR$20,$NN$20,0),IF($NP$20="Bell_Curve",$NN$20*(8-$NR$20+1)*($NS$20-8+1)/$NU$20,$NN$20/$NT$20)),0)</f>
        <v/>
      </c>
      <c r="M20" s="228">
        <f>IF(AND(9&gt;=$NR$20,9&lt;=$NS$20),IF($NP$20="Single_Point",IF(9=$NR$20,$NN$20,0),IF($NP$20="Bell_Curve",$NN$20*(9-$NR$20+1)*($NS$20-9+1)/$NU$20,$NN$20/$NT$20)),0)</f>
        <v/>
      </c>
      <c r="N20" s="228">
        <f>IF(AND(10&gt;=$NR$20,10&lt;=$NS$20),IF($NP$20="Single_Point",IF(10=$NR$20,$NN$20,0),IF($NP$20="Bell_Curve",$NN$20*(10-$NR$20+1)*($NS$20-10+1)/$NU$20,$NN$20/$NT$20)),0)</f>
        <v/>
      </c>
      <c r="O20" s="228">
        <f>IF(AND(11&gt;=$NR$20,11&lt;=$NS$20),IF($NP$20="Single_Point",IF(11=$NR$20,$NN$20,0),IF($NP$20="Bell_Curve",$NN$20*(11-$NR$20+1)*($NS$20-11+1)/$NU$20,$NN$20/$NT$20)),0)</f>
        <v/>
      </c>
      <c r="P20" s="228">
        <f>IF(AND(12&gt;=$NR$20,12&lt;=$NS$20),IF($NP$20="Single_Point",IF(12=$NR$20,$NN$20,0),IF($NP$20="Bell_Curve",$NN$20*(12-$NR$20+1)*($NS$20-12+1)/$NU$20,$NN$20/$NT$20)),0)</f>
        <v/>
      </c>
      <c r="Q20" s="228">
        <f>IF(AND(13&gt;=$NR$20,13&lt;=$NS$20),IF($NP$20="Single_Point",IF(13=$NR$20,$NN$20,0),IF($NP$20="Bell_Curve",$NN$20*(13-$NR$20+1)*($NS$20-13+1)/$NU$20,$NN$20/$NT$20)),0)</f>
        <v/>
      </c>
      <c r="R20" s="228">
        <f>IF(AND(14&gt;=$NR$20,14&lt;=$NS$20),IF($NP$20="Single_Point",IF(14=$NR$20,$NN$20,0),IF($NP$20="Bell_Curve",$NN$20*(14-$NR$20+1)*($NS$20-14+1)/$NU$20,$NN$20/$NT$20)),0)</f>
        <v/>
      </c>
      <c r="S20" s="228">
        <f>IF(AND(15&gt;=$NR$20,15&lt;=$NS$20),IF($NP$20="Single_Point",IF(15=$NR$20,$NN$20,0),IF($NP$20="Bell_Curve",$NN$20*(15-$NR$20+1)*($NS$20-15+1)/$NU$20,$NN$20/$NT$20)),0)</f>
        <v/>
      </c>
      <c r="T20" s="228">
        <f>IF(AND(16&gt;=$NR$20,16&lt;=$NS$20),IF($NP$20="Single_Point",IF(16=$NR$20,$NN$20,0),IF($NP$20="Bell_Curve",$NN$20*(16-$NR$20+1)*($NS$20-16+1)/$NU$20,$NN$20/$NT$20)),0)</f>
        <v/>
      </c>
      <c r="U20" s="228">
        <f>IF(AND(17&gt;=$NR$20,17&lt;=$NS$20),IF($NP$20="Single_Point",IF(17=$NR$20,$NN$20,0),IF($NP$20="Bell_Curve",$NN$20*(17-$NR$20+1)*($NS$20-17+1)/$NU$20,$NN$20/$NT$20)),0)</f>
        <v/>
      </c>
      <c r="V20" s="228">
        <f>IF(AND(18&gt;=$NR$20,18&lt;=$NS$20),IF($NP$20="Single_Point",IF(18=$NR$20,$NN$20,0),IF($NP$20="Bell_Curve",$NN$20*(18-$NR$20+1)*($NS$20-18+1)/$NU$20,$NN$20/$NT$20)),0)</f>
        <v/>
      </c>
      <c r="W20" s="228">
        <f>IF(AND(19&gt;=$NR$20,19&lt;=$NS$20),IF($NP$20="Single_Point",IF(19=$NR$20,$NN$20,0),IF($NP$20="Bell_Curve",$NN$20*(19-$NR$20+1)*($NS$20-19+1)/$NU$20,$NN$20/$NT$20)),0)</f>
        <v/>
      </c>
      <c r="X20" s="228">
        <f>IF(AND(20&gt;=$NR$20,20&lt;=$NS$20),IF($NP$20="Single_Point",IF(20=$NR$20,$NN$20,0),IF($NP$20="Bell_Curve",$NN$20*(20-$NR$20+1)*($NS$20-20+1)/$NU$20,$NN$20/$NT$20)),0)</f>
        <v/>
      </c>
      <c r="Y20" s="228">
        <f>IF(AND(21&gt;=$NR$20,21&lt;=$NS$20),IF($NP$20="Single_Point",IF(21=$NR$20,$NN$20,0),IF($NP$20="Bell_Curve",$NN$20*(21-$NR$20+1)*($NS$20-21+1)/$NU$20,$NN$20/$NT$20)),0)</f>
        <v/>
      </c>
      <c r="Z20" s="228">
        <f>IF(AND(22&gt;=$NR$20,22&lt;=$NS$20),IF($NP$20="Single_Point",IF(22=$NR$20,$NN$20,0),IF($NP$20="Bell_Curve",$NN$20*(22-$NR$20+1)*($NS$20-22+1)/$NU$20,$NN$20/$NT$20)),0)</f>
        <v/>
      </c>
      <c r="AA20" s="228">
        <f>IF(AND(23&gt;=$NR$20,23&lt;=$NS$20),IF($NP$20="Single_Point",IF(23=$NR$20,$NN$20,0),IF($NP$20="Bell_Curve",$NN$20*(23-$NR$20+1)*($NS$20-23+1)/$NU$20,$NN$20/$NT$20)),0)</f>
        <v/>
      </c>
      <c r="AB20" s="228">
        <f>IF(AND(24&gt;=$NR$20,24&lt;=$NS$20),IF($NP$20="Single_Point",IF(24=$NR$20,$NN$20,0),IF($NP$20="Bell_Curve",$NN$20*(24-$NR$20+1)*($NS$20-24+1)/$NU$20,$NN$20/$NT$20)),0)</f>
        <v/>
      </c>
      <c r="AC20" s="228">
        <f>IF(AND(25&gt;=$NR$20,25&lt;=$NS$20),IF($NP$20="Single_Point",IF(25=$NR$20,$NN$20,0),IF($NP$20="Bell_Curve",$NN$20*(25-$NR$20+1)*($NS$20-25+1)/$NU$20,$NN$20/$NT$20)),0)</f>
        <v/>
      </c>
      <c r="AD20" s="228">
        <f>IF(AND(26&gt;=$NR$20,26&lt;=$NS$20),IF($NP$20="Single_Point",IF(26=$NR$20,$NN$20,0),IF($NP$20="Bell_Curve",$NN$20*(26-$NR$20+1)*($NS$20-26+1)/$NU$20,$NN$20/$NT$20)),0)</f>
        <v/>
      </c>
      <c r="AE20" s="228">
        <f>IF(AND(27&gt;=$NR$20,27&lt;=$NS$20),IF($NP$20="Single_Point",IF(27=$NR$20,$NN$20,0),IF($NP$20="Bell_Curve",$NN$20*(27-$NR$20+1)*($NS$20-27+1)/$NU$20,$NN$20/$NT$20)),0)</f>
        <v/>
      </c>
      <c r="AF20" s="228">
        <f>IF(AND(28&gt;=$NR$20,28&lt;=$NS$20),IF($NP$20="Single_Point",IF(28=$NR$20,$NN$20,0),IF($NP$20="Bell_Curve",$NN$20*(28-$NR$20+1)*($NS$20-28+1)/$NU$20,$NN$20/$NT$20)),0)</f>
        <v/>
      </c>
      <c r="AG20" s="228">
        <f>IF(AND(29&gt;=$NR$20,29&lt;=$NS$20),IF($NP$20="Single_Point",IF(29=$NR$20,$NN$20,0),IF($NP$20="Bell_Curve",$NN$20*(29-$NR$20+1)*($NS$20-29+1)/$NU$20,$NN$20/$NT$20)),0)</f>
        <v/>
      </c>
      <c r="AH20" s="228">
        <f>IF(AND(30&gt;=$NR$20,30&lt;=$NS$20),IF($NP$20="Single_Point",IF(30=$NR$20,$NN$20,0),IF($NP$20="Bell_Curve",$NN$20*(30-$NR$20+1)*($NS$20-30+1)/$NU$20,$NN$20/$NT$20)),0)</f>
        <v/>
      </c>
      <c r="AI20" s="228">
        <f>IF(AND(31&gt;=$NR$20,31&lt;=$NS$20),IF($NP$20="Single_Point",IF(31=$NR$20,$NN$20,0),IF($NP$20="Bell_Curve",$NN$20*(31-$NR$20+1)*($NS$20-31+1)/$NU$20,$NN$20/$NT$20)),0)</f>
        <v/>
      </c>
      <c r="AJ20" s="228">
        <f>IF(AND(32&gt;=$NR$20,32&lt;=$NS$20),IF($NP$20="Single_Point",IF(32=$NR$20,$NN$20,0),IF($NP$20="Bell_Curve",$NN$20*(32-$NR$20+1)*($NS$20-32+1)/$NU$20,$NN$20/$NT$20)),0)</f>
        <v/>
      </c>
      <c r="AK20" s="228">
        <f>IF(AND(33&gt;=$NR$20,33&lt;=$NS$20),IF($NP$20="Single_Point",IF(33=$NR$20,$NN$20,0),IF($NP$20="Bell_Curve",$NN$20*(33-$NR$20+1)*($NS$20-33+1)/$NU$20,$NN$20/$NT$20)),0)</f>
        <v/>
      </c>
      <c r="AL20" s="228">
        <f>IF(AND(34&gt;=$NR$20,34&lt;=$NS$20),IF($NP$20="Single_Point",IF(34=$NR$20,$NN$20,0),IF($NP$20="Bell_Curve",$NN$20*(34-$NR$20+1)*($NS$20-34+1)/$NU$20,$NN$20/$NT$20)),0)</f>
        <v/>
      </c>
      <c r="AM20" s="228">
        <f>IF(AND(35&gt;=$NR$20,35&lt;=$NS$20),IF($NP$20="Single_Point",IF(35=$NR$20,$NN$20,0),IF($NP$20="Bell_Curve",$NN$20*(35-$NR$20+1)*($NS$20-35+1)/$NU$20,$NN$20/$NT$20)),0)</f>
        <v/>
      </c>
      <c r="AN20" s="228">
        <f>IF(AND(36&gt;=$NR$20,36&lt;=$NS$20),IF($NP$20="Single_Point",IF(36=$NR$20,$NN$20,0),IF($NP$20="Bell_Curve",$NN$20*(36-$NR$20+1)*($NS$20-36+1)/$NU$20,$NN$20/$NT$20)),0)</f>
        <v/>
      </c>
      <c r="AO20" s="228">
        <f>IF(AND(37&gt;=$NR$20,37&lt;=$NS$20),IF($NP$20="Single_Point",IF(37=$NR$20,$NN$20,0),IF($NP$20="Bell_Curve",$NN$20*(37-$NR$20+1)*($NS$20-37+1)/$NU$20,$NN$20/$NT$20)),0)</f>
        <v/>
      </c>
      <c r="AP20" s="228">
        <f>IF(AND(38&gt;=$NR$20,38&lt;=$NS$20),IF($NP$20="Single_Point",IF(38=$NR$20,$NN$20,0),IF($NP$20="Bell_Curve",$NN$20*(38-$NR$20+1)*($NS$20-38+1)/$NU$20,$NN$20/$NT$20)),0)</f>
        <v/>
      </c>
      <c r="AQ20" s="228">
        <f>IF(AND(39&gt;=$NR$20,39&lt;=$NS$20),IF($NP$20="Single_Point",IF(39=$NR$20,$NN$20,0),IF($NP$20="Bell_Curve",$NN$20*(39-$NR$20+1)*($NS$20-39+1)/$NU$20,$NN$20/$NT$20)),0)</f>
        <v/>
      </c>
      <c r="AR20" s="228">
        <f>IF(AND(40&gt;=$NR$20,40&lt;=$NS$20),IF($NP$20="Single_Point",IF(40=$NR$20,$NN$20,0),IF($NP$20="Bell_Curve",$NN$20*(40-$NR$20+1)*($NS$20-40+1)/$NU$20,$NN$20/$NT$20)),0)</f>
        <v/>
      </c>
      <c r="AS20" s="228">
        <f>IF(AND(41&gt;=$NR$20,41&lt;=$NS$20),IF($NP$20="Single_Point",IF(41=$NR$20,$NN$20,0),IF($NP$20="Bell_Curve",$NN$20*(41-$NR$20+1)*($NS$20-41+1)/$NU$20,$NN$20/$NT$20)),0)</f>
        <v/>
      </c>
      <c r="AT20" s="228">
        <f>IF(AND(42&gt;=$NR$20,42&lt;=$NS$20),IF($NP$20="Single_Point",IF(42=$NR$20,$NN$20,0),IF($NP$20="Bell_Curve",$NN$20*(42-$NR$20+1)*($NS$20-42+1)/$NU$20,$NN$20/$NT$20)),0)</f>
        <v/>
      </c>
      <c r="AU20" s="228">
        <f>IF(AND(43&gt;=$NR$20,43&lt;=$NS$20),IF($NP$20="Single_Point",IF(43=$NR$20,$NN$20,0),IF($NP$20="Bell_Curve",$NN$20*(43-$NR$20+1)*($NS$20-43+1)/$NU$20,$NN$20/$NT$20)),0)</f>
        <v/>
      </c>
      <c r="AV20" s="228">
        <f>IF(AND(44&gt;=$NR$20,44&lt;=$NS$20),IF($NP$20="Single_Point",IF(44=$NR$20,$NN$20,0),IF($NP$20="Bell_Curve",$NN$20*(44-$NR$20+1)*($NS$20-44+1)/$NU$20,$NN$20/$NT$20)),0)</f>
        <v/>
      </c>
      <c r="AW20" s="228">
        <f>IF(AND(45&gt;=$NR$20,45&lt;=$NS$20),IF($NP$20="Single_Point",IF(45=$NR$20,$NN$20,0),IF($NP$20="Bell_Curve",$NN$20*(45-$NR$20+1)*($NS$20-45+1)/$NU$20,$NN$20/$NT$20)),0)</f>
        <v/>
      </c>
      <c r="AX20" s="228">
        <f>IF(AND(46&gt;=$NR$20,46&lt;=$NS$20),IF($NP$20="Single_Point",IF(46=$NR$20,$NN$20,0),IF($NP$20="Bell_Curve",$NN$20*(46-$NR$20+1)*($NS$20-46+1)/$NU$20,$NN$20/$NT$20)),0)</f>
        <v/>
      </c>
      <c r="AY20" s="228">
        <f>IF(AND(47&gt;=$NR$20,47&lt;=$NS$20),IF($NP$20="Single_Point",IF(47=$NR$20,$NN$20,0),IF($NP$20="Bell_Curve",$NN$20*(47-$NR$20+1)*($NS$20-47+1)/$NU$20,$NN$20/$NT$20)),0)</f>
        <v/>
      </c>
      <c r="AZ20" s="228">
        <f>IF(AND(48&gt;=$NR$20,48&lt;=$NS$20),IF($NP$20="Single_Point",IF(48=$NR$20,$NN$20,0),IF($NP$20="Bell_Curve",$NN$20*(48-$NR$20+1)*($NS$20-48+1)/$NU$20,$NN$20/$NT$20)),0)</f>
        <v/>
      </c>
      <c r="BA20" s="228">
        <f>IF(AND(49&gt;=$NR$20,49&lt;=$NS$20),IF($NP$20="Single_Point",IF(49=$NR$20,$NN$20,0),IF($NP$20="Bell_Curve",$NN$20*(49-$NR$20+1)*($NS$20-49+1)/$NU$20,$NN$20/$NT$20)),0)</f>
        <v/>
      </c>
      <c r="BB20" s="228">
        <f>IF(AND(50&gt;=$NR$20,50&lt;=$NS$20),IF($NP$20="Single_Point",IF(50=$NR$20,$NN$20,0),IF($NP$20="Bell_Curve",$NN$20*(50-$NR$20+1)*($NS$20-50+1)/$NU$20,$NN$20/$NT$20)),0)</f>
        <v/>
      </c>
      <c r="BC20" s="228">
        <f>IF(AND(51&gt;=$NR$20,51&lt;=$NS$20),IF($NP$20="Single_Point",IF(51=$NR$20,$NN$20,0),IF($NP$20="Bell_Curve",$NN$20*(51-$NR$20+1)*($NS$20-51+1)/$NU$20,$NN$20/$NT$20)),0)</f>
        <v/>
      </c>
      <c r="BD20" s="228">
        <f>IF(AND(52&gt;=$NR$20,52&lt;=$NS$20),IF($NP$20="Single_Point",IF(52=$NR$20,$NN$20,0),IF($NP$20="Bell_Curve",$NN$20*(52-$NR$20+1)*($NS$20-52+1)/$NU$20,$NN$20/$NT$20)),0)</f>
        <v/>
      </c>
      <c r="BE20" s="228">
        <f>IF(AND(53&gt;=$NR$20,53&lt;=$NS$20),IF($NP$20="Single_Point",IF(53=$NR$20,$NN$20,0),IF($NP$20="Bell_Curve",$NN$20*(53-$NR$20+1)*($NS$20-53+1)/$NU$20,$NN$20/$NT$20)),0)</f>
        <v/>
      </c>
      <c r="BF20" s="228">
        <f>IF(AND(54&gt;=$NR$20,54&lt;=$NS$20),IF($NP$20="Single_Point",IF(54=$NR$20,$NN$20,0),IF($NP$20="Bell_Curve",$NN$20*(54-$NR$20+1)*($NS$20-54+1)/$NU$20,$NN$20/$NT$20)),0)</f>
        <v/>
      </c>
      <c r="BG20" s="228">
        <f>IF(AND(55&gt;=$NR$20,55&lt;=$NS$20),IF($NP$20="Single_Point",IF(55=$NR$20,$NN$20,0),IF($NP$20="Bell_Curve",$NN$20*(55-$NR$20+1)*($NS$20-55+1)/$NU$20,$NN$20/$NT$20)),0)</f>
        <v/>
      </c>
      <c r="BH20" s="228">
        <f>IF(AND(56&gt;=$NR$20,56&lt;=$NS$20),IF($NP$20="Single_Point",IF(56=$NR$20,$NN$20,0),IF($NP$20="Bell_Curve",$NN$20*(56-$NR$20+1)*($NS$20-56+1)/$NU$20,$NN$20/$NT$20)),0)</f>
        <v/>
      </c>
      <c r="BI20" s="228">
        <f>IF(AND(57&gt;=$NR$20,57&lt;=$NS$20),IF($NP$20="Single_Point",IF(57=$NR$20,$NN$20,0),IF($NP$20="Bell_Curve",$NN$20*(57-$NR$20+1)*($NS$20-57+1)/$NU$20,$NN$20/$NT$20)),0)</f>
        <v/>
      </c>
      <c r="BJ20" s="228">
        <f>IF(AND(58&gt;=$NR$20,58&lt;=$NS$20),IF($NP$20="Single_Point",IF(58=$NR$20,$NN$20,0),IF($NP$20="Bell_Curve",$NN$20*(58-$NR$20+1)*($NS$20-58+1)/$NU$20,$NN$20/$NT$20)),0)</f>
        <v/>
      </c>
      <c r="BK20" s="228">
        <f>IF(AND(59&gt;=$NR$20,59&lt;=$NS$20),IF($NP$20="Single_Point",IF(59=$NR$20,$NN$20,0),IF($NP$20="Bell_Curve",$NN$20*(59-$NR$20+1)*($NS$20-59+1)/$NU$20,$NN$20/$NT$20)),0)</f>
        <v/>
      </c>
      <c r="BL20" s="228">
        <f>IF(AND(60&gt;=$NR$20,60&lt;=$NS$20),IF($NP$20="Single_Point",IF(60=$NR$20,$NN$20,0),IF($NP$20="Bell_Curve",$NN$20*(60-$NR$20+1)*($NS$20-60+1)/$NU$20,$NN$20/$NT$20)),0)</f>
        <v/>
      </c>
      <c r="BM20" s="228">
        <f>IF(AND(61&gt;=$NR$20,61&lt;=$NS$20),IF($NP$20="Single_Point",IF(61=$NR$20,$NN$20,0),IF($NP$20="Bell_Curve",$NN$20*(61-$NR$20+1)*($NS$20-61+1)/$NU$20,$NN$20/$NT$20)),0)</f>
        <v/>
      </c>
      <c r="BN20" s="228">
        <f>IF(AND(62&gt;=$NR$20,62&lt;=$NS$20),IF($NP$20="Single_Point",IF(62=$NR$20,$NN$20,0),IF($NP$20="Bell_Curve",$NN$20*(62-$NR$20+1)*($NS$20-62+1)/$NU$20,$NN$20/$NT$20)),0)</f>
        <v/>
      </c>
      <c r="BO20" s="228">
        <f>IF(AND(63&gt;=$NR$20,63&lt;=$NS$20),IF($NP$20="Single_Point",IF(63=$NR$20,$NN$20,0),IF($NP$20="Bell_Curve",$NN$20*(63-$NR$20+1)*($NS$20-63+1)/$NU$20,$NN$20/$NT$20)),0)</f>
        <v/>
      </c>
      <c r="BP20" s="228">
        <f>IF(AND(64&gt;=$NR$20,64&lt;=$NS$20),IF($NP$20="Single_Point",IF(64=$NR$20,$NN$20,0),IF($NP$20="Bell_Curve",$NN$20*(64-$NR$20+1)*($NS$20-64+1)/$NU$20,$NN$20/$NT$20)),0)</f>
        <v/>
      </c>
      <c r="BQ20" s="228">
        <f>IF(AND(65&gt;=$NR$20,65&lt;=$NS$20),IF($NP$20="Single_Point",IF(65=$NR$20,$NN$20,0),IF($NP$20="Bell_Curve",$NN$20*(65-$NR$20+1)*($NS$20-65+1)/$NU$20,$NN$20/$NT$20)),0)</f>
        <v/>
      </c>
      <c r="BR20" s="228">
        <f>IF(AND(66&gt;=$NR$20,66&lt;=$NS$20),IF($NP$20="Single_Point",IF(66=$NR$20,$NN$20,0),IF($NP$20="Bell_Curve",$NN$20*(66-$NR$20+1)*($NS$20-66+1)/$NU$20,$NN$20/$NT$20)),0)</f>
        <v/>
      </c>
      <c r="BS20" s="228">
        <f>IF(AND(67&gt;=$NR$20,67&lt;=$NS$20),IF($NP$20="Single_Point",IF(67=$NR$20,$NN$20,0),IF($NP$20="Bell_Curve",$NN$20*(67-$NR$20+1)*($NS$20-67+1)/$NU$20,$NN$20/$NT$20)),0)</f>
        <v/>
      </c>
      <c r="BT20" s="228">
        <f>IF(AND(68&gt;=$NR$20,68&lt;=$NS$20),IF($NP$20="Single_Point",IF(68=$NR$20,$NN$20,0),IF($NP$20="Bell_Curve",$NN$20*(68-$NR$20+1)*($NS$20-68+1)/$NU$20,$NN$20/$NT$20)),0)</f>
        <v/>
      </c>
      <c r="BU20" s="228">
        <f>IF(AND(69&gt;=$NR$20,69&lt;=$NS$20),IF($NP$20="Single_Point",IF(69=$NR$20,$NN$20,0),IF($NP$20="Bell_Curve",$NN$20*(69-$NR$20+1)*($NS$20-69+1)/$NU$20,$NN$20/$NT$20)),0)</f>
        <v/>
      </c>
      <c r="BV20" s="228">
        <f>IF(AND(70&gt;=$NR$20,70&lt;=$NS$20),IF($NP$20="Single_Point",IF(70=$NR$20,$NN$20,0),IF($NP$20="Bell_Curve",$NN$20*(70-$NR$20+1)*($NS$20-70+1)/$NU$20,$NN$20/$NT$20)),0)</f>
        <v/>
      </c>
      <c r="BW20" s="228">
        <f>IF(AND(71&gt;=$NR$20,71&lt;=$NS$20),IF($NP$20="Single_Point",IF(71=$NR$20,$NN$20,0),IF($NP$20="Bell_Curve",$NN$20*(71-$NR$20+1)*($NS$20-71+1)/$NU$20,$NN$20/$NT$20)),0)</f>
        <v/>
      </c>
      <c r="BX20" s="228">
        <f>IF(AND(72&gt;=$NR$20,72&lt;=$NS$20),IF($NP$20="Single_Point",IF(72=$NR$20,$NN$20,0),IF($NP$20="Bell_Curve",$NN$20*(72-$NR$20+1)*($NS$20-72+1)/$NU$20,$NN$20/$NT$20)),0)</f>
        <v/>
      </c>
      <c r="BY20" s="228">
        <f>IF(AND(73&gt;=$NR$20,73&lt;=$NS$20),IF($NP$20="Single_Point",IF(73=$NR$20,$NN$20,0),IF($NP$20="Bell_Curve",$NN$20*(73-$NR$20+1)*($NS$20-73+1)/$NU$20,$NN$20/$NT$20)),0)</f>
        <v/>
      </c>
      <c r="BZ20" s="228">
        <f>IF(AND(74&gt;=$NR$20,74&lt;=$NS$20),IF($NP$20="Single_Point",IF(74=$NR$20,$NN$20,0),IF($NP$20="Bell_Curve",$NN$20*(74-$NR$20+1)*($NS$20-74+1)/$NU$20,$NN$20/$NT$20)),0)</f>
        <v/>
      </c>
      <c r="CA20" s="228">
        <f>IF(AND(75&gt;=$NR$20,75&lt;=$NS$20),IF($NP$20="Single_Point",IF(75=$NR$20,$NN$20,0),IF($NP$20="Bell_Curve",$NN$20*(75-$NR$20+1)*($NS$20-75+1)/$NU$20,$NN$20/$NT$20)),0)</f>
        <v/>
      </c>
      <c r="CB20" s="228">
        <f>IF(AND(76&gt;=$NR$20,76&lt;=$NS$20),IF($NP$20="Single_Point",IF(76=$NR$20,$NN$20,0),IF($NP$20="Bell_Curve",$NN$20*(76-$NR$20+1)*($NS$20-76+1)/$NU$20,$NN$20/$NT$20)),0)</f>
        <v/>
      </c>
      <c r="CC20" s="228">
        <f>IF(AND(77&gt;=$NR$20,77&lt;=$NS$20),IF($NP$20="Single_Point",IF(77=$NR$20,$NN$20,0),IF($NP$20="Bell_Curve",$NN$20*(77-$NR$20+1)*($NS$20-77+1)/$NU$20,$NN$20/$NT$20)),0)</f>
        <v/>
      </c>
      <c r="CD20" s="228">
        <f>IF(AND(78&gt;=$NR$20,78&lt;=$NS$20),IF($NP$20="Single_Point",IF(78=$NR$20,$NN$20,0),IF($NP$20="Bell_Curve",$NN$20*(78-$NR$20+1)*($NS$20-78+1)/$NU$20,$NN$20/$NT$20)),0)</f>
        <v/>
      </c>
      <c r="CE20" s="228">
        <f>IF(AND(79&gt;=$NR$20,79&lt;=$NS$20),IF($NP$20="Single_Point",IF(79=$NR$20,$NN$20,0),IF($NP$20="Bell_Curve",$NN$20*(79-$NR$20+1)*($NS$20-79+1)/$NU$20,$NN$20/$NT$20)),0)</f>
        <v/>
      </c>
      <c r="CF20" s="228">
        <f>IF(AND(80&gt;=$NR$20,80&lt;=$NS$20),IF($NP$20="Single_Point",IF(80=$NR$20,$NN$20,0),IF($NP$20="Bell_Curve",$NN$20*(80-$NR$20+1)*($NS$20-80+1)/$NU$20,$NN$20/$NT$20)),0)</f>
        <v/>
      </c>
      <c r="CG20" s="228">
        <f>IF(AND(81&gt;=$NR$20,81&lt;=$NS$20),IF($NP$20="Single_Point",IF(81=$NR$20,$NN$20,0),IF($NP$20="Bell_Curve",$NN$20*(81-$NR$20+1)*($NS$20-81+1)/$NU$20,$NN$20/$NT$20)),0)</f>
        <v/>
      </c>
      <c r="CH20" s="228">
        <f>IF(AND(82&gt;=$NR$20,82&lt;=$NS$20),IF($NP$20="Single_Point",IF(82=$NR$20,$NN$20,0),IF($NP$20="Bell_Curve",$NN$20*(82-$NR$20+1)*($NS$20-82+1)/$NU$20,$NN$20/$NT$20)),0)</f>
        <v/>
      </c>
      <c r="CI20" s="228">
        <f>IF(AND(83&gt;=$NR$20,83&lt;=$NS$20),IF($NP$20="Single_Point",IF(83=$NR$20,$NN$20,0),IF($NP$20="Bell_Curve",$NN$20*(83-$NR$20+1)*($NS$20-83+1)/$NU$20,$NN$20/$NT$20)),0)</f>
        <v/>
      </c>
      <c r="CJ20" s="228">
        <f>IF(AND(84&gt;=$NR$20,84&lt;=$NS$20),IF($NP$20="Single_Point",IF(84=$NR$20,$NN$20,0),IF($NP$20="Bell_Curve",$NN$20*(84-$NR$20+1)*($NS$20-84+1)/$NU$20,$NN$20/$NT$20)),0)</f>
        <v/>
      </c>
      <c r="CK20" s="228">
        <f>IF(AND(85&gt;=$NR$20,85&lt;=$NS$20),IF($NP$20="Single_Point",IF(85=$NR$20,$NN$20,0),IF($NP$20="Bell_Curve",$NN$20*(85-$NR$20+1)*($NS$20-85+1)/$NU$20,$NN$20/$NT$20)),0)</f>
        <v/>
      </c>
      <c r="CL20" s="228">
        <f>IF(AND(86&gt;=$NR$20,86&lt;=$NS$20),IF($NP$20="Single_Point",IF(86=$NR$20,$NN$20,0),IF($NP$20="Bell_Curve",$NN$20*(86-$NR$20+1)*($NS$20-86+1)/$NU$20,$NN$20/$NT$20)),0)</f>
        <v/>
      </c>
      <c r="CM20" s="228">
        <f>IF(AND(87&gt;=$NR$20,87&lt;=$NS$20),IF($NP$20="Single_Point",IF(87=$NR$20,$NN$20,0),IF($NP$20="Bell_Curve",$NN$20*(87-$NR$20+1)*($NS$20-87+1)/$NU$20,$NN$20/$NT$20)),0)</f>
        <v/>
      </c>
      <c r="CN20" s="228">
        <f>IF(AND(88&gt;=$NR$20,88&lt;=$NS$20),IF($NP$20="Single_Point",IF(88=$NR$20,$NN$20,0),IF($NP$20="Bell_Curve",$NN$20*(88-$NR$20+1)*($NS$20-88+1)/$NU$20,$NN$20/$NT$20)),0)</f>
        <v/>
      </c>
      <c r="CO20" s="228">
        <f>IF(AND(89&gt;=$NR$20,89&lt;=$NS$20),IF($NP$20="Single_Point",IF(89=$NR$20,$NN$20,0),IF($NP$20="Bell_Curve",$NN$20*(89-$NR$20+1)*($NS$20-89+1)/$NU$20,$NN$20/$NT$20)),0)</f>
        <v/>
      </c>
      <c r="CP20" s="228">
        <f>IF(AND(90&gt;=$NR$20,90&lt;=$NS$20),IF($NP$20="Single_Point",IF(90=$NR$20,$NN$20,0),IF($NP$20="Bell_Curve",$NN$20*(90-$NR$20+1)*($NS$20-90+1)/$NU$20,$NN$20/$NT$20)),0)</f>
        <v/>
      </c>
      <c r="CQ20" s="228">
        <f>IF(AND(91&gt;=$NR$20,91&lt;=$NS$20),IF($NP$20="Single_Point",IF(91=$NR$20,$NN$20,0),IF($NP$20="Bell_Curve",$NN$20*(91-$NR$20+1)*($NS$20-91+1)/$NU$20,$NN$20/$NT$20)),0)</f>
        <v/>
      </c>
      <c r="CR20" s="228">
        <f>IF(AND(92&gt;=$NR$20,92&lt;=$NS$20),IF($NP$20="Single_Point",IF(92=$NR$20,$NN$20,0),IF($NP$20="Bell_Curve",$NN$20*(92-$NR$20+1)*($NS$20-92+1)/$NU$20,$NN$20/$NT$20)),0)</f>
        <v/>
      </c>
      <c r="CS20" s="228">
        <f>IF(AND(93&gt;=$NR$20,93&lt;=$NS$20),IF($NP$20="Single_Point",IF(93=$NR$20,$NN$20,0),IF($NP$20="Bell_Curve",$NN$20*(93-$NR$20+1)*($NS$20-93+1)/$NU$20,$NN$20/$NT$20)),0)</f>
        <v/>
      </c>
      <c r="CT20" s="228">
        <f>IF(AND(94&gt;=$NR$20,94&lt;=$NS$20),IF($NP$20="Single_Point",IF(94=$NR$20,$NN$20,0),IF($NP$20="Bell_Curve",$NN$20*(94-$NR$20+1)*($NS$20-94+1)/$NU$20,$NN$20/$NT$20)),0)</f>
        <v/>
      </c>
      <c r="CU20" s="228">
        <f>IF(AND(95&gt;=$NR$20,95&lt;=$NS$20),IF($NP$20="Single_Point",IF(95=$NR$20,$NN$20,0),IF($NP$20="Bell_Curve",$NN$20*(95-$NR$20+1)*($NS$20-95+1)/$NU$20,$NN$20/$NT$20)),0)</f>
        <v/>
      </c>
      <c r="CV20" s="228">
        <f>IF(AND(96&gt;=$NR$20,96&lt;=$NS$20),IF($NP$20="Single_Point",IF(96=$NR$20,$NN$20,0),IF($NP$20="Bell_Curve",$NN$20*(96-$NR$20+1)*($NS$20-96+1)/$NU$20,$NN$20/$NT$20)),0)</f>
        <v/>
      </c>
      <c r="CW20" s="228">
        <f>IF(AND(97&gt;=$NR$20,97&lt;=$NS$20),IF($NP$20="Single_Point",IF(97=$NR$20,$NN$20,0),IF($NP$20="Bell_Curve",$NN$20*(97-$NR$20+1)*($NS$20-97+1)/$NU$20,$NN$20/$NT$20)),0)</f>
        <v/>
      </c>
      <c r="CX20" s="228">
        <f>IF(AND(98&gt;=$NR$20,98&lt;=$NS$20),IF($NP$20="Single_Point",IF(98=$NR$20,$NN$20,0),IF($NP$20="Bell_Curve",$NN$20*(98-$NR$20+1)*($NS$20-98+1)/$NU$20,$NN$20/$NT$20)),0)</f>
        <v/>
      </c>
      <c r="CY20" s="228">
        <f>IF(AND(99&gt;=$NR$20,99&lt;=$NS$20),IF($NP$20="Single_Point",IF(99=$NR$20,$NN$20,0),IF($NP$20="Bell_Curve",$NN$20*(99-$NR$20+1)*($NS$20-99+1)/$NU$20,$NN$20/$NT$20)),0)</f>
        <v/>
      </c>
      <c r="CZ20" s="228">
        <f>IF(AND(100&gt;=$NR$20,100&lt;=$NS$20),IF($NP$20="Single_Point",IF(100=$NR$20,$NN$20,0),IF($NP$20="Bell_Curve",$NN$20*(100-$NR$20+1)*($NS$20-100+1)/$NU$20,$NN$20/$NT$20)),0)</f>
        <v/>
      </c>
      <c r="DA20" s="228">
        <f>IF(AND(101&gt;=$NR$20,101&lt;=$NS$20),IF($NP$20="Single_Point",IF(101=$NR$20,$NN$20,0),IF($NP$20="Bell_Curve",$NN$20*(101-$NR$20+1)*($NS$20-101+1)/$NU$20,$NN$20/$NT$20)),0)</f>
        <v/>
      </c>
      <c r="DB20" s="228">
        <f>IF(AND(102&gt;=$NR$20,102&lt;=$NS$20),IF($NP$20="Single_Point",IF(102=$NR$20,$NN$20,0),IF($NP$20="Bell_Curve",$NN$20*(102-$NR$20+1)*($NS$20-102+1)/$NU$20,$NN$20/$NT$20)),0)</f>
        <v/>
      </c>
      <c r="DC20" s="228">
        <f>IF(AND(103&gt;=$NR$20,103&lt;=$NS$20),IF($NP$20="Single_Point",IF(103=$NR$20,$NN$20,0),IF($NP$20="Bell_Curve",$NN$20*(103-$NR$20+1)*($NS$20-103+1)/$NU$20,$NN$20/$NT$20)),0)</f>
        <v/>
      </c>
      <c r="DD20" s="228">
        <f>IF(AND(104&gt;=$NR$20,104&lt;=$NS$20),IF($NP$20="Single_Point",IF(104=$NR$20,$NN$20,0),IF($NP$20="Bell_Curve",$NN$20*(104-$NR$20+1)*($NS$20-104+1)/$NU$20,$NN$20/$NT$20)),0)</f>
        <v/>
      </c>
      <c r="DE20" s="228">
        <f>IF(AND(105&gt;=$NR$20,105&lt;=$NS$20),IF($NP$20="Single_Point",IF(105=$NR$20,$NN$20,0),IF($NP$20="Bell_Curve",$NN$20*(105-$NR$20+1)*($NS$20-105+1)/$NU$20,$NN$20/$NT$20)),0)</f>
        <v/>
      </c>
      <c r="DF20" s="228">
        <f>IF(AND(106&gt;=$NR$20,106&lt;=$NS$20),IF($NP$20="Single_Point",IF(106=$NR$20,$NN$20,0),IF($NP$20="Bell_Curve",$NN$20*(106-$NR$20+1)*($NS$20-106+1)/$NU$20,$NN$20/$NT$20)),0)</f>
        <v/>
      </c>
      <c r="DG20" s="228">
        <f>IF(AND(107&gt;=$NR$20,107&lt;=$NS$20),IF($NP$20="Single_Point",IF(107=$NR$20,$NN$20,0),IF($NP$20="Bell_Curve",$NN$20*(107-$NR$20+1)*($NS$20-107+1)/$NU$20,$NN$20/$NT$20)),0)</f>
        <v/>
      </c>
      <c r="DH20" s="228">
        <f>IF(AND(108&gt;=$NR$20,108&lt;=$NS$20),IF($NP$20="Single_Point",IF(108=$NR$20,$NN$20,0),IF($NP$20="Bell_Curve",$NN$20*(108-$NR$20+1)*($NS$20-108+1)/$NU$20,$NN$20/$NT$20)),0)</f>
        <v/>
      </c>
      <c r="DI20" s="228">
        <f>IF(AND(109&gt;=$NR$20,109&lt;=$NS$20),IF($NP$20="Single_Point",IF(109=$NR$20,$NN$20,0),IF($NP$20="Bell_Curve",$NN$20*(109-$NR$20+1)*($NS$20-109+1)/$NU$20,$NN$20/$NT$20)),0)</f>
        <v/>
      </c>
      <c r="DJ20" s="228">
        <f>IF(AND(110&gt;=$NR$20,110&lt;=$NS$20),IF($NP$20="Single_Point",IF(110=$NR$20,$NN$20,0),IF($NP$20="Bell_Curve",$NN$20*(110-$NR$20+1)*($NS$20-110+1)/$NU$20,$NN$20/$NT$20)),0)</f>
        <v/>
      </c>
      <c r="DK20" s="228">
        <f>IF(AND(111&gt;=$NR$20,111&lt;=$NS$20),IF($NP$20="Single_Point",IF(111=$NR$20,$NN$20,0),IF($NP$20="Bell_Curve",$NN$20*(111-$NR$20+1)*($NS$20-111+1)/$NU$20,$NN$20/$NT$20)),0)</f>
        <v/>
      </c>
      <c r="DL20" s="228">
        <f>IF(AND(112&gt;=$NR$20,112&lt;=$NS$20),IF($NP$20="Single_Point",IF(112=$NR$20,$NN$20,0),IF($NP$20="Bell_Curve",$NN$20*(112-$NR$20+1)*($NS$20-112+1)/$NU$20,$NN$20/$NT$20)),0)</f>
        <v/>
      </c>
      <c r="DM20" s="228">
        <f>IF(AND(113&gt;=$NR$20,113&lt;=$NS$20),IF($NP$20="Single_Point",IF(113=$NR$20,$NN$20,0),IF($NP$20="Bell_Curve",$NN$20*(113-$NR$20+1)*($NS$20-113+1)/$NU$20,$NN$20/$NT$20)),0)</f>
        <v/>
      </c>
      <c r="DN20" s="228">
        <f>IF(AND(114&gt;=$NR$20,114&lt;=$NS$20),IF($NP$20="Single_Point",IF(114=$NR$20,$NN$20,0),IF($NP$20="Bell_Curve",$NN$20*(114-$NR$20+1)*($NS$20-114+1)/$NU$20,$NN$20/$NT$20)),0)</f>
        <v/>
      </c>
      <c r="DO20" s="228">
        <f>IF(AND(115&gt;=$NR$20,115&lt;=$NS$20),IF($NP$20="Single_Point",IF(115=$NR$20,$NN$20,0),IF($NP$20="Bell_Curve",$NN$20*(115-$NR$20+1)*($NS$20-115+1)/$NU$20,$NN$20/$NT$20)),0)</f>
        <v/>
      </c>
      <c r="DP20" s="228">
        <f>IF(AND(116&gt;=$NR$20,116&lt;=$NS$20),IF($NP$20="Single_Point",IF(116=$NR$20,$NN$20,0),IF($NP$20="Bell_Curve",$NN$20*(116-$NR$20+1)*($NS$20-116+1)/$NU$20,$NN$20/$NT$20)),0)</f>
        <v/>
      </c>
      <c r="DQ20" s="228">
        <f>IF(AND(117&gt;=$NR$20,117&lt;=$NS$20),IF($NP$20="Single_Point",IF(117=$NR$20,$NN$20,0),IF($NP$20="Bell_Curve",$NN$20*(117-$NR$20+1)*($NS$20-117+1)/$NU$20,$NN$20/$NT$20)),0)</f>
        <v/>
      </c>
      <c r="DR20" s="228">
        <f>IF(AND(118&gt;=$NR$20,118&lt;=$NS$20),IF($NP$20="Single_Point",IF(118=$NR$20,$NN$20,0),IF($NP$20="Bell_Curve",$NN$20*(118-$NR$20+1)*($NS$20-118+1)/$NU$20,$NN$20/$NT$20)),0)</f>
        <v/>
      </c>
      <c r="DS20" s="228">
        <f>IF(AND(119&gt;=$NR$20,119&lt;=$NS$20),IF($NP$20="Single_Point",IF(119=$NR$20,$NN$20,0),IF($NP$20="Bell_Curve",$NN$20*(119-$NR$20+1)*($NS$20-119+1)/$NU$20,$NN$20/$NT$20)),0)</f>
        <v/>
      </c>
      <c r="DT20" s="228">
        <f>IF(AND(120&gt;=$NR$20,120&lt;=$NS$20),IF($NP$20="Single_Point",IF(120=$NR$20,$NN$20,0),IF($NP$20="Bell_Curve",$NN$20*(120-$NR$20+1)*($NS$20-120+1)/$NU$20,$NN$20/$NT$20)),0)</f>
        <v/>
      </c>
      <c r="DU20" s="228">
        <f>IF(AND(121&gt;=$NR$20,121&lt;=$NS$20),IF($NP$20="Single_Point",IF(121=$NR$20,$NN$20,0),IF($NP$20="Bell_Curve",$NN$20*(121-$NR$20+1)*($NS$20-121+1)/$NU$20,$NN$20/$NT$20)),0)</f>
        <v/>
      </c>
      <c r="DV20" s="228">
        <f>IF(AND(122&gt;=$NR$20,122&lt;=$NS$20),IF($NP$20="Single_Point",IF(122=$NR$20,$NN$20,0),IF($NP$20="Bell_Curve",$NN$20*(122-$NR$20+1)*($NS$20-122+1)/$NU$20,$NN$20/$NT$20)),0)</f>
        <v/>
      </c>
      <c r="DW20" s="228">
        <f>IF(AND(123&gt;=$NR$20,123&lt;=$NS$20),IF($NP$20="Single_Point",IF(123=$NR$20,$NN$20,0),IF($NP$20="Bell_Curve",$NN$20*(123-$NR$20+1)*($NS$20-123+1)/$NU$20,$NN$20/$NT$20)),0)</f>
        <v/>
      </c>
      <c r="DX20" s="228">
        <f>IF(AND(124&gt;=$NR$20,124&lt;=$NS$20),IF($NP$20="Single_Point",IF(124=$NR$20,$NN$20,0),IF($NP$20="Bell_Curve",$NN$20*(124-$NR$20+1)*($NS$20-124+1)/$NU$20,$NN$20/$NT$20)),0)</f>
        <v/>
      </c>
      <c r="DY20" s="228">
        <f>IF(AND(125&gt;=$NR$20,125&lt;=$NS$20),IF($NP$20="Single_Point",IF(125=$NR$20,$NN$20,0),IF($NP$20="Bell_Curve",$NN$20*(125-$NR$20+1)*($NS$20-125+1)/$NU$20,$NN$20/$NT$20)),0)</f>
        <v/>
      </c>
      <c r="DZ20" s="228">
        <f>IF(AND(126&gt;=$NR$20,126&lt;=$NS$20),IF($NP$20="Single_Point",IF(126=$NR$20,$NN$20,0),IF($NP$20="Bell_Curve",$NN$20*(126-$NR$20+1)*($NS$20-126+1)/$NU$20,$NN$20/$NT$20)),0)</f>
        <v/>
      </c>
      <c r="EA20" s="228">
        <f>IF(AND(127&gt;=$NR$20,127&lt;=$NS$20),IF($NP$20="Single_Point",IF(127=$NR$20,$NN$20,0),IF($NP$20="Bell_Curve",$NN$20*(127-$NR$20+1)*($NS$20-127+1)/$NU$20,$NN$20/$NT$20)),0)</f>
        <v/>
      </c>
      <c r="EB20" s="228">
        <f>IF(AND(128&gt;=$NR$20,128&lt;=$NS$20),IF($NP$20="Single_Point",IF(128=$NR$20,$NN$20,0),IF($NP$20="Bell_Curve",$NN$20*(128-$NR$20+1)*($NS$20-128+1)/$NU$20,$NN$20/$NT$20)),0)</f>
        <v/>
      </c>
      <c r="EC20" s="228">
        <f>IF(AND(129&gt;=$NR$20,129&lt;=$NS$20),IF($NP$20="Single_Point",IF(129=$NR$20,$NN$20,0),IF($NP$20="Bell_Curve",$NN$20*(129-$NR$20+1)*($NS$20-129+1)/$NU$20,$NN$20/$NT$20)),0)</f>
        <v/>
      </c>
      <c r="ED20" s="228">
        <f>IF(AND(130&gt;=$NR$20,130&lt;=$NS$20),IF($NP$20="Single_Point",IF(130=$NR$20,$NN$20,0),IF($NP$20="Bell_Curve",$NN$20*(130-$NR$20+1)*($NS$20-130+1)/$NU$20,$NN$20/$NT$20)),0)</f>
        <v/>
      </c>
      <c r="EE20" s="228">
        <f>IF(AND(131&gt;=$NR$20,131&lt;=$NS$20),IF($NP$20="Single_Point",IF(131=$NR$20,$NN$20,0),IF($NP$20="Bell_Curve",$NN$20*(131-$NR$20+1)*($NS$20-131+1)/$NU$20,$NN$20/$NT$20)),0)</f>
        <v/>
      </c>
      <c r="EF20" s="228">
        <f>IF(AND(132&gt;=$NR$20,132&lt;=$NS$20),IF($NP$20="Single_Point",IF(132=$NR$20,$NN$20,0),IF($NP$20="Bell_Curve",$NN$20*(132-$NR$20+1)*($NS$20-132+1)/$NU$20,$NN$20/$NT$20)),0)</f>
        <v/>
      </c>
      <c r="EG20" s="228">
        <f>IF(AND(133&gt;=$NR$20,133&lt;=$NS$20),IF($NP$20="Single_Point",IF(133=$NR$20,$NN$20,0),IF($NP$20="Bell_Curve",$NN$20*(133-$NR$20+1)*($NS$20-133+1)/$NU$20,$NN$20/$NT$20)),0)</f>
        <v/>
      </c>
      <c r="EH20" s="228">
        <f>IF(AND(134&gt;=$NR$20,134&lt;=$NS$20),IF($NP$20="Single_Point",IF(134=$NR$20,$NN$20,0),IF($NP$20="Bell_Curve",$NN$20*(134-$NR$20+1)*($NS$20-134+1)/$NU$20,$NN$20/$NT$20)),0)</f>
        <v/>
      </c>
      <c r="EI20" s="228">
        <f>IF(AND(135&gt;=$NR$20,135&lt;=$NS$20),IF($NP$20="Single_Point",IF(135=$NR$20,$NN$20,0),IF($NP$20="Bell_Curve",$NN$20*(135-$NR$20+1)*($NS$20-135+1)/$NU$20,$NN$20/$NT$20)),0)</f>
        <v/>
      </c>
      <c r="EJ20" s="228">
        <f>IF(AND(136&gt;=$NR$20,136&lt;=$NS$20),IF($NP$20="Single_Point",IF(136=$NR$20,$NN$20,0),IF($NP$20="Bell_Curve",$NN$20*(136-$NR$20+1)*($NS$20-136+1)/$NU$20,$NN$20/$NT$20)),0)</f>
        <v/>
      </c>
      <c r="EK20" s="228">
        <f>IF(AND(137&gt;=$NR$20,137&lt;=$NS$20),IF($NP$20="Single_Point",IF(137=$NR$20,$NN$20,0),IF($NP$20="Bell_Curve",$NN$20*(137-$NR$20+1)*($NS$20-137+1)/$NU$20,$NN$20/$NT$20)),0)</f>
        <v/>
      </c>
      <c r="EL20" s="228">
        <f>IF(AND(138&gt;=$NR$20,138&lt;=$NS$20),IF($NP$20="Single_Point",IF(138=$NR$20,$NN$20,0),IF($NP$20="Bell_Curve",$NN$20*(138-$NR$20+1)*($NS$20-138+1)/$NU$20,$NN$20/$NT$20)),0)</f>
        <v/>
      </c>
      <c r="EM20" s="228">
        <f>IF(AND(139&gt;=$NR$20,139&lt;=$NS$20),IF($NP$20="Single_Point",IF(139=$NR$20,$NN$20,0),IF($NP$20="Bell_Curve",$NN$20*(139-$NR$20+1)*($NS$20-139+1)/$NU$20,$NN$20/$NT$20)),0)</f>
        <v/>
      </c>
      <c r="EN20" s="228">
        <f>IF(AND(140&gt;=$NR$20,140&lt;=$NS$20),IF($NP$20="Single_Point",IF(140=$NR$20,$NN$20,0),IF($NP$20="Bell_Curve",$NN$20*(140-$NR$20+1)*($NS$20-140+1)/$NU$20,$NN$20/$NT$20)),0)</f>
        <v/>
      </c>
      <c r="EO20" s="228">
        <f>IF(AND(141&gt;=$NR$20,141&lt;=$NS$20),IF($NP$20="Single_Point",IF(141=$NR$20,$NN$20,0),IF($NP$20="Bell_Curve",$NN$20*(141-$NR$20+1)*($NS$20-141+1)/$NU$20,$NN$20/$NT$20)),0)</f>
        <v/>
      </c>
      <c r="EP20" s="228">
        <f>IF(AND(142&gt;=$NR$20,142&lt;=$NS$20),IF($NP$20="Single_Point",IF(142=$NR$20,$NN$20,0),IF($NP$20="Bell_Curve",$NN$20*(142-$NR$20+1)*($NS$20-142+1)/$NU$20,$NN$20/$NT$20)),0)</f>
        <v/>
      </c>
      <c r="EQ20" s="228">
        <f>IF(AND(143&gt;=$NR$20,143&lt;=$NS$20),IF($NP$20="Single_Point",IF(143=$NR$20,$NN$20,0),IF($NP$20="Bell_Curve",$NN$20*(143-$NR$20+1)*($NS$20-143+1)/$NU$20,$NN$20/$NT$20)),0)</f>
        <v/>
      </c>
      <c r="ER20" s="228">
        <f>IF(AND(144&gt;=$NR$20,144&lt;=$NS$20),IF($NP$20="Single_Point",IF(144=$NR$20,$NN$20,0),IF($NP$20="Bell_Curve",$NN$20*(144-$NR$20+1)*($NS$20-144+1)/$NU$20,$NN$20/$NT$20)),0)</f>
        <v/>
      </c>
      <c r="ES20" s="228">
        <f>IF(AND(145&gt;=$NR$20,145&lt;=$NS$20),IF($NP$20="Single_Point",IF(145=$NR$20,$NN$20,0),IF($NP$20="Bell_Curve",$NN$20*(145-$NR$20+1)*($NS$20-145+1)/$NU$20,$NN$20/$NT$20)),0)</f>
        <v/>
      </c>
      <c r="ET20" s="228">
        <f>IF(AND(146&gt;=$NR$20,146&lt;=$NS$20),IF($NP$20="Single_Point",IF(146=$NR$20,$NN$20,0),IF($NP$20="Bell_Curve",$NN$20*(146-$NR$20+1)*($NS$20-146+1)/$NU$20,$NN$20/$NT$20)),0)</f>
        <v/>
      </c>
      <c r="EU20" s="228">
        <f>IF(AND(147&gt;=$NR$20,147&lt;=$NS$20),IF($NP$20="Single_Point",IF(147=$NR$20,$NN$20,0),IF($NP$20="Bell_Curve",$NN$20*(147-$NR$20+1)*($NS$20-147+1)/$NU$20,$NN$20/$NT$20)),0)</f>
        <v/>
      </c>
      <c r="EV20" s="228">
        <f>IF(AND(148&gt;=$NR$20,148&lt;=$NS$20),IF($NP$20="Single_Point",IF(148=$NR$20,$NN$20,0),IF($NP$20="Bell_Curve",$NN$20*(148-$NR$20+1)*($NS$20-148+1)/$NU$20,$NN$20/$NT$20)),0)</f>
        <v/>
      </c>
      <c r="EW20" s="228">
        <f>IF(AND(149&gt;=$NR$20,149&lt;=$NS$20),IF($NP$20="Single_Point",IF(149=$NR$20,$NN$20,0),IF($NP$20="Bell_Curve",$NN$20*(149-$NR$20+1)*($NS$20-149+1)/$NU$20,$NN$20/$NT$20)),0)</f>
        <v/>
      </c>
      <c r="EX20" s="228">
        <f>IF(AND(150&gt;=$NR$20,150&lt;=$NS$20),IF($NP$20="Single_Point",IF(150=$NR$20,$NN$20,0),IF($NP$20="Bell_Curve",$NN$20*(150-$NR$20+1)*($NS$20-150+1)/$NU$20,$NN$20/$NT$20)),0)</f>
        <v/>
      </c>
      <c r="EY20" s="228">
        <f>IF(AND(151&gt;=$NR$20,151&lt;=$NS$20),IF($NP$20="Single_Point",IF(151=$NR$20,$NN$20,0),IF($NP$20="Bell_Curve",$NN$20*(151-$NR$20+1)*($NS$20-151+1)/$NU$20,$NN$20/$NT$20)),0)</f>
        <v/>
      </c>
      <c r="EZ20" s="228">
        <f>IF(AND(152&gt;=$NR$20,152&lt;=$NS$20),IF($NP$20="Single_Point",IF(152=$NR$20,$NN$20,0),IF($NP$20="Bell_Curve",$NN$20*(152-$NR$20+1)*($NS$20-152+1)/$NU$20,$NN$20/$NT$20)),0)</f>
        <v/>
      </c>
      <c r="FA20" s="228">
        <f>IF(AND(153&gt;=$NR$20,153&lt;=$NS$20),IF($NP$20="Single_Point",IF(153=$NR$20,$NN$20,0),IF($NP$20="Bell_Curve",$NN$20*(153-$NR$20+1)*($NS$20-153+1)/$NU$20,$NN$20/$NT$20)),0)</f>
        <v/>
      </c>
      <c r="FB20" s="228">
        <f>IF(AND(154&gt;=$NR$20,154&lt;=$NS$20),IF($NP$20="Single_Point",IF(154=$NR$20,$NN$20,0),IF($NP$20="Bell_Curve",$NN$20*(154-$NR$20+1)*($NS$20-154+1)/$NU$20,$NN$20/$NT$20)),0)</f>
        <v/>
      </c>
      <c r="FC20" s="228">
        <f>IF(AND(155&gt;=$NR$20,155&lt;=$NS$20),IF($NP$20="Single_Point",IF(155=$NR$20,$NN$20,0),IF($NP$20="Bell_Curve",$NN$20*(155-$NR$20+1)*($NS$20-155+1)/$NU$20,$NN$20/$NT$20)),0)</f>
        <v/>
      </c>
      <c r="FD20" s="228">
        <f>IF(AND(156&gt;=$NR$20,156&lt;=$NS$20),IF($NP$20="Single_Point",IF(156=$NR$20,$NN$20,0),IF($NP$20="Bell_Curve",$NN$20*(156-$NR$20+1)*($NS$20-156+1)/$NU$20,$NN$20/$NT$20)),0)</f>
        <v/>
      </c>
      <c r="FE20" s="228">
        <f>IF(AND(157&gt;=$NR$20,157&lt;=$NS$20),IF($NP$20="Single_Point",IF(157=$NR$20,$NN$20,0),IF($NP$20="Bell_Curve",$NN$20*(157-$NR$20+1)*($NS$20-157+1)/$NU$20,$NN$20/$NT$20)),0)</f>
        <v/>
      </c>
      <c r="FF20" s="228">
        <f>IF(AND(158&gt;=$NR$20,158&lt;=$NS$20),IF($NP$20="Single_Point",IF(158=$NR$20,$NN$20,0),IF($NP$20="Bell_Curve",$NN$20*(158-$NR$20+1)*($NS$20-158+1)/$NU$20,$NN$20/$NT$20)),0)</f>
        <v/>
      </c>
      <c r="FG20" s="228">
        <f>IF(AND(159&gt;=$NR$20,159&lt;=$NS$20),IF($NP$20="Single_Point",IF(159=$NR$20,$NN$20,0),IF($NP$20="Bell_Curve",$NN$20*(159-$NR$20+1)*($NS$20-159+1)/$NU$20,$NN$20/$NT$20)),0)</f>
        <v/>
      </c>
      <c r="FH20" s="228">
        <f>IF(AND(160&gt;=$NR$20,160&lt;=$NS$20),IF($NP$20="Single_Point",IF(160=$NR$20,$NN$20,0),IF($NP$20="Bell_Curve",$NN$20*(160-$NR$20+1)*($NS$20-160+1)/$NU$20,$NN$20/$NT$20)),0)</f>
        <v/>
      </c>
      <c r="FI20" s="228">
        <f>IF(AND(161&gt;=$NR$20,161&lt;=$NS$20),IF($NP$20="Single_Point",IF(161=$NR$20,$NN$20,0),IF($NP$20="Bell_Curve",$NN$20*(161-$NR$20+1)*($NS$20-161+1)/$NU$20,$NN$20/$NT$20)),0)</f>
        <v/>
      </c>
      <c r="FJ20" s="228">
        <f>IF(AND(162&gt;=$NR$20,162&lt;=$NS$20),IF($NP$20="Single_Point",IF(162=$NR$20,$NN$20,0),IF($NP$20="Bell_Curve",$NN$20*(162-$NR$20+1)*($NS$20-162+1)/$NU$20,$NN$20/$NT$20)),0)</f>
        <v/>
      </c>
      <c r="FK20" s="228">
        <f>IF(AND(163&gt;=$NR$20,163&lt;=$NS$20),IF($NP$20="Single_Point",IF(163=$NR$20,$NN$20,0),IF($NP$20="Bell_Curve",$NN$20*(163-$NR$20+1)*($NS$20-163+1)/$NU$20,$NN$20/$NT$20)),0)</f>
        <v/>
      </c>
      <c r="FL20" s="228">
        <f>IF(AND(164&gt;=$NR$20,164&lt;=$NS$20),IF($NP$20="Single_Point",IF(164=$NR$20,$NN$20,0),IF($NP$20="Bell_Curve",$NN$20*(164-$NR$20+1)*($NS$20-164+1)/$NU$20,$NN$20/$NT$20)),0)</f>
        <v/>
      </c>
      <c r="FM20" s="228">
        <f>IF(AND(165&gt;=$NR$20,165&lt;=$NS$20),IF($NP$20="Single_Point",IF(165=$NR$20,$NN$20,0),IF($NP$20="Bell_Curve",$NN$20*(165-$NR$20+1)*($NS$20-165+1)/$NU$20,$NN$20/$NT$20)),0)</f>
        <v/>
      </c>
      <c r="FN20" s="228">
        <f>IF(AND(166&gt;=$NR$20,166&lt;=$NS$20),IF($NP$20="Single_Point",IF(166=$NR$20,$NN$20,0),IF($NP$20="Bell_Curve",$NN$20*(166-$NR$20+1)*($NS$20-166+1)/$NU$20,$NN$20/$NT$20)),0)</f>
        <v/>
      </c>
      <c r="FO20" s="228">
        <f>IF(AND(167&gt;=$NR$20,167&lt;=$NS$20),IF($NP$20="Single_Point",IF(167=$NR$20,$NN$20,0),IF($NP$20="Bell_Curve",$NN$20*(167-$NR$20+1)*($NS$20-167+1)/$NU$20,$NN$20/$NT$20)),0)</f>
        <v/>
      </c>
      <c r="FP20" s="228">
        <f>IF(AND(168&gt;=$NR$20,168&lt;=$NS$20),IF($NP$20="Single_Point",IF(168=$NR$20,$NN$20,0),IF($NP$20="Bell_Curve",$NN$20*(168-$NR$20+1)*($NS$20-168+1)/$NU$20,$NN$20/$NT$20)),0)</f>
        <v/>
      </c>
      <c r="FQ20" s="228">
        <f>IF(AND(169&gt;=$NR$20,169&lt;=$NS$20),IF($NP$20="Single_Point",IF(169=$NR$20,$NN$20,0),IF($NP$20="Bell_Curve",$NN$20*(169-$NR$20+1)*($NS$20-169+1)/$NU$20,$NN$20/$NT$20)),0)</f>
        <v/>
      </c>
      <c r="FR20" s="228">
        <f>IF(AND(170&gt;=$NR$20,170&lt;=$NS$20),IF($NP$20="Single_Point",IF(170=$NR$20,$NN$20,0),IF($NP$20="Bell_Curve",$NN$20*(170-$NR$20+1)*($NS$20-170+1)/$NU$20,$NN$20/$NT$20)),0)</f>
        <v/>
      </c>
      <c r="FS20" s="228">
        <f>IF(AND(171&gt;=$NR$20,171&lt;=$NS$20),IF($NP$20="Single_Point",IF(171=$NR$20,$NN$20,0),IF($NP$20="Bell_Curve",$NN$20*(171-$NR$20+1)*($NS$20-171+1)/$NU$20,$NN$20/$NT$20)),0)</f>
        <v/>
      </c>
      <c r="FT20" s="228">
        <f>IF(AND(172&gt;=$NR$20,172&lt;=$NS$20),IF($NP$20="Single_Point",IF(172=$NR$20,$NN$20,0),IF($NP$20="Bell_Curve",$NN$20*(172-$NR$20+1)*($NS$20-172+1)/$NU$20,$NN$20/$NT$20)),0)</f>
        <v/>
      </c>
      <c r="FU20" s="228">
        <f>IF(AND(173&gt;=$NR$20,173&lt;=$NS$20),IF($NP$20="Single_Point",IF(173=$NR$20,$NN$20,0),IF($NP$20="Bell_Curve",$NN$20*(173-$NR$20+1)*($NS$20-173+1)/$NU$20,$NN$20/$NT$20)),0)</f>
        <v/>
      </c>
      <c r="FV20" s="228">
        <f>IF(AND(174&gt;=$NR$20,174&lt;=$NS$20),IF($NP$20="Single_Point",IF(174=$NR$20,$NN$20,0),IF($NP$20="Bell_Curve",$NN$20*(174-$NR$20+1)*($NS$20-174+1)/$NU$20,$NN$20/$NT$20)),0)</f>
        <v/>
      </c>
      <c r="FW20" s="228">
        <f>IF(AND(175&gt;=$NR$20,175&lt;=$NS$20),IF($NP$20="Single_Point",IF(175=$NR$20,$NN$20,0),IF($NP$20="Bell_Curve",$NN$20*(175-$NR$20+1)*($NS$20-175+1)/$NU$20,$NN$20/$NT$20)),0)</f>
        <v/>
      </c>
      <c r="FX20" s="228">
        <f>IF(AND(176&gt;=$NR$20,176&lt;=$NS$20),IF($NP$20="Single_Point",IF(176=$NR$20,$NN$20,0),IF($NP$20="Bell_Curve",$NN$20*(176-$NR$20+1)*($NS$20-176+1)/$NU$20,$NN$20/$NT$20)),0)</f>
        <v/>
      </c>
      <c r="FY20" s="228">
        <f>IF(AND(177&gt;=$NR$20,177&lt;=$NS$20),IF($NP$20="Single_Point",IF(177=$NR$20,$NN$20,0),IF($NP$20="Bell_Curve",$NN$20*(177-$NR$20+1)*($NS$20-177+1)/$NU$20,$NN$20/$NT$20)),0)</f>
        <v/>
      </c>
      <c r="FZ20" s="228">
        <f>IF(AND(178&gt;=$NR$20,178&lt;=$NS$20),IF($NP$20="Single_Point",IF(178=$NR$20,$NN$20,0),IF($NP$20="Bell_Curve",$NN$20*(178-$NR$20+1)*($NS$20-178+1)/$NU$20,$NN$20/$NT$20)),0)</f>
        <v/>
      </c>
      <c r="GA20" s="228">
        <f>IF(AND(179&gt;=$NR$20,179&lt;=$NS$20),IF($NP$20="Single_Point",IF(179=$NR$20,$NN$20,0),IF($NP$20="Bell_Curve",$NN$20*(179-$NR$20+1)*($NS$20-179+1)/$NU$20,$NN$20/$NT$20)),0)</f>
        <v/>
      </c>
      <c r="GB20" s="228">
        <f>IF(AND(180&gt;=$NR$20,180&lt;=$NS$20),IF($NP$20="Single_Point",IF(180=$NR$20,$NN$20,0),IF($NP$20="Bell_Curve",$NN$20*(180-$NR$20+1)*($NS$20-180+1)/$NU$20,$NN$20/$NT$20)),0)</f>
        <v/>
      </c>
      <c r="GC20" s="228">
        <f>IF(AND(181&gt;=$NR$20,181&lt;=$NS$20),IF($NP$20="Single_Point",IF(181=$NR$20,$NN$20,0),IF($NP$20="Bell_Curve",$NN$20*(181-$NR$20+1)*($NS$20-181+1)/$NU$20,$NN$20/$NT$20)),0)</f>
        <v/>
      </c>
      <c r="GD20" s="228">
        <f>IF(AND(182&gt;=$NR$20,182&lt;=$NS$20),IF($NP$20="Single_Point",IF(182=$NR$20,$NN$20,0),IF($NP$20="Bell_Curve",$NN$20*(182-$NR$20+1)*($NS$20-182+1)/$NU$20,$NN$20/$NT$20)),0)</f>
        <v/>
      </c>
      <c r="GE20" s="228">
        <f>IF(AND(183&gt;=$NR$20,183&lt;=$NS$20),IF($NP$20="Single_Point",IF(183=$NR$20,$NN$20,0),IF($NP$20="Bell_Curve",$NN$20*(183-$NR$20+1)*($NS$20-183+1)/$NU$20,$NN$20/$NT$20)),0)</f>
        <v/>
      </c>
      <c r="GF20" s="228">
        <f>IF(AND(184&gt;=$NR$20,184&lt;=$NS$20),IF($NP$20="Single_Point",IF(184=$NR$20,$NN$20,0),IF($NP$20="Bell_Curve",$NN$20*(184-$NR$20+1)*($NS$20-184+1)/$NU$20,$NN$20/$NT$20)),0)</f>
        <v/>
      </c>
      <c r="GG20" s="228">
        <f>IF(AND(185&gt;=$NR$20,185&lt;=$NS$20),IF($NP$20="Single_Point",IF(185=$NR$20,$NN$20,0),IF($NP$20="Bell_Curve",$NN$20*(185-$NR$20+1)*($NS$20-185+1)/$NU$20,$NN$20/$NT$20)),0)</f>
        <v/>
      </c>
      <c r="GH20" s="228">
        <f>IF(AND(186&gt;=$NR$20,186&lt;=$NS$20),IF($NP$20="Single_Point",IF(186=$NR$20,$NN$20,0),IF($NP$20="Bell_Curve",$NN$20*(186-$NR$20+1)*($NS$20-186+1)/$NU$20,$NN$20/$NT$20)),0)</f>
        <v/>
      </c>
      <c r="GI20" s="228">
        <f>IF(AND(187&gt;=$NR$20,187&lt;=$NS$20),IF($NP$20="Single_Point",IF(187=$NR$20,$NN$20,0),IF($NP$20="Bell_Curve",$NN$20*(187-$NR$20+1)*($NS$20-187+1)/$NU$20,$NN$20/$NT$20)),0)</f>
        <v/>
      </c>
      <c r="GJ20" s="228">
        <f>IF(AND(188&gt;=$NR$20,188&lt;=$NS$20),IF($NP$20="Single_Point",IF(188=$NR$20,$NN$20,0),IF($NP$20="Bell_Curve",$NN$20*(188-$NR$20+1)*($NS$20-188+1)/$NU$20,$NN$20/$NT$20)),0)</f>
        <v/>
      </c>
      <c r="GK20" s="228">
        <f>IF(AND(189&gt;=$NR$20,189&lt;=$NS$20),IF($NP$20="Single_Point",IF(189=$NR$20,$NN$20,0),IF($NP$20="Bell_Curve",$NN$20*(189-$NR$20+1)*($NS$20-189+1)/$NU$20,$NN$20/$NT$20)),0)</f>
        <v/>
      </c>
      <c r="GL20" s="228">
        <f>IF(AND(190&gt;=$NR$20,190&lt;=$NS$20),IF($NP$20="Single_Point",IF(190=$NR$20,$NN$20,0),IF($NP$20="Bell_Curve",$NN$20*(190-$NR$20+1)*($NS$20-190+1)/$NU$20,$NN$20/$NT$20)),0)</f>
        <v/>
      </c>
      <c r="GM20" s="228">
        <f>IF(AND(191&gt;=$NR$20,191&lt;=$NS$20),IF($NP$20="Single_Point",IF(191=$NR$20,$NN$20,0),IF($NP$20="Bell_Curve",$NN$20*(191-$NR$20+1)*($NS$20-191+1)/$NU$20,$NN$20/$NT$20)),0)</f>
        <v/>
      </c>
      <c r="GN20" s="228">
        <f>IF(AND(192&gt;=$NR$20,192&lt;=$NS$20),IF($NP$20="Single_Point",IF(192=$NR$20,$NN$20,0),IF($NP$20="Bell_Curve",$NN$20*(192-$NR$20+1)*($NS$20-192+1)/$NU$20,$NN$20/$NT$20)),0)</f>
        <v/>
      </c>
      <c r="GO20" s="228">
        <f>IF(AND(193&gt;=$NR$20,193&lt;=$NS$20),IF($NP$20="Single_Point",IF(193=$NR$20,$NN$20,0),IF($NP$20="Bell_Curve",$NN$20*(193-$NR$20+1)*($NS$20-193+1)/$NU$20,$NN$20/$NT$20)),0)</f>
        <v/>
      </c>
      <c r="GP20" s="228">
        <f>IF(AND(194&gt;=$NR$20,194&lt;=$NS$20),IF($NP$20="Single_Point",IF(194=$NR$20,$NN$20,0),IF($NP$20="Bell_Curve",$NN$20*(194-$NR$20+1)*($NS$20-194+1)/$NU$20,$NN$20/$NT$20)),0)</f>
        <v/>
      </c>
      <c r="GQ20" s="228">
        <f>IF(AND(195&gt;=$NR$20,195&lt;=$NS$20),IF($NP$20="Single_Point",IF(195=$NR$20,$NN$20,0),IF($NP$20="Bell_Curve",$NN$20*(195-$NR$20+1)*($NS$20-195+1)/$NU$20,$NN$20/$NT$20)),0)</f>
        <v/>
      </c>
      <c r="GR20" s="228">
        <f>IF(AND(196&gt;=$NR$20,196&lt;=$NS$20),IF($NP$20="Single_Point",IF(196=$NR$20,$NN$20,0),IF($NP$20="Bell_Curve",$NN$20*(196-$NR$20+1)*($NS$20-196+1)/$NU$20,$NN$20/$NT$20)),0)</f>
        <v/>
      </c>
      <c r="GS20" s="228">
        <f>IF(AND(197&gt;=$NR$20,197&lt;=$NS$20),IF($NP$20="Single_Point",IF(197=$NR$20,$NN$20,0),IF($NP$20="Bell_Curve",$NN$20*(197-$NR$20+1)*($NS$20-197+1)/$NU$20,$NN$20/$NT$20)),0)</f>
        <v/>
      </c>
      <c r="GT20" s="228">
        <f>IF(AND(198&gt;=$NR$20,198&lt;=$NS$20),IF($NP$20="Single_Point",IF(198=$NR$20,$NN$20,0),IF($NP$20="Bell_Curve",$NN$20*(198-$NR$20+1)*($NS$20-198+1)/$NU$20,$NN$20/$NT$20)),0)</f>
        <v/>
      </c>
      <c r="GU20" s="228">
        <f>IF(AND(199&gt;=$NR$20,199&lt;=$NS$20),IF($NP$20="Single_Point",IF(199=$NR$20,$NN$20,0),IF($NP$20="Bell_Curve",$NN$20*(199-$NR$20+1)*($NS$20-199+1)/$NU$20,$NN$20/$NT$20)),0)</f>
        <v/>
      </c>
      <c r="GV20" s="228">
        <f>IF(AND(200&gt;=$NR$20,200&lt;=$NS$20),IF($NP$20="Single_Point",IF(200=$NR$20,$NN$20,0),IF($NP$20="Bell_Curve",$NN$20*(200-$NR$20+1)*($NS$20-200+1)/$NU$20,$NN$20/$NT$20)),0)</f>
        <v/>
      </c>
      <c r="GW20" s="228">
        <f>IF(AND(201&gt;=$NR$20,201&lt;=$NS$20),IF($NP$20="Single_Point",IF(201=$NR$20,$NN$20,0),IF($NP$20="Bell_Curve",$NN$20*(201-$NR$20+1)*($NS$20-201+1)/$NU$20,$NN$20/$NT$20)),0)</f>
        <v/>
      </c>
      <c r="GX20" s="228">
        <f>IF(AND(202&gt;=$NR$20,202&lt;=$NS$20),IF($NP$20="Single_Point",IF(202=$NR$20,$NN$20,0),IF($NP$20="Bell_Curve",$NN$20*(202-$NR$20+1)*($NS$20-202+1)/$NU$20,$NN$20/$NT$20)),0)</f>
        <v/>
      </c>
      <c r="GY20" s="228">
        <f>IF(AND(203&gt;=$NR$20,203&lt;=$NS$20),IF($NP$20="Single_Point",IF(203=$NR$20,$NN$20,0),IF($NP$20="Bell_Curve",$NN$20*(203-$NR$20+1)*($NS$20-203+1)/$NU$20,$NN$20/$NT$20)),0)</f>
        <v/>
      </c>
      <c r="GZ20" s="228">
        <f>IF(AND(204&gt;=$NR$20,204&lt;=$NS$20),IF($NP$20="Single_Point",IF(204=$NR$20,$NN$20,0),IF($NP$20="Bell_Curve",$NN$20*(204-$NR$20+1)*($NS$20-204+1)/$NU$20,$NN$20/$NT$20)),0)</f>
        <v/>
      </c>
      <c r="HA20" s="228">
        <f>IF(AND(205&gt;=$NR$20,205&lt;=$NS$20),IF($NP$20="Single_Point",IF(205=$NR$20,$NN$20,0),IF($NP$20="Bell_Curve",$NN$20*(205-$NR$20+1)*($NS$20-205+1)/$NU$20,$NN$20/$NT$20)),0)</f>
        <v/>
      </c>
      <c r="HB20" s="228">
        <f>IF(AND(206&gt;=$NR$20,206&lt;=$NS$20),IF($NP$20="Single_Point",IF(206=$NR$20,$NN$20,0),IF($NP$20="Bell_Curve",$NN$20*(206-$NR$20+1)*($NS$20-206+1)/$NU$20,$NN$20/$NT$20)),0)</f>
        <v/>
      </c>
      <c r="HC20" s="228">
        <f>IF(AND(207&gt;=$NR$20,207&lt;=$NS$20),IF($NP$20="Single_Point",IF(207=$NR$20,$NN$20,0),IF($NP$20="Bell_Curve",$NN$20*(207-$NR$20+1)*($NS$20-207+1)/$NU$20,$NN$20/$NT$20)),0)</f>
        <v/>
      </c>
      <c r="HD20" s="228">
        <f>IF(AND(208&gt;=$NR$20,208&lt;=$NS$20),IF($NP$20="Single_Point",IF(208=$NR$20,$NN$20,0),IF($NP$20="Bell_Curve",$NN$20*(208-$NR$20+1)*($NS$20-208+1)/$NU$20,$NN$20/$NT$20)),0)</f>
        <v/>
      </c>
      <c r="HE20" s="228">
        <f>IF(AND(209&gt;=$NR$20,209&lt;=$NS$20),IF($NP$20="Single_Point",IF(209=$NR$20,$NN$20,0),IF($NP$20="Bell_Curve",$NN$20*(209-$NR$20+1)*($NS$20-209+1)/$NU$20,$NN$20/$NT$20)),0)</f>
        <v/>
      </c>
      <c r="HF20" s="228">
        <f>IF(AND(210&gt;=$NR$20,210&lt;=$NS$20),IF($NP$20="Single_Point",IF(210=$NR$20,$NN$20,0),IF($NP$20="Bell_Curve",$NN$20*(210-$NR$20+1)*($NS$20-210+1)/$NU$20,$NN$20/$NT$20)),0)</f>
        <v/>
      </c>
      <c r="HG20" s="228">
        <f>IF(AND(211&gt;=$NR$20,211&lt;=$NS$20),IF($NP$20="Single_Point",IF(211=$NR$20,$NN$20,0),IF($NP$20="Bell_Curve",$NN$20*(211-$NR$20+1)*($NS$20-211+1)/$NU$20,$NN$20/$NT$20)),0)</f>
        <v/>
      </c>
      <c r="HH20" s="228">
        <f>IF(AND(212&gt;=$NR$20,212&lt;=$NS$20),IF($NP$20="Single_Point",IF(212=$NR$20,$NN$20,0),IF($NP$20="Bell_Curve",$NN$20*(212-$NR$20+1)*($NS$20-212+1)/$NU$20,$NN$20/$NT$20)),0)</f>
        <v/>
      </c>
      <c r="HI20" s="228">
        <f>IF(AND(213&gt;=$NR$20,213&lt;=$NS$20),IF($NP$20="Single_Point",IF(213=$NR$20,$NN$20,0),IF($NP$20="Bell_Curve",$NN$20*(213-$NR$20+1)*($NS$20-213+1)/$NU$20,$NN$20/$NT$20)),0)</f>
        <v/>
      </c>
      <c r="HJ20" s="228">
        <f>IF(AND(214&gt;=$NR$20,214&lt;=$NS$20),IF($NP$20="Single_Point",IF(214=$NR$20,$NN$20,0),IF($NP$20="Bell_Curve",$NN$20*(214-$NR$20+1)*($NS$20-214+1)/$NU$20,$NN$20/$NT$20)),0)</f>
        <v/>
      </c>
      <c r="HK20" s="228">
        <f>IF(AND(215&gt;=$NR$20,215&lt;=$NS$20),IF($NP$20="Single_Point",IF(215=$NR$20,$NN$20,0),IF($NP$20="Bell_Curve",$NN$20*(215-$NR$20+1)*($NS$20-215+1)/$NU$20,$NN$20/$NT$20)),0)</f>
        <v/>
      </c>
      <c r="HL20" s="228">
        <f>IF(AND(216&gt;=$NR$20,216&lt;=$NS$20),IF($NP$20="Single_Point",IF(216=$NR$20,$NN$20,0),IF($NP$20="Bell_Curve",$NN$20*(216-$NR$20+1)*($NS$20-216+1)/$NU$20,$NN$20/$NT$20)),0)</f>
        <v/>
      </c>
      <c r="HM20" s="228">
        <f>IF(AND(217&gt;=$NR$20,217&lt;=$NS$20),IF($NP$20="Single_Point",IF(217=$NR$20,$NN$20,0),IF($NP$20="Bell_Curve",$NN$20*(217-$NR$20+1)*($NS$20-217+1)/$NU$20,$NN$20/$NT$20)),0)</f>
        <v/>
      </c>
      <c r="HN20" s="228">
        <f>IF(AND(218&gt;=$NR$20,218&lt;=$NS$20),IF($NP$20="Single_Point",IF(218=$NR$20,$NN$20,0),IF($NP$20="Bell_Curve",$NN$20*(218-$NR$20+1)*($NS$20-218+1)/$NU$20,$NN$20/$NT$20)),0)</f>
        <v/>
      </c>
      <c r="HO20" s="228">
        <f>IF(AND(219&gt;=$NR$20,219&lt;=$NS$20),IF($NP$20="Single_Point",IF(219=$NR$20,$NN$20,0),IF($NP$20="Bell_Curve",$NN$20*(219-$NR$20+1)*($NS$20-219+1)/$NU$20,$NN$20/$NT$20)),0)</f>
        <v/>
      </c>
      <c r="HP20" s="228">
        <f>IF(AND(220&gt;=$NR$20,220&lt;=$NS$20),IF($NP$20="Single_Point",IF(220=$NR$20,$NN$20,0),IF($NP$20="Bell_Curve",$NN$20*(220-$NR$20+1)*($NS$20-220+1)/$NU$20,$NN$20/$NT$20)),0)</f>
        <v/>
      </c>
      <c r="HQ20" s="228">
        <f>IF(AND(221&gt;=$NR$20,221&lt;=$NS$20),IF($NP$20="Single_Point",IF(221=$NR$20,$NN$20,0),IF($NP$20="Bell_Curve",$NN$20*(221-$NR$20+1)*($NS$20-221+1)/$NU$20,$NN$20/$NT$20)),0)</f>
        <v/>
      </c>
      <c r="HR20" s="228">
        <f>IF(AND(222&gt;=$NR$20,222&lt;=$NS$20),IF($NP$20="Single_Point",IF(222=$NR$20,$NN$20,0),IF($NP$20="Bell_Curve",$NN$20*(222-$NR$20+1)*($NS$20-222+1)/$NU$20,$NN$20/$NT$20)),0)</f>
        <v/>
      </c>
      <c r="HS20" s="228">
        <f>IF(AND(223&gt;=$NR$20,223&lt;=$NS$20),IF($NP$20="Single_Point",IF(223=$NR$20,$NN$20,0),IF($NP$20="Bell_Curve",$NN$20*(223-$NR$20+1)*($NS$20-223+1)/$NU$20,$NN$20/$NT$20)),0)</f>
        <v/>
      </c>
      <c r="HT20" s="228">
        <f>IF(AND(224&gt;=$NR$20,224&lt;=$NS$20),IF($NP$20="Single_Point",IF(224=$NR$20,$NN$20,0),IF($NP$20="Bell_Curve",$NN$20*(224-$NR$20+1)*($NS$20-224+1)/$NU$20,$NN$20/$NT$20)),0)</f>
        <v/>
      </c>
      <c r="HU20" s="228">
        <f>IF(AND(225&gt;=$NR$20,225&lt;=$NS$20),IF($NP$20="Single_Point",IF(225=$NR$20,$NN$20,0),IF($NP$20="Bell_Curve",$NN$20*(225-$NR$20+1)*($NS$20-225+1)/$NU$20,$NN$20/$NT$20)),0)</f>
        <v/>
      </c>
      <c r="HV20" s="228">
        <f>IF(AND(226&gt;=$NR$20,226&lt;=$NS$20),IF($NP$20="Single_Point",IF(226=$NR$20,$NN$20,0),IF($NP$20="Bell_Curve",$NN$20*(226-$NR$20+1)*($NS$20-226+1)/$NU$20,$NN$20/$NT$20)),0)</f>
        <v/>
      </c>
      <c r="HW20" s="228">
        <f>IF(AND(227&gt;=$NR$20,227&lt;=$NS$20),IF($NP$20="Single_Point",IF(227=$NR$20,$NN$20,0),IF($NP$20="Bell_Curve",$NN$20*(227-$NR$20+1)*($NS$20-227+1)/$NU$20,$NN$20/$NT$20)),0)</f>
        <v/>
      </c>
      <c r="HX20" s="228">
        <f>IF(AND(228&gt;=$NR$20,228&lt;=$NS$20),IF($NP$20="Single_Point",IF(228=$NR$20,$NN$20,0),IF($NP$20="Bell_Curve",$NN$20*(228-$NR$20+1)*($NS$20-228+1)/$NU$20,$NN$20/$NT$20)),0)</f>
        <v/>
      </c>
      <c r="HY20" s="228">
        <f>IF(AND(229&gt;=$NR$20,229&lt;=$NS$20),IF($NP$20="Single_Point",IF(229=$NR$20,$NN$20,0),IF($NP$20="Bell_Curve",$NN$20*(229-$NR$20+1)*($NS$20-229+1)/$NU$20,$NN$20/$NT$20)),0)</f>
        <v/>
      </c>
      <c r="HZ20" s="228">
        <f>IF(AND(230&gt;=$NR$20,230&lt;=$NS$20),IF($NP$20="Single_Point",IF(230=$NR$20,$NN$20,0),IF($NP$20="Bell_Curve",$NN$20*(230-$NR$20+1)*($NS$20-230+1)/$NU$20,$NN$20/$NT$20)),0)</f>
        <v/>
      </c>
      <c r="IA20" s="228">
        <f>IF(AND(231&gt;=$NR$20,231&lt;=$NS$20),IF($NP$20="Single_Point",IF(231=$NR$20,$NN$20,0),IF($NP$20="Bell_Curve",$NN$20*(231-$NR$20+1)*($NS$20-231+1)/$NU$20,$NN$20/$NT$20)),0)</f>
        <v/>
      </c>
      <c r="IB20" s="228">
        <f>IF(AND(232&gt;=$NR$20,232&lt;=$NS$20),IF($NP$20="Single_Point",IF(232=$NR$20,$NN$20,0),IF($NP$20="Bell_Curve",$NN$20*(232-$NR$20+1)*($NS$20-232+1)/$NU$20,$NN$20/$NT$20)),0)</f>
        <v/>
      </c>
      <c r="IC20" s="228">
        <f>IF(AND(233&gt;=$NR$20,233&lt;=$NS$20),IF($NP$20="Single_Point",IF(233=$NR$20,$NN$20,0),IF($NP$20="Bell_Curve",$NN$20*(233-$NR$20+1)*($NS$20-233+1)/$NU$20,$NN$20/$NT$20)),0)</f>
        <v/>
      </c>
      <c r="ID20" s="228">
        <f>IF(AND(234&gt;=$NR$20,234&lt;=$NS$20),IF($NP$20="Single_Point",IF(234=$NR$20,$NN$20,0),IF($NP$20="Bell_Curve",$NN$20*(234-$NR$20+1)*($NS$20-234+1)/$NU$20,$NN$20/$NT$20)),0)</f>
        <v/>
      </c>
      <c r="IE20" s="228">
        <f>IF(AND(235&gt;=$NR$20,235&lt;=$NS$20),IF($NP$20="Single_Point",IF(235=$NR$20,$NN$20,0),IF($NP$20="Bell_Curve",$NN$20*(235-$NR$20+1)*($NS$20-235+1)/$NU$20,$NN$20/$NT$20)),0)</f>
        <v/>
      </c>
      <c r="IF20" s="228">
        <f>IF(AND(236&gt;=$NR$20,236&lt;=$NS$20),IF($NP$20="Single_Point",IF(236=$NR$20,$NN$20,0),IF($NP$20="Bell_Curve",$NN$20*(236-$NR$20+1)*($NS$20-236+1)/$NU$20,$NN$20/$NT$20)),0)</f>
        <v/>
      </c>
      <c r="IG20" s="228">
        <f>IF(AND(237&gt;=$NR$20,237&lt;=$NS$20),IF($NP$20="Single_Point",IF(237=$NR$20,$NN$20,0),IF($NP$20="Bell_Curve",$NN$20*(237-$NR$20+1)*($NS$20-237+1)/$NU$20,$NN$20/$NT$20)),0)</f>
        <v/>
      </c>
      <c r="IH20" s="228">
        <f>IF(AND(238&gt;=$NR$20,238&lt;=$NS$20),IF($NP$20="Single_Point",IF(238=$NR$20,$NN$20,0),IF($NP$20="Bell_Curve",$NN$20*(238-$NR$20+1)*($NS$20-238+1)/$NU$20,$NN$20/$NT$20)),0)</f>
        <v/>
      </c>
      <c r="II20" s="228">
        <f>IF(AND(239&gt;=$NR$20,239&lt;=$NS$20),IF($NP$20="Single_Point",IF(239=$NR$20,$NN$20,0),IF($NP$20="Bell_Curve",$NN$20*(239-$NR$20+1)*($NS$20-239+1)/$NU$20,$NN$20/$NT$20)),0)</f>
        <v/>
      </c>
      <c r="IJ20" s="228">
        <f>IF(AND(240&gt;=$NR$20,240&lt;=$NS$20),IF($NP$20="Single_Point",IF(240=$NR$20,$NN$20,0),IF($NP$20="Bell_Curve",$NN$20*(240-$NR$20+1)*($NS$20-240+1)/$NU$20,$NN$20/$NT$20)),0)</f>
        <v/>
      </c>
      <c r="IK20" s="228">
        <f>IF(AND(241&gt;=$NR$20,241&lt;=$NS$20),IF($NP$20="Single_Point",IF(241=$NR$20,$NN$20,0),IF($NP$20="Bell_Curve",$NN$20*(241-$NR$20+1)*($NS$20-241+1)/$NU$20,$NN$20/$NT$20)),0)</f>
        <v/>
      </c>
      <c r="IL20" s="228">
        <f>IF(AND(242&gt;=$NR$20,242&lt;=$NS$20),IF($NP$20="Single_Point",IF(242=$NR$20,$NN$20,0),IF($NP$20="Bell_Curve",$NN$20*(242-$NR$20+1)*($NS$20-242+1)/$NU$20,$NN$20/$NT$20)),0)</f>
        <v/>
      </c>
      <c r="IM20" s="228">
        <f>IF(AND(243&gt;=$NR$20,243&lt;=$NS$20),IF($NP$20="Single_Point",IF(243=$NR$20,$NN$20,0),IF($NP$20="Bell_Curve",$NN$20*(243-$NR$20+1)*($NS$20-243+1)/$NU$20,$NN$20/$NT$20)),0)</f>
        <v/>
      </c>
      <c r="IN20" s="228">
        <f>IF(AND(244&gt;=$NR$20,244&lt;=$NS$20),IF($NP$20="Single_Point",IF(244=$NR$20,$NN$20,0),IF($NP$20="Bell_Curve",$NN$20*(244-$NR$20+1)*($NS$20-244+1)/$NU$20,$NN$20/$NT$20)),0)</f>
        <v/>
      </c>
      <c r="IO20" s="228">
        <f>IF(AND(245&gt;=$NR$20,245&lt;=$NS$20),IF($NP$20="Single_Point",IF(245=$NR$20,$NN$20,0),IF($NP$20="Bell_Curve",$NN$20*(245-$NR$20+1)*($NS$20-245+1)/$NU$20,$NN$20/$NT$20)),0)</f>
        <v/>
      </c>
      <c r="IP20" s="228">
        <f>IF(AND(246&gt;=$NR$20,246&lt;=$NS$20),IF($NP$20="Single_Point",IF(246=$NR$20,$NN$20,0),IF($NP$20="Bell_Curve",$NN$20*(246-$NR$20+1)*($NS$20-246+1)/$NU$20,$NN$20/$NT$20)),0)</f>
        <v/>
      </c>
      <c r="IQ20" s="228">
        <f>IF(AND(247&gt;=$NR$20,247&lt;=$NS$20),IF($NP$20="Single_Point",IF(247=$NR$20,$NN$20,0),IF($NP$20="Bell_Curve",$NN$20*(247-$NR$20+1)*($NS$20-247+1)/$NU$20,$NN$20/$NT$20)),0)</f>
        <v/>
      </c>
      <c r="IR20" s="228">
        <f>IF(AND(248&gt;=$NR$20,248&lt;=$NS$20),IF($NP$20="Single_Point",IF(248=$NR$20,$NN$20,0),IF($NP$20="Bell_Curve",$NN$20*(248-$NR$20+1)*($NS$20-248+1)/$NU$20,$NN$20/$NT$20)),0)</f>
        <v/>
      </c>
      <c r="IS20" s="228">
        <f>IF(AND(249&gt;=$NR$20,249&lt;=$NS$20),IF($NP$20="Single_Point",IF(249=$NR$20,$NN$20,0),IF($NP$20="Bell_Curve",$NN$20*(249-$NR$20+1)*($NS$20-249+1)/$NU$20,$NN$20/$NT$20)),0)</f>
        <v/>
      </c>
      <c r="IT20" s="228">
        <f>IF(AND(250&gt;=$NR$20,250&lt;=$NS$20),IF($NP$20="Single_Point",IF(250=$NR$20,$NN$20,0),IF($NP$20="Bell_Curve",$NN$20*(250-$NR$20+1)*($NS$20-250+1)/$NU$20,$NN$20/$NT$20)),0)</f>
        <v/>
      </c>
      <c r="IU20" s="228">
        <f>IF(AND(251&gt;=$NR$20,251&lt;=$NS$20),IF($NP$20="Single_Point",IF(251=$NR$20,$NN$20,0),IF($NP$20="Bell_Curve",$NN$20*(251-$NR$20+1)*($NS$20-251+1)/$NU$20,$NN$20/$NT$20)),0)</f>
        <v/>
      </c>
      <c r="IV20" s="228">
        <f>IF(AND(252&gt;=$NR$20,252&lt;=$NS$20),IF($NP$20="Single_Point",IF(252=$NR$20,$NN$20,0),IF($NP$20="Bell_Curve",$NN$20*(252-$NR$20+1)*($NS$20-252+1)/$NU$20,$NN$20/$NT$20)),0)</f>
        <v/>
      </c>
      <c r="IW20" s="228">
        <f>IF(AND(253&gt;=$NR$20,253&lt;=$NS$20),IF($NP$20="Single_Point",IF(253=$NR$20,$NN$20,0),IF($NP$20="Bell_Curve",$NN$20*(253-$NR$20+1)*($NS$20-253+1)/$NU$20,$NN$20/$NT$20)),0)</f>
        <v/>
      </c>
      <c r="IX20" s="228">
        <f>IF(AND(254&gt;=$NR$20,254&lt;=$NS$20),IF($NP$20="Single_Point",IF(254=$NR$20,$NN$20,0),IF($NP$20="Bell_Curve",$NN$20*(254-$NR$20+1)*($NS$20-254+1)/$NU$20,$NN$20/$NT$20)),0)</f>
        <v/>
      </c>
      <c r="IY20" s="228">
        <f>IF(AND(255&gt;=$NR$20,255&lt;=$NS$20),IF($NP$20="Single_Point",IF(255=$NR$20,$NN$20,0),IF($NP$20="Bell_Curve",$NN$20*(255-$NR$20+1)*($NS$20-255+1)/$NU$20,$NN$20/$NT$20)),0)</f>
        <v/>
      </c>
      <c r="IZ20" s="228">
        <f>IF(AND(256&gt;=$NR$20,256&lt;=$NS$20),IF($NP$20="Single_Point",IF(256=$NR$20,$NN$20,0),IF($NP$20="Bell_Curve",$NN$20*(256-$NR$20+1)*($NS$20-256+1)/$NU$20,$NN$20/$NT$20)),0)</f>
        <v/>
      </c>
      <c r="JA20" s="228">
        <f>IF(AND(257&gt;=$NR$20,257&lt;=$NS$20),IF($NP$20="Single_Point",IF(257=$NR$20,$NN$20,0),IF($NP$20="Bell_Curve",$NN$20*(257-$NR$20+1)*($NS$20-257+1)/$NU$20,$NN$20/$NT$20)),0)</f>
        <v/>
      </c>
      <c r="JB20" s="228">
        <f>IF(AND(258&gt;=$NR$20,258&lt;=$NS$20),IF($NP$20="Single_Point",IF(258=$NR$20,$NN$20,0),IF($NP$20="Bell_Curve",$NN$20*(258-$NR$20+1)*($NS$20-258+1)/$NU$20,$NN$20/$NT$20)),0)</f>
        <v/>
      </c>
      <c r="JC20" s="228">
        <f>IF(AND(259&gt;=$NR$20,259&lt;=$NS$20),IF($NP$20="Single_Point",IF(259=$NR$20,$NN$20,0),IF($NP$20="Bell_Curve",$NN$20*(259-$NR$20+1)*($NS$20-259+1)/$NU$20,$NN$20/$NT$20)),0)</f>
        <v/>
      </c>
      <c r="JD20" s="228">
        <f>IF(AND(260&gt;=$NR$20,260&lt;=$NS$20),IF($NP$20="Single_Point",IF(260=$NR$20,$NN$20,0),IF($NP$20="Bell_Curve",$NN$20*(260-$NR$20+1)*($NS$20-260+1)/$NU$20,$NN$20/$NT$20)),0)</f>
        <v/>
      </c>
      <c r="JE20" s="228">
        <f>IF(AND(261&gt;=$NR$20,261&lt;=$NS$20),IF($NP$20="Single_Point",IF(261=$NR$20,$NN$20,0),IF($NP$20="Bell_Curve",$NN$20*(261-$NR$20+1)*($NS$20-261+1)/$NU$20,$NN$20/$NT$20)),0)</f>
        <v/>
      </c>
      <c r="JF20" s="228">
        <f>IF(AND(262&gt;=$NR$20,262&lt;=$NS$20),IF($NP$20="Single_Point",IF(262=$NR$20,$NN$20,0),IF($NP$20="Bell_Curve",$NN$20*(262-$NR$20+1)*($NS$20-262+1)/$NU$20,$NN$20/$NT$20)),0)</f>
        <v/>
      </c>
      <c r="JG20" s="228">
        <f>IF(AND(263&gt;=$NR$20,263&lt;=$NS$20),IF($NP$20="Single_Point",IF(263=$NR$20,$NN$20,0),IF($NP$20="Bell_Curve",$NN$20*(263-$NR$20+1)*($NS$20-263+1)/$NU$20,$NN$20/$NT$20)),0)</f>
        <v/>
      </c>
      <c r="JH20" s="228">
        <f>IF(AND(264&gt;=$NR$20,264&lt;=$NS$20),IF($NP$20="Single_Point",IF(264=$NR$20,$NN$20,0),IF($NP$20="Bell_Curve",$NN$20*(264-$NR$20+1)*($NS$20-264+1)/$NU$20,$NN$20/$NT$20)),0)</f>
        <v/>
      </c>
      <c r="JI20" s="228">
        <f>IF(AND(265&gt;=$NR$20,265&lt;=$NS$20),IF($NP$20="Single_Point",IF(265=$NR$20,$NN$20,0),IF($NP$20="Bell_Curve",$NN$20*(265-$NR$20+1)*($NS$20-265+1)/$NU$20,$NN$20/$NT$20)),0)</f>
        <v/>
      </c>
      <c r="JJ20" s="228">
        <f>IF(AND(266&gt;=$NR$20,266&lt;=$NS$20),IF($NP$20="Single_Point",IF(266=$NR$20,$NN$20,0),IF($NP$20="Bell_Curve",$NN$20*(266-$NR$20+1)*($NS$20-266+1)/$NU$20,$NN$20/$NT$20)),0)</f>
        <v/>
      </c>
      <c r="JK20" s="228">
        <f>IF(AND(267&gt;=$NR$20,267&lt;=$NS$20),IF($NP$20="Single_Point",IF(267=$NR$20,$NN$20,0),IF($NP$20="Bell_Curve",$NN$20*(267-$NR$20+1)*($NS$20-267+1)/$NU$20,$NN$20/$NT$20)),0)</f>
        <v/>
      </c>
      <c r="JL20" s="228">
        <f>IF(AND(268&gt;=$NR$20,268&lt;=$NS$20),IF($NP$20="Single_Point",IF(268=$NR$20,$NN$20,0),IF($NP$20="Bell_Curve",$NN$20*(268-$NR$20+1)*($NS$20-268+1)/$NU$20,$NN$20/$NT$20)),0)</f>
        <v/>
      </c>
      <c r="JM20" s="228">
        <f>IF(AND(269&gt;=$NR$20,269&lt;=$NS$20),IF($NP$20="Single_Point",IF(269=$NR$20,$NN$20,0),IF($NP$20="Bell_Curve",$NN$20*(269-$NR$20+1)*($NS$20-269+1)/$NU$20,$NN$20/$NT$20)),0)</f>
        <v/>
      </c>
      <c r="JN20" s="228">
        <f>IF(AND(270&gt;=$NR$20,270&lt;=$NS$20),IF($NP$20="Single_Point",IF(270=$NR$20,$NN$20,0),IF($NP$20="Bell_Curve",$NN$20*(270-$NR$20+1)*($NS$20-270+1)/$NU$20,$NN$20/$NT$20)),0)</f>
        <v/>
      </c>
      <c r="JO20" s="228">
        <f>IF(AND(271&gt;=$NR$20,271&lt;=$NS$20),IF($NP$20="Single_Point",IF(271=$NR$20,$NN$20,0),IF($NP$20="Bell_Curve",$NN$20*(271-$NR$20+1)*($NS$20-271+1)/$NU$20,$NN$20/$NT$20)),0)</f>
        <v/>
      </c>
      <c r="JP20" s="228">
        <f>IF(AND(272&gt;=$NR$20,272&lt;=$NS$20),IF($NP$20="Single_Point",IF(272=$NR$20,$NN$20,0),IF($NP$20="Bell_Curve",$NN$20*(272-$NR$20+1)*($NS$20-272+1)/$NU$20,$NN$20/$NT$20)),0)</f>
        <v/>
      </c>
      <c r="JQ20" s="228">
        <f>IF(AND(273&gt;=$NR$20,273&lt;=$NS$20),IF($NP$20="Single_Point",IF(273=$NR$20,$NN$20,0),IF($NP$20="Bell_Curve",$NN$20*(273-$NR$20+1)*($NS$20-273+1)/$NU$20,$NN$20/$NT$20)),0)</f>
        <v/>
      </c>
      <c r="JR20" s="228">
        <f>IF(AND(274&gt;=$NR$20,274&lt;=$NS$20),IF($NP$20="Single_Point",IF(274=$NR$20,$NN$20,0),IF($NP$20="Bell_Curve",$NN$20*(274-$NR$20+1)*($NS$20-274+1)/$NU$20,$NN$20/$NT$20)),0)</f>
        <v/>
      </c>
      <c r="JS20" s="228">
        <f>IF(AND(275&gt;=$NR$20,275&lt;=$NS$20),IF($NP$20="Single_Point",IF(275=$NR$20,$NN$20,0),IF($NP$20="Bell_Curve",$NN$20*(275-$NR$20+1)*($NS$20-275+1)/$NU$20,$NN$20/$NT$20)),0)</f>
        <v/>
      </c>
      <c r="JT20" s="228">
        <f>IF(AND(276&gt;=$NR$20,276&lt;=$NS$20),IF($NP$20="Single_Point",IF(276=$NR$20,$NN$20,0),IF($NP$20="Bell_Curve",$NN$20*(276-$NR$20+1)*($NS$20-276+1)/$NU$20,$NN$20/$NT$20)),0)</f>
        <v/>
      </c>
      <c r="JU20" s="228">
        <f>IF(AND(277&gt;=$NR$20,277&lt;=$NS$20),IF($NP$20="Single_Point",IF(277=$NR$20,$NN$20,0),IF($NP$20="Bell_Curve",$NN$20*(277-$NR$20+1)*($NS$20-277+1)/$NU$20,$NN$20/$NT$20)),0)</f>
        <v/>
      </c>
      <c r="JV20" s="228">
        <f>IF(AND(278&gt;=$NR$20,278&lt;=$NS$20),IF($NP$20="Single_Point",IF(278=$NR$20,$NN$20,0),IF($NP$20="Bell_Curve",$NN$20*(278-$NR$20+1)*($NS$20-278+1)/$NU$20,$NN$20/$NT$20)),0)</f>
        <v/>
      </c>
      <c r="JW20" s="228">
        <f>IF(AND(279&gt;=$NR$20,279&lt;=$NS$20),IF($NP$20="Single_Point",IF(279=$NR$20,$NN$20,0),IF($NP$20="Bell_Curve",$NN$20*(279-$NR$20+1)*($NS$20-279+1)/$NU$20,$NN$20/$NT$20)),0)</f>
        <v/>
      </c>
      <c r="JX20" s="228">
        <f>IF(AND(280&gt;=$NR$20,280&lt;=$NS$20),IF($NP$20="Single_Point",IF(280=$NR$20,$NN$20,0),IF($NP$20="Bell_Curve",$NN$20*(280-$NR$20+1)*($NS$20-280+1)/$NU$20,$NN$20/$NT$20)),0)</f>
        <v/>
      </c>
      <c r="JY20" s="228">
        <f>IF(AND(281&gt;=$NR$20,281&lt;=$NS$20),IF($NP$20="Single_Point",IF(281=$NR$20,$NN$20,0),IF($NP$20="Bell_Curve",$NN$20*(281-$NR$20+1)*($NS$20-281+1)/$NU$20,$NN$20/$NT$20)),0)</f>
        <v/>
      </c>
      <c r="JZ20" s="228">
        <f>IF(AND(282&gt;=$NR$20,282&lt;=$NS$20),IF($NP$20="Single_Point",IF(282=$NR$20,$NN$20,0),IF($NP$20="Bell_Curve",$NN$20*(282-$NR$20+1)*($NS$20-282+1)/$NU$20,$NN$20/$NT$20)),0)</f>
        <v/>
      </c>
      <c r="KA20" s="228">
        <f>IF(AND(283&gt;=$NR$20,283&lt;=$NS$20),IF($NP$20="Single_Point",IF(283=$NR$20,$NN$20,0),IF($NP$20="Bell_Curve",$NN$20*(283-$NR$20+1)*($NS$20-283+1)/$NU$20,$NN$20/$NT$20)),0)</f>
        <v/>
      </c>
      <c r="KB20" s="228">
        <f>IF(AND(284&gt;=$NR$20,284&lt;=$NS$20),IF($NP$20="Single_Point",IF(284=$NR$20,$NN$20,0),IF($NP$20="Bell_Curve",$NN$20*(284-$NR$20+1)*($NS$20-284+1)/$NU$20,$NN$20/$NT$20)),0)</f>
        <v/>
      </c>
      <c r="KC20" s="228">
        <f>IF(AND(285&gt;=$NR$20,285&lt;=$NS$20),IF($NP$20="Single_Point",IF(285=$NR$20,$NN$20,0),IF($NP$20="Bell_Curve",$NN$20*(285-$NR$20+1)*($NS$20-285+1)/$NU$20,$NN$20/$NT$20)),0)</f>
        <v/>
      </c>
      <c r="KD20" s="228">
        <f>IF(AND(286&gt;=$NR$20,286&lt;=$NS$20),IF($NP$20="Single_Point",IF(286=$NR$20,$NN$20,0),IF($NP$20="Bell_Curve",$NN$20*(286-$NR$20+1)*($NS$20-286+1)/$NU$20,$NN$20/$NT$20)),0)</f>
        <v/>
      </c>
      <c r="KE20" s="228">
        <f>IF(AND(287&gt;=$NR$20,287&lt;=$NS$20),IF($NP$20="Single_Point",IF(287=$NR$20,$NN$20,0),IF($NP$20="Bell_Curve",$NN$20*(287-$NR$20+1)*($NS$20-287+1)/$NU$20,$NN$20/$NT$20)),0)</f>
        <v/>
      </c>
      <c r="KF20" s="228">
        <f>IF(AND(288&gt;=$NR$20,288&lt;=$NS$20),IF($NP$20="Single_Point",IF(288=$NR$20,$NN$20,0),IF($NP$20="Bell_Curve",$NN$20*(288-$NR$20+1)*($NS$20-288+1)/$NU$20,$NN$20/$NT$20)),0)</f>
        <v/>
      </c>
      <c r="KG20" s="228">
        <f>IF(AND(289&gt;=$NR$20,289&lt;=$NS$20),IF($NP$20="Single_Point",IF(289=$NR$20,$NN$20,0),IF($NP$20="Bell_Curve",$NN$20*(289-$NR$20+1)*($NS$20-289+1)/$NU$20,$NN$20/$NT$20)),0)</f>
        <v/>
      </c>
      <c r="KH20" s="228">
        <f>IF(AND(290&gt;=$NR$20,290&lt;=$NS$20),IF($NP$20="Single_Point",IF(290=$NR$20,$NN$20,0),IF($NP$20="Bell_Curve",$NN$20*(290-$NR$20+1)*($NS$20-290+1)/$NU$20,$NN$20/$NT$20)),0)</f>
        <v/>
      </c>
      <c r="KI20" s="228">
        <f>IF(AND(291&gt;=$NR$20,291&lt;=$NS$20),IF($NP$20="Single_Point",IF(291=$NR$20,$NN$20,0),IF($NP$20="Bell_Curve",$NN$20*(291-$NR$20+1)*($NS$20-291+1)/$NU$20,$NN$20/$NT$20)),0)</f>
        <v/>
      </c>
      <c r="KJ20" s="228">
        <f>IF(AND(292&gt;=$NR$20,292&lt;=$NS$20),IF($NP$20="Single_Point",IF(292=$NR$20,$NN$20,0),IF($NP$20="Bell_Curve",$NN$20*(292-$NR$20+1)*($NS$20-292+1)/$NU$20,$NN$20/$NT$20)),0)</f>
        <v/>
      </c>
      <c r="KK20" s="228">
        <f>IF(AND(293&gt;=$NR$20,293&lt;=$NS$20),IF($NP$20="Single_Point",IF(293=$NR$20,$NN$20,0),IF($NP$20="Bell_Curve",$NN$20*(293-$NR$20+1)*($NS$20-293+1)/$NU$20,$NN$20/$NT$20)),0)</f>
        <v/>
      </c>
      <c r="KL20" s="228">
        <f>IF(AND(294&gt;=$NR$20,294&lt;=$NS$20),IF($NP$20="Single_Point",IF(294=$NR$20,$NN$20,0),IF($NP$20="Bell_Curve",$NN$20*(294-$NR$20+1)*($NS$20-294+1)/$NU$20,$NN$20/$NT$20)),0)</f>
        <v/>
      </c>
      <c r="KM20" s="228">
        <f>IF(AND(295&gt;=$NR$20,295&lt;=$NS$20),IF($NP$20="Single_Point",IF(295=$NR$20,$NN$20,0),IF($NP$20="Bell_Curve",$NN$20*(295-$NR$20+1)*($NS$20-295+1)/$NU$20,$NN$20/$NT$20)),0)</f>
        <v/>
      </c>
      <c r="KN20" s="228">
        <f>IF(AND(296&gt;=$NR$20,296&lt;=$NS$20),IF($NP$20="Single_Point",IF(296=$NR$20,$NN$20,0),IF($NP$20="Bell_Curve",$NN$20*(296-$NR$20+1)*($NS$20-296+1)/$NU$20,$NN$20/$NT$20)),0)</f>
        <v/>
      </c>
      <c r="KO20" s="228">
        <f>IF(AND(297&gt;=$NR$20,297&lt;=$NS$20),IF($NP$20="Single_Point",IF(297=$NR$20,$NN$20,0),IF($NP$20="Bell_Curve",$NN$20*(297-$NR$20+1)*($NS$20-297+1)/$NU$20,$NN$20/$NT$20)),0)</f>
        <v/>
      </c>
      <c r="KP20" s="228">
        <f>IF(AND(298&gt;=$NR$20,298&lt;=$NS$20),IF($NP$20="Single_Point",IF(298=$NR$20,$NN$20,0),IF($NP$20="Bell_Curve",$NN$20*(298-$NR$20+1)*($NS$20-298+1)/$NU$20,$NN$20/$NT$20)),0)</f>
        <v/>
      </c>
      <c r="KQ20" s="228">
        <f>IF(AND(299&gt;=$NR$20,299&lt;=$NS$20),IF($NP$20="Single_Point",IF(299=$NR$20,$NN$20,0),IF($NP$20="Bell_Curve",$NN$20*(299-$NR$20+1)*($NS$20-299+1)/$NU$20,$NN$20/$NT$20)),0)</f>
        <v/>
      </c>
      <c r="KR20" s="228">
        <f>IF(AND(300&gt;=$NR$20,300&lt;=$NS$20),IF($NP$20="Single_Point",IF(300=$NR$20,$NN$20,0),IF($NP$20="Bell_Curve",$NN$20*(300-$NR$20+1)*($NS$20-300+1)/$NU$20,$NN$20/$NT$20)),0)</f>
        <v/>
      </c>
      <c r="KS20" s="228">
        <f>IF(AND(301&gt;=$NR$20,301&lt;=$NS$20),IF($NP$20="Single_Point",IF(301=$NR$20,$NN$20,0),IF($NP$20="Bell_Curve",$NN$20*(301-$NR$20+1)*($NS$20-301+1)/$NU$20,$NN$20/$NT$20)),0)</f>
        <v/>
      </c>
      <c r="KT20" s="228">
        <f>IF(AND(302&gt;=$NR$20,302&lt;=$NS$20),IF($NP$20="Single_Point",IF(302=$NR$20,$NN$20,0),IF($NP$20="Bell_Curve",$NN$20*(302-$NR$20+1)*($NS$20-302+1)/$NU$20,$NN$20/$NT$20)),0)</f>
        <v/>
      </c>
      <c r="KU20" s="228">
        <f>IF(AND(303&gt;=$NR$20,303&lt;=$NS$20),IF($NP$20="Single_Point",IF(303=$NR$20,$NN$20,0),IF($NP$20="Bell_Curve",$NN$20*(303-$NR$20+1)*($NS$20-303+1)/$NU$20,$NN$20/$NT$20)),0)</f>
        <v/>
      </c>
      <c r="KV20" s="228">
        <f>IF(AND(304&gt;=$NR$20,304&lt;=$NS$20),IF($NP$20="Single_Point",IF(304=$NR$20,$NN$20,0),IF($NP$20="Bell_Curve",$NN$20*(304-$NR$20+1)*($NS$20-304+1)/$NU$20,$NN$20/$NT$20)),0)</f>
        <v/>
      </c>
      <c r="KW20" s="228">
        <f>IF(AND(305&gt;=$NR$20,305&lt;=$NS$20),IF($NP$20="Single_Point",IF(305=$NR$20,$NN$20,0),IF($NP$20="Bell_Curve",$NN$20*(305-$NR$20+1)*($NS$20-305+1)/$NU$20,$NN$20/$NT$20)),0)</f>
        <v/>
      </c>
      <c r="KX20" s="228">
        <f>IF(AND(306&gt;=$NR$20,306&lt;=$NS$20),IF($NP$20="Single_Point",IF(306=$NR$20,$NN$20,0),IF($NP$20="Bell_Curve",$NN$20*(306-$NR$20+1)*($NS$20-306+1)/$NU$20,$NN$20/$NT$20)),0)</f>
        <v/>
      </c>
      <c r="KY20" s="228">
        <f>IF(AND(307&gt;=$NR$20,307&lt;=$NS$20),IF($NP$20="Single_Point",IF(307=$NR$20,$NN$20,0),IF($NP$20="Bell_Curve",$NN$20*(307-$NR$20+1)*($NS$20-307+1)/$NU$20,$NN$20/$NT$20)),0)</f>
        <v/>
      </c>
      <c r="KZ20" s="228">
        <f>IF(AND(308&gt;=$NR$20,308&lt;=$NS$20),IF($NP$20="Single_Point",IF(308=$NR$20,$NN$20,0),IF($NP$20="Bell_Curve",$NN$20*(308-$NR$20+1)*($NS$20-308+1)/$NU$20,$NN$20/$NT$20)),0)</f>
        <v/>
      </c>
      <c r="LA20" s="228">
        <f>IF(AND(309&gt;=$NR$20,309&lt;=$NS$20),IF($NP$20="Single_Point",IF(309=$NR$20,$NN$20,0),IF($NP$20="Bell_Curve",$NN$20*(309-$NR$20+1)*($NS$20-309+1)/$NU$20,$NN$20/$NT$20)),0)</f>
        <v/>
      </c>
      <c r="LB20" s="228">
        <f>IF(AND(310&gt;=$NR$20,310&lt;=$NS$20),IF($NP$20="Single_Point",IF(310=$NR$20,$NN$20,0),IF($NP$20="Bell_Curve",$NN$20*(310-$NR$20+1)*($NS$20-310+1)/$NU$20,$NN$20/$NT$20)),0)</f>
        <v/>
      </c>
      <c r="LC20" s="228">
        <f>IF(AND(311&gt;=$NR$20,311&lt;=$NS$20),IF($NP$20="Single_Point",IF(311=$NR$20,$NN$20,0),IF($NP$20="Bell_Curve",$NN$20*(311-$NR$20+1)*($NS$20-311+1)/$NU$20,$NN$20/$NT$20)),0)</f>
        <v/>
      </c>
      <c r="LD20" s="228">
        <f>IF(AND(312&gt;=$NR$20,312&lt;=$NS$20),IF($NP$20="Single_Point",IF(312=$NR$20,$NN$20,0),IF($NP$20="Bell_Curve",$NN$20*(312-$NR$20+1)*($NS$20-312+1)/$NU$20,$NN$20/$NT$20)),0)</f>
        <v/>
      </c>
      <c r="LE20" s="228">
        <f>IF(AND(313&gt;=$NR$20,313&lt;=$NS$20),IF($NP$20="Single_Point",IF(313=$NR$20,$NN$20,0),IF($NP$20="Bell_Curve",$NN$20*(313-$NR$20+1)*($NS$20-313+1)/$NU$20,$NN$20/$NT$20)),0)</f>
        <v/>
      </c>
      <c r="LF20" s="228">
        <f>IF(AND(314&gt;=$NR$20,314&lt;=$NS$20),IF($NP$20="Single_Point",IF(314=$NR$20,$NN$20,0),IF($NP$20="Bell_Curve",$NN$20*(314-$NR$20+1)*($NS$20-314+1)/$NU$20,$NN$20/$NT$20)),0)</f>
        <v/>
      </c>
      <c r="LG20" s="228">
        <f>IF(AND(315&gt;=$NR$20,315&lt;=$NS$20),IF($NP$20="Single_Point",IF(315=$NR$20,$NN$20,0),IF($NP$20="Bell_Curve",$NN$20*(315-$NR$20+1)*($NS$20-315+1)/$NU$20,$NN$20/$NT$20)),0)</f>
        <v/>
      </c>
      <c r="LH20" s="228">
        <f>IF(AND(316&gt;=$NR$20,316&lt;=$NS$20),IF($NP$20="Single_Point",IF(316=$NR$20,$NN$20,0),IF($NP$20="Bell_Curve",$NN$20*(316-$NR$20+1)*($NS$20-316+1)/$NU$20,$NN$20/$NT$20)),0)</f>
        <v/>
      </c>
      <c r="LI20" s="228">
        <f>IF(AND(317&gt;=$NR$20,317&lt;=$NS$20),IF($NP$20="Single_Point",IF(317=$NR$20,$NN$20,0),IF($NP$20="Bell_Curve",$NN$20*(317-$NR$20+1)*($NS$20-317+1)/$NU$20,$NN$20/$NT$20)),0)</f>
        <v/>
      </c>
      <c r="LJ20" s="228">
        <f>IF(AND(318&gt;=$NR$20,318&lt;=$NS$20),IF($NP$20="Single_Point",IF(318=$NR$20,$NN$20,0),IF($NP$20="Bell_Curve",$NN$20*(318-$NR$20+1)*($NS$20-318+1)/$NU$20,$NN$20/$NT$20)),0)</f>
        <v/>
      </c>
      <c r="LK20" s="228">
        <f>IF(AND(319&gt;=$NR$20,319&lt;=$NS$20),IF($NP$20="Single_Point",IF(319=$NR$20,$NN$20,0),IF($NP$20="Bell_Curve",$NN$20*(319-$NR$20+1)*($NS$20-319+1)/$NU$20,$NN$20/$NT$20)),0)</f>
        <v/>
      </c>
      <c r="LL20" s="228">
        <f>IF(AND(320&gt;=$NR$20,320&lt;=$NS$20),IF($NP$20="Single_Point",IF(320=$NR$20,$NN$20,0),IF($NP$20="Bell_Curve",$NN$20*(320-$NR$20+1)*($NS$20-320+1)/$NU$20,$NN$20/$NT$20)),0)</f>
        <v/>
      </c>
      <c r="LM20" s="228">
        <f>IF(AND(321&gt;=$NR$20,321&lt;=$NS$20),IF($NP$20="Single_Point",IF(321=$NR$20,$NN$20,0),IF($NP$20="Bell_Curve",$NN$20*(321-$NR$20+1)*($NS$20-321+1)/$NU$20,$NN$20/$NT$20)),0)</f>
        <v/>
      </c>
      <c r="LN20" s="228">
        <f>IF(AND(322&gt;=$NR$20,322&lt;=$NS$20),IF($NP$20="Single_Point",IF(322=$NR$20,$NN$20,0),IF($NP$20="Bell_Curve",$NN$20*(322-$NR$20+1)*($NS$20-322+1)/$NU$20,$NN$20/$NT$20)),0)</f>
        <v/>
      </c>
      <c r="LO20" s="228">
        <f>IF(AND(323&gt;=$NR$20,323&lt;=$NS$20),IF($NP$20="Single_Point",IF(323=$NR$20,$NN$20,0),IF($NP$20="Bell_Curve",$NN$20*(323-$NR$20+1)*($NS$20-323+1)/$NU$20,$NN$20/$NT$20)),0)</f>
        <v/>
      </c>
      <c r="LP20" s="228">
        <f>IF(AND(324&gt;=$NR$20,324&lt;=$NS$20),IF($NP$20="Single_Point",IF(324=$NR$20,$NN$20,0),IF($NP$20="Bell_Curve",$NN$20*(324-$NR$20+1)*($NS$20-324+1)/$NU$20,$NN$20/$NT$20)),0)</f>
        <v/>
      </c>
      <c r="LQ20" s="228">
        <f>IF(AND(325&gt;=$NR$20,325&lt;=$NS$20),IF($NP$20="Single_Point",IF(325=$NR$20,$NN$20,0),IF($NP$20="Bell_Curve",$NN$20*(325-$NR$20+1)*($NS$20-325+1)/$NU$20,$NN$20/$NT$20)),0)</f>
        <v/>
      </c>
      <c r="LR20" s="228">
        <f>IF(AND(326&gt;=$NR$20,326&lt;=$NS$20),IF($NP$20="Single_Point",IF(326=$NR$20,$NN$20,0),IF($NP$20="Bell_Curve",$NN$20*(326-$NR$20+1)*($NS$20-326+1)/$NU$20,$NN$20/$NT$20)),0)</f>
        <v/>
      </c>
      <c r="LS20" s="228">
        <f>IF(AND(327&gt;=$NR$20,327&lt;=$NS$20),IF($NP$20="Single_Point",IF(327=$NR$20,$NN$20,0),IF($NP$20="Bell_Curve",$NN$20*(327-$NR$20+1)*($NS$20-327+1)/$NU$20,$NN$20/$NT$20)),0)</f>
        <v/>
      </c>
      <c r="LT20" s="228">
        <f>IF(AND(328&gt;=$NR$20,328&lt;=$NS$20),IF($NP$20="Single_Point",IF(328=$NR$20,$NN$20,0),IF($NP$20="Bell_Curve",$NN$20*(328-$NR$20+1)*($NS$20-328+1)/$NU$20,$NN$20/$NT$20)),0)</f>
        <v/>
      </c>
      <c r="LU20" s="228">
        <f>IF(AND(329&gt;=$NR$20,329&lt;=$NS$20),IF($NP$20="Single_Point",IF(329=$NR$20,$NN$20,0),IF($NP$20="Bell_Curve",$NN$20*(329-$NR$20+1)*($NS$20-329+1)/$NU$20,$NN$20/$NT$20)),0)</f>
        <v/>
      </c>
      <c r="LV20" s="228">
        <f>IF(AND(330&gt;=$NR$20,330&lt;=$NS$20),IF($NP$20="Single_Point",IF(330=$NR$20,$NN$20,0),IF($NP$20="Bell_Curve",$NN$20*(330-$NR$20+1)*($NS$20-330+1)/$NU$20,$NN$20/$NT$20)),0)</f>
        <v/>
      </c>
      <c r="LW20" s="228">
        <f>IF(AND(331&gt;=$NR$20,331&lt;=$NS$20),IF($NP$20="Single_Point",IF(331=$NR$20,$NN$20,0),IF($NP$20="Bell_Curve",$NN$20*(331-$NR$20+1)*($NS$20-331+1)/$NU$20,$NN$20/$NT$20)),0)</f>
        <v/>
      </c>
      <c r="LX20" s="228">
        <f>IF(AND(332&gt;=$NR$20,332&lt;=$NS$20),IF($NP$20="Single_Point",IF(332=$NR$20,$NN$20,0),IF($NP$20="Bell_Curve",$NN$20*(332-$NR$20+1)*($NS$20-332+1)/$NU$20,$NN$20/$NT$20)),0)</f>
        <v/>
      </c>
      <c r="LY20" s="228">
        <f>IF(AND(333&gt;=$NR$20,333&lt;=$NS$20),IF($NP$20="Single_Point",IF(333=$NR$20,$NN$20,0),IF($NP$20="Bell_Curve",$NN$20*(333-$NR$20+1)*($NS$20-333+1)/$NU$20,$NN$20/$NT$20)),0)</f>
        <v/>
      </c>
      <c r="LZ20" s="228">
        <f>IF(AND(334&gt;=$NR$20,334&lt;=$NS$20),IF($NP$20="Single_Point",IF(334=$NR$20,$NN$20,0),IF($NP$20="Bell_Curve",$NN$20*(334-$NR$20+1)*($NS$20-334+1)/$NU$20,$NN$20/$NT$20)),0)</f>
        <v/>
      </c>
      <c r="MA20" s="228">
        <f>IF(AND(335&gt;=$NR$20,335&lt;=$NS$20),IF($NP$20="Single_Point",IF(335=$NR$20,$NN$20,0),IF($NP$20="Bell_Curve",$NN$20*(335-$NR$20+1)*($NS$20-335+1)/$NU$20,$NN$20/$NT$20)),0)</f>
        <v/>
      </c>
      <c r="MB20" s="228">
        <f>IF(AND(336&gt;=$NR$20,336&lt;=$NS$20),IF($NP$20="Single_Point",IF(336=$NR$20,$NN$20,0),IF($NP$20="Bell_Curve",$NN$20*(336-$NR$20+1)*($NS$20-336+1)/$NU$20,$NN$20/$NT$20)),0)</f>
        <v/>
      </c>
      <c r="MC20" s="228">
        <f>IF(AND(337&gt;=$NR$20,337&lt;=$NS$20),IF($NP$20="Single_Point",IF(337=$NR$20,$NN$20,0),IF($NP$20="Bell_Curve",$NN$20*(337-$NR$20+1)*($NS$20-337+1)/$NU$20,$NN$20/$NT$20)),0)</f>
        <v/>
      </c>
      <c r="MD20" s="228">
        <f>IF(AND(338&gt;=$NR$20,338&lt;=$NS$20),IF($NP$20="Single_Point",IF(338=$NR$20,$NN$20,0),IF($NP$20="Bell_Curve",$NN$20*(338-$NR$20+1)*($NS$20-338+1)/$NU$20,$NN$20/$NT$20)),0)</f>
        <v/>
      </c>
      <c r="ME20" s="228">
        <f>IF(AND(339&gt;=$NR$20,339&lt;=$NS$20),IF($NP$20="Single_Point",IF(339=$NR$20,$NN$20,0),IF($NP$20="Bell_Curve",$NN$20*(339-$NR$20+1)*($NS$20-339+1)/$NU$20,$NN$20/$NT$20)),0)</f>
        <v/>
      </c>
      <c r="MF20" s="228">
        <f>IF(AND(340&gt;=$NR$20,340&lt;=$NS$20),IF($NP$20="Single_Point",IF(340=$NR$20,$NN$20,0),IF($NP$20="Bell_Curve",$NN$20*(340-$NR$20+1)*($NS$20-340+1)/$NU$20,$NN$20/$NT$20)),0)</f>
        <v/>
      </c>
      <c r="MG20" s="228">
        <f>IF(AND(341&gt;=$NR$20,341&lt;=$NS$20),IF($NP$20="Single_Point",IF(341=$NR$20,$NN$20,0),IF($NP$20="Bell_Curve",$NN$20*(341-$NR$20+1)*($NS$20-341+1)/$NU$20,$NN$20/$NT$20)),0)</f>
        <v/>
      </c>
      <c r="MH20" s="228">
        <f>IF(AND(342&gt;=$NR$20,342&lt;=$NS$20),IF($NP$20="Single_Point",IF(342=$NR$20,$NN$20,0),IF($NP$20="Bell_Curve",$NN$20*(342-$NR$20+1)*($NS$20-342+1)/$NU$20,$NN$20/$NT$20)),0)</f>
        <v/>
      </c>
      <c r="MI20" s="228">
        <f>IF(AND(343&gt;=$NR$20,343&lt;=$NS$20),IF($NP$20="Single_Point",IF(343=$NR$20,$NN$20,0),IF($NP$20="Bell_Curve",$NN$20*(343-$NR$20+1)*($NS$20-343+1)/$NU$20,$NN$20/$NT$20)),0)</f>
        <v/>
      </c>
      <c r="MJ20" s="228">
        <f>IF(AND(344&gt;=$NR$20,344&lt;=$NS$20),IF($NP$20="Single_Point",IF(344=$NR$20,$NN$20,0),IF($NP$20="Bell_Curve",$NN$20*(344-$NR$20+1)*($NS$20-344+1)/$NU$20,$NN$20/$NT$20)),0)</f>
        <v/>
      </c>
      <c r="MK20" s="228">
        <f>IF(AND(345&gt;=$NR$20,345&lt;=$NS$20),IF($NP$20="Single_Point",IF(345=$NR$20,$NN$20,0),IF($NP$20="Bell_Curve",$NN$20*(345-$NR$20+1)*($NS$20-345+1)/$NU$20,$NN$20/$NT$20)),0)</f>
        <v/>
      </c>
      <c r="ML20" s="228">
        <f>IF(AND(346&gt;=$NR$20,346&lt;=$NS$20),IF($NP$20="Single_Point",IF(346=$NR$20,$NN$20,0),IF($NP$20="Bell_Curve",$NN$20*(346-$NR$20+1)*($NS$20-346+1)/$NU$20,$NN$20/$NT$20)),0)</f>
        <v/>
      </c>
      <c r="MM20" s="228">
        <f>IF(AND(347&gt;=$NR$20,347&lt;=$NS$20),IF($NP$20="Single_Point",IF(347=$NR$20,$NN$20,0),IF($NP$20="Bell_Curve",$NN$20*(347-$NR$20+1)*($NS$20-347+1)/$NU$20,$NN$20/$NT$20)),0)</f>
        <v/>
      </c>
      <c r="MN20" s="228">
        <f>IF(AND(348&gt;=$NR$20,348&lt;=$NS$20),IF($NP$20="Single_Point",IF(348=$NR$20,$NN$20,0),IF($NP$20="Bell_Curve",$NN$20*(348-$NR$20+1)*($NS$20-348+1)/$NU$20,$NN$20/$NT$20)),0)</f>
        <v/>
      </c>
      <c r="MO20" s="228">
        <f>IF(AND(349&gt;=$NR$20,349&lt;=$NS$20),IF($NP$20="Single_Point",IF(349=$NR$20,$NN$20,0),IF($NP$20="Bell_Curve",$NN$20*(349-$NR$20+1)*($NS$20-349+1)/$NU$20,$NN$20/$NT$20)),0)</f>
        <v/>
      </c>
      <c r="MP20" s="228">
        <f>IF(AND(350&gt;=$NR$20,350&lt;=$NS$20),IF($NP$20="Single_Point",IF(350=$NR$20,$NN$20,0),IF($NP$20="Bell_Curve",$NN$20*(350-$NR$20+1)*($NS$20-350+1)/$NU$20,$NN$20/$NT$20)),0)</f>
        <v/>
      </c>
      <c r="MQ20" s="228">
        <f>IF(AND(351&gt;=$NR$20,351&lt;=$NS$20),IF($NP$20="Single_Point",IF(351=$NR$20,$NN$20,0),IF($NP$20="Bell_Curve",$NN$20*(351-$NR$20+1)*($NS$20-351+1)/$NU$20,$NN$20/$NT$20)),0)</f>
        <v/>
      </c>
      <c r="MR20" s="228">
        <f>IF(AND(352&gt;=$NR$20,352&lt;=$NS$20),IF($NP$20="Single_Point",IF(352=$NR$20,$NN$20,0),IF($NP$20="Bell_Curve",$NN$20*(352-$NR$20+1)*($NS$20-352+1)/$NU$20,$NN$20/$NT$20)),0)</f>
        <v/>
      </c>
      <c r="MS20" s="228">
        <f>IF(AND(353&gt;=$NR$20,353&lt;=$NS$20),IF($NP$20="Single_Point",IF(353=$NR$20,$NN$20,0),IF($NP$20="Bell_Curve",$NN$20*(353-$NR$20+1)*($NS$20-353+1)/$NU$20,$NN$20/$NT$20)),0)</f>
        <v/>
      </c>
      <c r="MT20" s="228">
        <f>IF(AND(354&gt;=$NR$20,354&lt;=$NS$20),IF($NP$20="Single_Point",IF(354=$NR$20,$NN$20,0),IF($NP$20="Bell_Curve",$NN$20*(354-$NR$20+1)*($NS$20-354+1)/$NU$20,$NN$20/$NT$20)),0)</f>
        <v/>
      </c>
      <c r="MU20" s="228">
        <f>IF(AND(355&gt;=$NR$20,355&lt;=$NS$20),IF($NP$20="Single_Point",IF(355=$NR$20,$NN$20,0),IF($NP$20="Bell_Curve",$NN$20*(355-$NR$20+1)*($NS$20-355+1)/$NU$20,$NN$20/$NT$20)),0)</f>
        <v/>
      </c>
      <c r="MV20" s="228">
        <f>IF(AND(356&gt;=$NR$20,356&lt;=$NS$20),IF($NP$20="Single_Point",IF(356=$NR$20,$NN$20,0),IF($NP$20="Bell_Curve",$NN$20*(356-$NR$20+1)*($NS$20-356+1)/$NU$20,$NN$20/$NT$20)),0)</f>
        <v/>
      </c>
      <c r="MW20" s="228">
        <f>IF(AND(357&gt;=$NR$20,357&lt;=$NS$20),IF($NP$20="Single_Point",IF(357=$NR$20,$NN$20,0),IF($NP$20="Bell_Curve",$NN$20*(357-$NR$20+1)*($NS$20-357+1)/$NU$20,$NN$20/$NT$20)),0)</f>
        <v/>
      </c>
      <c r="MX20" s="228">
        <f>IF(AND(358&gt;=$NR$20,358&lt;=$NS$20),IF($NP$20="Single_Point",IF(358=$NR$20,$NN$20,0),IF($NP$20="Bell_Curve",$NN$20*(358-$NR$20+1)*($NS$20-358+1)/$NU$20,$NN$20/$NT$20)),0)</f>
        <v/>
      </c>
      <c r="MY20" s="228">
        <f>IF(AND(359&gt;=$NR$20,359&lt;=$NS$20),IF($NP$20="Single_Point",IF(359=$NR$20,$NN$20,0),IF($NP$20="Bell_Curve",$NN$20*(359-$NR$20+1)*($NS$20-359+1)/$NU$20,$NN$20/$NT$20)),0)</f>
        <v/>
      </c>
      <c r="MZ20" s="228">
        <f>IF(AND(360&gt;=$NR$20,360&lt;=$NS$20),IF($NP$20="Single_Point",IF(360=$NR$20,$NN$20,0),IF($NP$20="Bell_Curve",$NN$20*(360-$NR$20+1)*($NS$20-360+1)/$NU$20,$NN$20/$NT$20)),0)</f>
        <v/>
      </c>
      <c r="NA20" s="228">
        <f>IF(AND(361&gt;=$NR$20,361&lt;=$NS$20),IF($NP$20="Single_Point",IF(361=$NR$20,$NN$20,0),IF($NP$20="Bell_Curve",$NN$20*(361-$NR$20+1)*($NS$20-361+1)/$NU$20,$NN$20/$NT$20)),0)</f>
        <v/>
      </c>
      <c r="NB20" s="228">
        <f>IF(AND(362&gt;=$NR$20,362&lt;=$NS$20),IF($NP$20="Single_Point",IF(362=$NR$20,$NN$20,0),IF($NP$20="Bell_Curve",$NN$20*(362-$NR$20+1)*($NS$20-362+1)/$NU$20,$NN$20/$NT$20)),0)</f>
        <v/>
      </c>
      <c r="NC20" s="228">
        <f>IF(AND(363&gt;=$NR$20,363&lt;=$NS$20),IF($NP$20="Single_Point",IF(363=$NR$20,$NN$20,0),IF($NP$20="Bell_Curve",$NN$20*(363-$NR$20+1)*($NS$20-363+1)/$NU$20,$NN$20/$NT$20)),0)</f>
        <v/>
      </c>
      <c r="ND20" s="228">
        <f>IF(AND(364&gt;=$NR$20,364&lt;=$NS$20),IF($NP$20="Single_Point",IF(364=$NR$20,$NN$20,0),IF($NP$20="Bell_Curve",$NN$20*(364-$NR$20+1)*($NS$20-364+1)/$NU$20,$NN$20/$NT$20)),0)</f>
        <v/>
      </c>
      <c r="NE20" s="228">
        <f>IF(AND(365&gt;=$NR$20,365&lt;=$NS$20),IF($NP$20="Single_Point",IF(365=$NR$20,$NN$20,0),IF($NP$20="Bell_Curve",$NN$20*(365-$NR$20+1)*($NS$20-365+1)/$NU$20,$NN$20/$NT$20)),0)</f>
        <v/>
      </c>
      <c r="NF20" s="228">
        <f>IF(AND(366&gt;=$NR$20,366&lt;=$NS$20),IF($NP$20="Single_Point",IF(366=$NR$20,$NN$20,0),IF($NP$20="Bell_Curve",$NN$20*(366-$NR$20+1)*($NS$20-366+1)/$NU$20,$NN$20/$NT$20)),0)</f>
        <v/>
      </c>
      <c r="NG20" s="228">
        <f>IF(AND(367&gt;=$NR$20,367&lt;=$NS$20),IF($NP$20="Single_Point",IF(367=$NR$20,$NN$20,0),IF($NP$20="Bell_Curve",$NN$20*(367-$NR$20+1)*($NS$20-367+1)/$NU$20,$NN$20/$NT$20)),0)</f>
        <v/>
      </c>
      <c r="NH20" s="228">
        <f>IF(AND(368&gt;=$NR$20,368&lt;=$NS$20),IF($NP$20="Single_Point",IF(368=$NR$20,$NN$20,0),IF($NP$20="Bell_Curve",$NN$20*(368-$NR$20+1)*($NS$20-368+1)/$NU$20,$NN$20/$NT$20)),0)</f>
        <v/>
      </c>
      <c r="NI20" s="228">
        <f>IF(AND(369&gt;=$NR$20,369&lt;=$NS$20),IF($NP$20="Single_Point",IF(369=$NR$20,$NN$20,0),IF($NP$20="Bell_Curve",$NN$20*(369-$NR$20+1)*($NS$20-369+1)/$NU$20,$NN$20/$NT$20)),0)</f>
        <v/>
      </c>
      <c r="NJ20" s="228">
        <f>IF(AND(370&gt;=$NR$20,370&lt;=$NS$20),IF($NP$20="Single_Point",IF(370=$NR$20,$NN$20,0),IF($NP$20="Bell_Curve",$NN$20*(370-$NR$20+1)*($NS$20-370+1)/$NU$20,$NN$20/$NT$20)),0)</f>
        <v/>
      </c>
      <c r="NK20" s="228">
        <f>IF(AND(371&gt;=$NR$20,371&lt;=$NS$20),IF($NP$20="Single_Point",IF(371=$NR$20,$NN$20,0),IF($NP$20="Bell_Curve",$NN$20*(371-$NR$20+1)*($NS$20-371+1)/$NU$20,$NN$20/$NT$20)),0)</f>
        <v/>
      </c>
      <c r="NL20" s="247">
        <f>IF(AND(372&gt;=$NR$20,372&lt;=$NS$20),IF($NP$20="Single_Point",IF(372=$NR$20,$NN$20,0),IF($NP$20="Bell_Curve",$NN$20*(372-$NR$20+1)*($NS$20-372+1)/$NU$20,$NN$20/$NT$20)),0)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36" t="inlineStr">
        <is>
          <t>Other Soft Cost 1 - FF&amp;E</t>
        </is>
      </c>
      <c r="D21" s="246">
        <f>SUM(E21:NL21)</f>
        <v/>
      </c>
      <c r="E21" s="228">
        <f>IF(AND(1&gt;=$NR$21,1&lt;=$NS$21),IF($NP$21="Single_Point",IF(1=$NR$21,$NN$21,0),IF($NP$21="Bell_Curve",$NN$21*(1-$NR$21+1)*($NS$21-1+1)/$NU$21,$NN$21/$NT$21)),0)</f>
        <v/>
      </c>
      <c r="F21" s="228">
        <f>IF(AND(2&gt;=$NR$21,2&lt;=$NS$21),IF($NP$21="Single_Point",IF(2=$NR$21,$NN$21,0),IF($NP$21="Bell_Curve",$NN$21*(2-$NR$21+1)*($NS$21-2+1)/$NU$21,$NN$21/$NT$21)),0)</f>
        <v/>
      </c>
      <c r="G21" s="228">
        <f>IF(AND(3&gt;=$NR$21,3&lt;=$NS$21),IF($NP$21="Single_Point",IF(3=$NR$21,$NN$21,0),IF($NP$21="Bell_Curve",$NN$21*(3-$NR$21+1)*($NS$21-3+1)/$NU$21,$NN$21/$NT$21)),0)</f>
        <v/>
      </c>
      <c r="H21" s="228">
        <f>IF(AND(4&gt;=$NR$21,4&lt;=$NS$21),IF($NP$21="Single_Point",IF(4=$NR$21,$NN$21,0),IF($NP$21="Bell_Curve",$NN$21*(4-$NR$21+1)*($NS$21-4+1)/$NU$21,$NN$21/$NT$21)),0)</f>
        <v/>
      </c>
      <c r="I21" s="228">
        <f>IF(AND(5&gt;=$NR$21,5&lt;=$NS$21),IF($NP$21="Single_Point",IF(5=$NR$21,$NN$21,0),IF($NP$21="Bell_Curve",$NN$21*(5-$NR$21+1)*($NS$21-5+1)/$NU$21,$NN$21/$NT$21)),0)</f>
        <v/>
      </c>
      <c r="J21" s="228">
        <f>IF(AND(6&gt;=$NR$21,6&lt;=$NS$21),IF($NP$21="Single_Point",IF(6=$NR$21,$NN$21,0),IF($NP$21="Bell_Curve",$NN$21*(6-$NR$21+1)*($NS$21-6+1)/$NU$21,$NN$21/$NT$21)),0)</f>
        <v/>
      </c>
      <c r="K21" s="228">
        <f>IF(AND(7&gt;=$NR$21,7&lt;=$NS$21),IF($NP$21="Single_Point",IF(7=$NR$21,$NN$21,0),IF($NP$21="Bell_Curve",$NN$21*(7-$NR$21+1)*($NS$21-7+1)/$NU$21,$NN$21/$NT$21)),0)</f>
        <v/>
      </c>
      <c r="L21" s="228">
        <f>IF(AND(8&gt;=$NR$21,8&lt;=$NS$21),IF($NP$21="Single_Point",IF(8=$NR$21,$NN$21,0),IF($NP$21="Bell_Curve",$NN$21*(8-$NR$21+1)*($NS$21-8+1)/$NU$21,$NN$21/$NT$21)),0)</f>
        <v/>
      </c>
      <c r="M21" s="228">
        <f>IF(AND(9&gt;=$NR$21,9&lt;=$NS$21),IF($NP$21="Single_Point",IF(9=$NR$21,$NN$21,0),IF($NP$21="Bell_Curve",$NN$21*(9-$NR$21+1)*($NS$21-9+1)/$NU$21,$NN$21/$NT$21)),0)</f>
        <v/>
      </c>
      <c r="N21" s="228">
        <f>IF(AND(10&gt;=$NR$21,10&lt;=$NS$21),IF($NP$21="Single_Point",IF(10=$NR$21,$NN$21,0),IF($NP$21="Bell_Curve",$NN$21*(10-$NR$21+1)*($NS$21-10+1)/$NU$21,$NN$21/$NT$21)),0)</f>
        <v/>
      </c>
      <c r="O21" s="228">
        <f>IF(AND(11&gt;=$NR$21,11&lt;=$NS$21),IF($NP$21="Single_Point",IF(11=$NR$21,$NN$21,0),IF($NP$21="Bell_Curve",$NN$21*(11-$NR$21+1)*($NS$21-11+1)/$NU$21,$NN$21/$NT$21)),0)</f>
        <v/>
      </c>
      <c r="P21" s="228">
        <f>IF(AND(12&gt;=$NR$21,12&lt;=$NS$21),IF($NP$21="Single_Point",IF(12=$NR$21,$NN$21,0),IF($NP$21="Bell_Curve",$NN$21*(12-$NR$21+1)*($NS$21-12+1)/$NU$21,$NN$21/$NT$21)),0)</f>
        <v/>
      </c>
      <c r="Q21" s="228">
        <f>IF(AND(13&gt;=$NR$21,13&lt;=$NS$21),IF($NP$21="Single_Point",IF(13=$NR$21,$NN$21,0),IF($NP$21="Bell_Curve",$NN$21*(13-$NR$21+1)*($NS$21-13+1)/$NU$21,$NN$21/$NT$21)),0)</f>
        <v/>
      </c>
      <c r="R21" s="228">
        <f>IF(AND(14&gt;=$NR$21,14&lt;=$NS$21),IF($NP$21="Single_Point",IF(14=$NR$21,$NN$21,0),IF($NP$21="Bell_Curve",$NN$21*(14-$NR$21+1)*($NS$21-14+1)/$NU$21,$NN$21/$NT$21)),0)</f>
        <v/>
      </c>
      <c r="S21" s="228">
        <f>IF(AND(15&gt;=$NR$21,15&lt;=$NS$21),IF($NP$21="Single_Point",IF(15=$NR$21,$NN$21,0),IF($NP$21="Bell_Curve",$NN$21*(15-$NR$21+1)*($NS$21-15+1)/$NU$21,$NN$21/$NT$21)),0)</f>
        <v/>
      </c>
      <c r="T21" s="228">
        <f>IF(AND(16&gt;=$NR$21,16&lt;=$NS$21),IF($NP$21="Single_Point",IF(16=$NR$21,$NN$21,0),IF($NP$21="Bell_Curve",$NN$21*(16-$NR$21+1)*($NS$21-16+1)/$NU$21,$NN$21/$NT$21)),0)</f>
        <v/>
      </c>
      <c r="U21" s="228">
        <f>IF(AND(17&gt;=$NR$21,17&lt;=$NS$21),IF($NP$21="Single_Point",IF(17=$NR$21,$NN$21,0),IF($NP$21="Bell_Curve",$NN$21*(17-$NR$21+1)*($NS$21-17+1)/$NU$21,$NN$21/$NT$21)),0)</f>
        <v/>
      </c>
      <c r="V21" s="228">
        <f>IF(AND(18&gt;=$NR$21,18&lt;=$NS$21),IF($NP$21="Single_Point",IF(18=$NR$21,$NN$21,0),IF($NP$21="Bell_Curve",$NN$21*(18-$NR$21+1)*($NS$21-18+1)/$NU$21,$NN$21/$NT$21)),0)</f>
        <v/>
      </c>
      <c r="W21" s="228">
        <f>IF(AND(19&gt;=$NR$21,19&lt;=$NS$21),IF($NP$21="Single_Point",IF(19=$NR$21,$NN$21,0),IF($NP$21="Bell_Curve",$NN$21*(19-$NR$21+1)*($NS$21-19+1)/$NU$21,$NN$21/$NT$21)),0)</f>
        <v/>
      </c>
      <c r="X21" s="228">
        <f>IF(AND(20&gt;=$NR$21,20&lt;=$NS$21),IF($NP$21="Single_Point",IF(20=$NR$21,$NN$21,0),IF($NP$21="Bell_Curve",$NN$21*(20-$NR$21+1)*($NS$21-20+1)/$NU$21,$NN$21/$NT$21)),0)</f>
        <v/>
      </c>
      <c r="Y21" s="228">
        <f>IF(AND(21&gt;=$NR$21,21&lt;=$NS$21),IF($NP$21="Single_Point",IF(21=$NR$21,$NN$21,0),IF($NP$21="Bell_Curve",$NN$21*(21-$NR$21+1)*($NS$21-21+1)/$NU$21,$NN$21/$NT$21)),0)</f>
        <v/>
      </c>
      <c r="Z21" s="228">
        <f>IF(AND(22&gt;=$NR$21,22&lt;=$NS$21),IF($NP$21="Single_Point",IF(22=$NR$21,$NN$21,0),IF($NP$21="Bell_Curve",$NN$21*(22-$NR$21+1)*($NS$21-22+1)/$NU$21,$NN$21/$NT$21)),0)</f>
        <v/>
      </c>
      <c r="AA21" s="228">
        <f>IF(AND(23&gt;=$NR$21,23&lt;=$NS$21),IF($NP$21="Single_Point",IF(23=$NR$21,$NN$21,0),IF($NP$21="Bell_Curve",$NN$21*(23-$NR$21+1)*($NS$21-23+1)/$NU$21,$NN$21/$NT$21)),0)</f>
        <v/>
      </c>
      <c r="AB21" s="228">
        <f>IF(AND(24&gt;=$NR$21,24&lt;=$NS$21),IF($NP$21="Single_Point",IF(24=$NR$21,$NN$21,0),IF($NP$21="Bell_Curve",$NN$21*(24-$NR$21+1)*($NS$21-24+1)/$NU$21,$NN$21/$NT$21)),0)</f>
        <v/>
      </c>
      <c r="AC21" s="228">
        <f>IF(AND(25&gt;=$NR$21,25&lt;=$NS$21),IF($NP$21="Single_Point",IF(25=$NR$21,$NN$21,0),IF($NP$21="Bell_Curve",$NN$21*(25-$NR$21+1)*($NS$21-25+1)/$NU$21,$NN$21/$NT$21)),0)</f>
        <v/>
      </c>
      <c r="AD21" s="228">
        <f>IF(AND(26&gt;=$NR$21,26&lt;=$NS$21),IF($NP$21="Single_Point",IF(26=$NR$21,$NN$21,0),IF($NP$21="Bell_Curve",$NN$21*(26-$NR$21+1)*($NS$21-26+1)/$NU$21,$NN$21/$NT$21)),0)</f>
        <v/>
      </c>
      <c r="AE21" s="228">
        <f>IF(AND(27&gt;=$NR$21,27&lt;=$NS$21),IF($NP$21="Single_Point",IF(27=$NR$21,$NN$21,0),IF($NP$21="Bell_Curve",$NN$21*(27-$NR$21+1)*($NS$21-27+1)/$NU$21,$NN$21/$NT$21)),0)</f>
        <v/>
      </c>
      <c r="AF21" s="228">
        <f>IF(AND(28&gt;=$NR$21,28&lt;=$NS$21),IF($NP$21="Single_Point",IF(28=$NR$21,$NN$21,0),IF($NP$21="Bell_Curve",$NN$21*(28-$NR$21+1)*($NS$21-28+1)/$NU$21,$NN$21/$NT$21)),0)</f>
        <v/>
      </c>
      <c r="AG21" s="228">
        <f>IF(AND(29&gt;=$NR$21,29&lt;=$NS$21),IF($NP$21="Single_Point",IF(29=$NR$21,$NN$21,0),IF($NP$21="Bell_Curve",$NN$21*(29-$NR$21+1)*($NS$21-29+1)/$NU$21,$NN$21/$NT$21)),0)</f>
        <v/>
      </c>
      <c r="AH21" s="228">
        <f>IF(AND(30&gt;=$NR$21,30&lt;=$NS$21),IF($NP$21="Single_Point",IF(30=$NR$21,$NN$21,0),IF($NP$21="Bell_Curve",$NN$21*(30-$NR$21+1)*($NS$21-30+1)/$NU$21,$NN$21/$NT$21)),0)</f>
        <v/>
      </c>
      <c r="AI21" s="228">
        <f>IF(AND(31&gt;=$NR$21,31&lt;=$NS$21),IF($NP$21="Single_Point",IF(31=$NR$21,$NN$21,0),IF($NP$21="Bell_Curve",$NN$21*(31-$NR$21+1)*($NS$21-31+1)/$NU$21,$NN$21/$NT$21)),0)</f>
        <v/>
      </c>
      <c r="AJ21" s="228">
        <f>IF(AND(32&gt;=$NR$21,32&lt;=$NS$21),IF($NP$21="Single_Point",IF(32=$NR$21,$NN$21,0),IF($NP$21="Bell_Curve",$NN$21*(32-$NR$21+1)*($NS$21-32+1)/$NU$21,$NN$21/$NT$21)),0)</f>
        <v/>
      </c>
      <c r="AK21" s="228">
        <f>IF(AND(33&gt;=$NR$21,33&lt;=$NS$21),IF($NP$21="Single_Point",IF(33=$NR$21,$NN$21,0),IF($NP$21="Bell_Curve",$NN$21*(33-$NR$21+1)*($NS$21-33+1)/$NU$21,$NN$21/$NT$21)),0)</f>
        <v/>
      </c>
      <c r="AL21" s="228">
        <f>IF(AND(34&gt;=$NR$21,34&lt;=$NS$21),IF($NP$21="Single_Point",IF(34=$NR$21,$NN$21,0),IF($NP$21="Bell_Curve",$NN$21*(34-$NR$21+1)*($NS$21-34+1)/$NU$21,$NN$21/$NT$21)),0)</f>
        <v/>
      </c>
      <c r="AM21" s="228">
        <f>IF(AND(35&gt;=$NR$21,35&lt;=$NS$21),IF($NP$21="Single_Point",IF(35=$NR$21,$NN$21,0),IF($NP$21="Bell_Curve",$NN$21*(35-$NR$21+1)*($NS$21-35+1)/$NU$21,$NN$21/$NT$21)),0)</f>
        <v/>
      </c>
      <c r="AN21" s="228">
        <f>IF(AND(36&gt;=$NR$21,36&lt;=$NS$21),IF($NP$21="Single_Point",IF(36=$NR$21,$NN$21,0),IF($NP$21="Bell_Curve",$NN$21*(36-$NR$21+1)*($NS$21-36+1)/$NU$21,$NN$21/$NT$21)),0)</f>
        <v/>
      </c>
      <c r="AO21" s="228">
        <f>IF(AND(37&gt;=$NR$21,37&lt;=$NS$21),IF($NP$21="Single_Point",IF(37=$NR$21,$NN$21,0),IF($NP$21="Bell_Curve",$NN$21*(37-$NR$21+1)*($NS$21-37+1)/$NU$21,$NN$21/$NT$21)),0)</f>
        <v/>
      </c>
      <c r="AP21" s="228">
        <f>IF(AND(38&gt;=$NR$21,38&lt;=$NS$21),IF($NP$21="Single_Point",IF(38=$NR$21,$NN$21,0),IF($NP$21="Bell_Curve",$NN$21*(38-$NR$21+1)*($NS$21-38+1)/$NU$21,$NN$21/$NT$21)),0)</f>
        <v/>
      </c>
      <c r="AQ21" s="228">
        <f>IF(AND(39&gt;=$NR$21,39&lt;=$NS$21),IF($NP$21="Single_Point",IF(39=$NR$21,$NN$21,0),IF($NP$21="Bell_Curve",$NN$21*(39-$NR$21+1)*($NS$21-39+1)/$NU$21,$NN$21/$NT$21)),0)</f>
        <v/>
      </c>
      <c r="AR21" s="228">
        <f>IF(AND(40&gt;=$NR$21,40&lt;=$NS$21),IF($NP$21="Single_Point",IF(40=$NR$21,$NN$21,0),IF($NP$21="Bell_Curve",$NN$21*(40-$NR$21+1)*($NS$21-40+1)/$NU$21,$NN$21/$NT$21)),0)</f>
        <v/>
      </c>
      <c r="AS21" s="228">
        <f>IF(AND(41&gt;=$NR$21,41&lt;=$NS$21),IF($NP$21="Single_Point",IF(41=$NR$21,$NN$21,0),IF($NP$21="Bell_Curve",$NN$21*(41-$NR$21+1)*($NS$21-41+1)/$NU$21,$NN$21/$NT$21)),0)</f>
        <v/>
      </c>
      <c r="AT21" s="228">
        <f>IF(AND(42&gt;=$NR$21,42&lt;=$NS$21),IF($NP$21="Single_Point",IF(42=$NR$21,$NN$21,0),IF($NP$21="Bell_Curve",$NN$21*(42-$NR$21+1)*($NS$21-42+1)/$NU$21,$NN$21/$NT$21)),0)</f>
        <v/>
      </c>
      <c r="AU21" s="228">
        <f>IF(AND(43&gt;=$NR$21,43&lt;=$NS$21),IF($NP$21="Single_Point",IF(43=$NR$21,$NN$21,0),IF($NP$21="Bell_Curve",$NN$21*(43-$NR$21+1)*($NS$21-43+1)/$NU$21,$NN$21/$NT$21)),0)</f>
        <v/>
      </c>
      <c r="AV21" s="228">
        <f>IF(AND(44&gt;=$NR$21,44&lt;=$NS$21),IF($NP$21="Single_Point",IF(44=$NR$21,$NN$21,0),IF($NP$21="Bell_Curve",$NN$21*(44-$NR$21+1)*($NS$21-44+1)/$NU$21,$NN$21/$NT$21)),0)</f>
        <v/>
      </c>
      <c r="AW21" s="228">
        <f>IF(AND(45&gt;=$NR$21,45&lt;=$NS$21),IF($NP$21="Single_Point",IF(45=$NR$21,$NN$21,0),IF($NP$21="Bell_Curve",$NN$21*(45-$NR$21+1)*($NS$21-45+1)/$NU$21,$NN$21/$NT$21)),0)</f>
        <v/>
      </c>
      <c r="AX21" s="228">
        <f>IF(AND(46&gt;=$NR$21,46&lt;=$NS$21),IF($NP$21="Single_Point",IF(46=$NR$21,$NN$21,0),IF($NP$21="Bell_Curve",$NN$21*(46-$NR$21+1)*($NS$21-46+1)/$NU$21,$NN$21/$NT$21)),0)</f>
        <v/>
      </c>
      <c r="AY21" s="228">
        <f>IF(AND(47&gt;=$NR$21,47&lt;=$NS$21),IF($NP$21="Single_Point",IF(47=$NR$21,$NN$21,0),IF($NP$21="Bell_Curve",$NN$21*(47-$NR$21+1)*($NS$21-47+1)/$NU$21,$NN$21/$NT$21)),0)</f>
        <v/>
      </c>
      <c r="AZ21" s="228">
        <f>IF(AND(48&gt;=$NR$21,48&lt;=$NS$21),IF($NP$21="Single_Point",IF(48=$NR$21,$NN$21,0),IF($NP$21="Bell_Curve",$NN$21*(48-$NR$21+1)*($NS$21-48+1)/$NU$21,$NN$21/$NT$21)),0)</f>
        <v/>
      </c>
      <c r="BA21" s="228">
        <f>IF(AND(49&gt;=$NR$21,49&lt;=$NS$21),IF($NP$21="Single_Point",IF(49=$NR$21,$NN$21,0),IF($NP$21="Bell_Curve",$NN$21*(49-$NR$21+1)*($NS$21-49+1)/$NU$21,$NN$21/$NT$21)),0)</f>
        <v/>
      </c>
      <c r="BB21" s="228">
        <f>IF(AND(50&gt;=$NR$21,50&lt;=$NS$21),IF($NP$21="Single_Point",IF(50=$NR$21,$NN$21,0),IF($NP$21="Bell_Curve",$NN$21*(50-$NR$21+1)*($NS$21-50+1)/$NU$21,$NN$21/$NT$21)),0)</f>
        <v/>
      </c>
      <c r="BC21" s="228">
        <f>IF(AND(51&gt;=$NR$21,51&lt;=$NS$21),IF($NP$21="Single_Point",IF(51=$NR$21,$NN$21,0),IF($NP$21="Bell_Curve",$NN$21*(51-$NR$21+1)*($NS$21-51+1)/$NU$21,$NN$21/$NT$21)),0)</f>
        <v/>
      </c>
      <c r="BD21" s="228">
        <f>IF(AND(52&gt;=$NR$21,52&lt;=$NS$21),IF($NP$21="Single_Point",IF(52=$NR$21,$NN$21,0),IF($NP$21="Bell_Curve",$NN$21*(52-$NR$21+1)*($NS$21-52+1)/$NU$21,$NN$21/$NT$21)),0)</f>
        <v/>
      </c>
      <c r="BE21" s="228">
        <f>IF(AND(53&gt;=$NR$21,53&lt;=$NS$21),IF($NP$21="Single_Point",IF(53=$NR$21,$NN$21,0),IF($NP$21="Bell_Curve",$NN$21*(53-$NR$21+1)*($NS$21-53+1)/$NU$21,$NN$21/$NT$21)),0)</f>
        <v/>
      </c>
      <c r="BF21" s="228">
        <f>IF(AND(54&gt;=$NR$21,54&lt;=$NS$21),IF($NP$21="Single_Point",IF(54=$NR$21,$NN$21,0),IF($NP$21="Bell_Curve",$NN$21*(54-$NR$21+1)*($NS$21-54+1)/$NU$21,$NN$21/$NT$21)),0)</f>
        <v/>
      </c>
      <c r="BG21" s="228">
        <f>IF(AND(55&gt;=$NR$21,55&lt;=$NS$21),IF($NP$21="Single_Point",IF(55=$NR$21,$NN$21,0),IF($NP$21="Bell_Curve",$NN$21*(55-$NR$21+1)*($NS$21-55+1)/$NU$21,$NN$21/$NT$21)),0)</f>
        <v/>
      </c>
      <c r="BH21" s="228">
        <f>IF(AND(56&gt;=$NR$21,56&lt;=$NS$21),IF($NP$21="Single_Point",IF(56=$NR$21,$NN$21,0),IF($NP$21="Bell_Curve",$NN$21*(56-$NR$21+1)*($NS$21-56+1)/$NU$21,$NN$21/$NT$21)),0)</f>
        <v/>
      </c>
      <c r="BI21" s="228">
        <f>IF(AND(57&gt;=$NR$21,57&lt;=$NS$21),IF($NP$21="Single_Point",IF(57=$NR$21,$NN$21,0),IF($NP$21="Bell_Curve",$NN$21*(57-$NR$21+1)*($NS$21-57+1)/$NU$21,$NN$21/$NT$21)),0)</f>
        <v/>
      </c>
      <c r="BJ21" s="228">
        <f>IF(AND(58&gt;=$NR$21,58&lt;=$NS$21),IF($NP$21="Single_Point",IF(58=$NR$21,$NN$21,0),IF($NP$21="Bell_Curve",$NN$21*(58-$NR$21+1)*($NS$21-58+1)/$NU$21,$NN$21/$NT$21)),0)</f>
        <v/>
      </c>
      <c r="BK21" s="228">
        <f>IF(AND(59&gt;=$NR$21,59&lt;=$NS$21),IF($NP$21="Single_Point",IF(59=$NR$21,$NN$21,0),IF($NP$21="Bell_Curve",$NN$21*(59-$NR$21+1)*($NS$21-59+1)/$NU$21,$NN$21/$NT$21)),0)</f>
        <v/>
      </c>
      <c r="BL21" s="228">
        <f>IF(AND(60&gt;=$NR$21,60&lt;=$NS$21),IF($NP$21="Single_Point",IF(60=$NR$21,$NN$21,0),IF($NP$21="Bell_Curve",$NN$21*(60-$NR$21+1)*($NS$21-60+1)/$NU$21,$NN$21/$NT$21)),0)</f>
        <v/>
      </c>
      <c r="BM21" s="228">
        <f>IF(AND(61&gt;=$NR$21,61&lt;=$NS$21),IF($NP$21="Single_Point",IF(61=$NR$21,$NN$21,0),IF($NP$21="Bell_Curve",$NN$21*(61-$NR$21+1)*($NS$21-61+1)/$NU$21,$NN$21/$NT$21)),0)</f>
        <v/>
      </c>
      <c r="BN21" s="228">
        <f>IF(AND(62&gt;=$NR$21,62&lt;=$NS$21),IF($NP$21="Single_Point",IF(62=$NR$21,$NN$21,0),IF($NP$21="Bell_Curve",$NN$21*(62-$NR$21+1)*($NS$21-62+1)/$NU$21,$NN$21/$NT$21)),0)</f>
        <v/>
      </c>
      <c r="BO21" s="228">
        <f>IF(AND(63&gt;=$NR$21,63&lt;=$NS$21),IF($NP$21="Single_Point",IF(63=$NR$21,$NN$21,0),IF($NP$21="Bell_Curve",$NN$21*(63-$NR$21+1)*($NS$21-63+1)/$NU$21,$NN$21/$NT$21)),0)</f>
        <v/>
      </c>
      <c r="BP21" s="228">
        <f>IF(AND(64&gt;=$NR$21,64&lt;=$NS$21),IF($NP$21="Single_Point",IF(64=$NR$21,$NN$21,0),IF($NP$21="Bell_Curve",$NN$21*(64-$NR$21+1)*($NS$21-64+1)/$NU$21,$NN$21/$NT$21)),0)</f>
        <v/>
      </c>
      <c r="BQ21" s="228">
        <f>IF(AND(65&gt;=$NR$21,65&lt;=$NS$21),IF($NP$21="Single_Point",IF(65=$NR$21,$NN$21,0),IF($NP$21="Bell_Curve",$NN$21*(65-$NR$21+1)*($NS$21-65+1)/$NU$21,$NN$21/$NT$21)),0)</f>
        <v/>
      </c>
      <c r="BR21" s="228">
        <f>IF(AND(66&gt;=$NR$21,66&lt;=$NS$21),IF($NP$21="Single_Point",IF(66=$NR$21,$NN$21,0),IF($NP$21="Bell_Curve",$NN$21*(66-$NR$21+1)*($NS$21-66+1)/$NU$21,$NN$21/$NT$21)),0)</f>
        <v/>
      </c>
      <c r="BS21" s="228">
        <f>IF(AND(67&gt;=$NR$21,67&lt;=$NS$21),IF($NP$21="Single_Point",IF(67=$NR$21,$NN$21,0),IF($NP$21="Bell_Curve",$NN$21*(67-$NR$21+1)*($NS$21-67+1)/$NU$21,$NN$21/$NT$21)),0)</f>
        <v/>
      </c>
      <c r="BT21" s="228">
        <f>IF(AND(68&gt;=$NR$21,68&lt;=$NS$21),IF($NP$21="Single_Point",IF(68=$NR$21,$NN$21,0),IF($NP$21="Bell_Curve",$NN$21*(68-$NR$21+1)*($NS$21-68+1)/$NU$21,$NN$21/$NT$21)),0)</f>
        <v/>
      </c>
      <c r="BU21" s="228">
        <f>IF(AND(69&gt;=$NR$21,69&lt;=$NS$21),IF($NP$21="Single_Point",IF(69=$NR$21,$NN$21,0),IF($NP$21="Bell_Curve",$NN$21*(69-$NR$21+1)*($NS$21-69+1)/$NU$21,$NN$21/$NT$21)),0)</f>
        <v/>
      </c>
      <c r="BV21" s="228">
        <f>IF(AND(70&gt;=$NR$21,70&lt;=$NS$21),IF($NP$21="Single_Point",IF(70=$NR$21,$NN$21,0),IF($NP$21="Bell_Curve",$NN$21*(70-$NR$21+1)*($NS$21-70+1)/$NU$21,$NN$21/$NT$21)),0)</f>
        <v/>
      </c>
      <c r="BW21" s="228">
        <f>IF(AND(71&gt;=$NR$21,71&lt;=$NS$21),IF($NP$21="Single_Point",IF(71=$NR$21,$NN$21,0),IF($NP$21="Bell_Curve",$NN$21*(71-$NR$21+1)*($NS$21-71+1)/$NU$21,$NN$21/$NT$21)),0)</f>
        <v/>
      </c>
      <c r="BX21" s="228">
        <f>IF(AND(72&gt;=$NR$21,72&lt;=$NS$21),IF($NP$21="Single_Point",IF(72=$NR$21,$NN$21,0),IF($NP$21="Bell_Curve",$NN$21*(72-$NR$21+1)*($NS$21-72+1)/$NU$21,$NN$21/$NT$21)),0)</f>
        <v/>
      </c>
      <c r="BY21" s="228">
        <f>IF(AND(73&gt;=$NR$21,73&lt;=$NS$21),IF($NP$21="Single_Point",IF(73=$NR$21,$NN$21,0),IF($NP$21="Bell_Curve",$NN$21*(73-$NR$21+1)*($NS$21-73+1)/$NU$21,$NN$21/$NT$21)),0)</f>
        <v/>
      </c>
      <c r="BZ21" s="228">
        <f>IF(AND(74&gt;=$NR$21,74&lt;=$NS$21),IF($NP$21="Single_Point",IF(74=$NR$21,$NN$21,0),IF($NP$21="Bell_Curve",$NN$21*(74-$NR$21+1)*($NS$21-74+1)/$NU$21,$NN$21/$NT$21)),0)</f>
        <v/>
      </c>
      <c r="CA21" s="228">
        <f>IF(AND(75&gt;=$NR$21,75&lt;=$NS$21),IF($NP$21="Single_Point",IF(75=$NR$21,$NN$21,0),IF($NP$21="Bell_Curve",$NN$21*(75-$NR$21+1)*($NS$21-75+1)/$NU$21,$NN$21/$NT$21)),0)</f>
        <v/>
      </c>
      <c r="CB21" s="228">
        <f>IF(AND(76&gt;=$NR$21,76&lt;=$NS$21),IF($NP$21="Single_Point",IF(76=$NR$21,$NN$21,0),IF($NP$21="Bell_Curve",$NN$21*(76-$NR$21+1)*($NS$21-76+1)/$NU$21,$NN$21/$NT$21)),0)</f>
        <v/>
      </c>
      <c r="CC21" s="228">
        <f>IF(AND(77&gt;=$NR$21,77&lt;=$NS$21),IF($NP$21="Single_Point",IF(77=$NR$21,$NN$21,0),IF($NP$21="Bell_Curve",$NN$21*(77-$NR$21+1)*($NS$21-77+1)/$NU$21,$NN$21/$NT$21)),0)</f>
        <v/>
      </c>
      <c r="CD21" s="228">
        <f>IF(AND(78&gt;=$NR$21,78&lt;=$NS$21),IF($NP$21="Single_Point",IF(78=$NR$21,$NN$21,0),IF($NP$21="Bell_Curve",$NN$21*(78-$NR$21+1)*($NS$21-78+1)/$NU$21,$NN$21/$NT$21)),0)</f>
        <v/>
      </c>
      <c r="CE21" s="228">
        <f>IF(AND(79&gt;=$NR$21,79&lt;=$NS$21),IF($NP$21="Single_Point",IF(79=$NR$21,$NN$21,0),IF($NP$21="Bell_Curve",$NN$21*(79-$NR$21+1)*($NS$21-79+1)/$NU$21,$NN$21/$NT$21)),0)</f>
        <v/>
      </c>
      <c r="CF21" s="228">
        <f>IF(AND(80&gt;=$NR$21,80&lt;=$NS$21),IF($NP$21="Single_Point",IF(80=$NR$21,$NN$21,0),IF($NP$21="Bell_Curve",$NN$21*(80-$NR$21+1)*($NS$21-80+1)/$NU$21,$NN$21/$NT$21)),0)</f>
        <v/>
      </c>
      <c r="CG21" s="228">
        <f>IF(AND(81&gt;=$NR$21,81&lt;=$NS$21),IF($NP$21="Single_Point",IF(81=$NR$21,$NN$21,0),IF($NP$21="Bell_Curve",$NN$21*(81-$NR$21+1)*($NS$21-81+1)/$NU$21,$NN$21/$NT$21)),0)</f>
        <v/>
      </c>
      <c r="CH21" s="228">
        <f>IF(AND(82&gt;=$NR$21,82&lt;=$NS$21),IF($NP$21="Single_Point",IF(82=$NR$21,$NN$21,0),IF($NP$21="Bell_Curve",$NN$21*(82-$NR$21+1)*($NS$21-82+1)/$NU$21,$NN$21/$NT$21)),0)</f>
        <v/>
      </c>
      <c r="CI21" s="228">
        <f>IF(AND(83&gt;=$NR$21,83&lt;=$NS$21),IF($NP$21="Single_Point",IF(83=$NR$21,$NN$21,0),IF($NP$21="Bell_Curve",$NN$21*(83-$NR$21+1)*($NS$21-83+1)/$NU$21,$NN$21/$NT$21)),0)</f>
        <v/>
      </c>
      <c r="CJ21" s="228">
        <f>IF(AND(84&gt;=$NR$21,84&lt;=$NS$21),IF($NP$21="Single_Point",IF(84=$NR$21,$NN$21,0),IF($NP$21="Bell_Curve",$NN$21*(84-$NR$21+1)*($NS$21-84+1)/$NU$21,$NN$21/$NT$21)),0)</f>
        <v/>
      </c>
      <c r="CK21" s="228">
        <f>IF(AND(85&gt;=$NR$21,85&lt;=$NS$21),IF($NP$21="Single_Point",IF(85=$NR$21,$NN$21,0),IF($NP$21="Bell_Curve",$NN$21*(85-$NR$21+1)*($NS$21-85+1)/$NU$21,$NN$21/$NT$21)),0)</f>
        <v/>
      </c>
      <c r="CL21" s="228">
        <f>IF(AND(86&gt;=$NR$21,86&lt;=$NS$21),IF($NP$21="Single_Point",IF(86=$NR$21,$NN$21,0),IF($NP$21="Bell_Curve",$NN$21*(86-$NR$21+1)*($NS$21-86+1)/$NU$21,$NN$21/$NT$21)),0)</f>
        <v/>
      </c>
      <c r="CM21" s="228">
        <f>IF(AND(87&gt;=$NR$21,87&lt;=$NS$21),IF($NP$21="Single_Point",IF(87=$NR$21,$NN$21,0),IF($NP$21="Bell_Curve",$NN$21*(87-$NR$21+1)*($NS$21-87+1)/$NU$21,$NN$21/$NT$21)),0)</f>
        <v/>
      </c>
      <c r="CN21" s="228">
        <f>IF(AND(88&gt;=$NR$21,88&lt;=$NS$21),IF($NP$21="Single_Point",IF(88=$NR$21,$NN$21,0),IF($NP$21="Bell_Curve",$NN$21*(88-$NR$21+1)*($NS$21-88+1)/$NU$21,$NN$21/$NT$21)),0)</f>
        <v/>
      </c>
      <c r="CO21" s="228">
        <f>IF(AND(89&gt;=$NR$21,89&lt;=$NS$21),IF($NP$21="Single_Point",IF(89=$NR$21,$NN$21,0),IF($NP$21="Bell_Curve",$NN$21*(89-$NR$21+1)*($NS$21-89+1)/$NU$21,$NN$21/$NT$21)),0)</f>
        <v/>
      </c>
      <c r="CP21" s="228">
        <f>IF(AND(90&gt;=$NR$21,90&lt;=$NS$21),IF($NP$21="Single_Point",IF(90=$NR$21,$NN$21,0),IF($NP$21="Bell_Curve",$NN$21*(90-$NR$21+1)*($NS$21-90+1)/$NU$21,$NN$21/$NT$21)),0)</f>
        <v/>
      </c>
      <c r="CQ21" s="228">
        <f>IF(AND(91&gt;=$NR$21,91&lt;=$NS$21),IF($NP$21="Single_Point",IF(91=$NR$21,$NN$21,0),IF($NP$21="Bell_Curve",$NN$21*(91-$NR$21+1)*($NS$21-91+1)/$NU$21,$NN$21/$NT$21)),0)</f>
        <v/>
      </c>
      <c r="CR21" s="228">
        <f>IF(AND(92&gt;=$NR$21,92&lt;=$NS$21),IF($NP$21="Single_Point",IF(92=$NR$21,$NN$21,0),IF($NP$21="Bell_Curve",$NN$21*(92-$NR$21+1)*($NS$21-92+1)/$NU$21,$NN$21/$NT$21)),0)</f>
        <v/>
      </c>
      <c r="CS21" s="228">
        <f>IF(AND(93&gt;=$NR$21,93&lt;=$NS$21),IF($NP$21="Single_Point",IF(93=$NR$21,$NN$21,0),IF($NP$21="Bell_Curve",$NN$21*(93-$NR$21+1)*($NS$21-93+1)/$NU$21,$NN$21/$NT$21)),0)</f>
        <v/>
      </c>
      <c r="CT21" s="228">
        <f>IF(AND(94&gt;=$NR$21,94&lt;=$NS$21),IF($NP$21="Single_Point",IF(94=$NR$21,$NN$21,0),IF($NP$21="Bell_Curve",$NN$21*(94-$NR$21+1)*($NS$21-94+1)/$NU$21,$NN$21/$NT$21)),0)</f>
        <v/>
      </c>
      <c r="CU21" s="228">
        <f>IF(AND(95&gt;=$NR$21,95&lt;=$NS$21),IF($NP$21="Single_Point",IF(95=$NR$21,$NN$21,0),IF($NP$21="Bell_Curve",$NN$21*(95-$NR$21+1)*($NS$21-95+1)/$NU$21,$NN$21/$NT$21)),0)</f>
        <v/>
      </c>
      <c r="CV21" s="228">
        <f>IF(AND(96&gt;=$NR$21,96&lt;=$NS$21),IF($NP$21="Single_Point",IF(96=$NR$21,$NN$21,0),IF($NP$21="Bell_Curve",$NN$21*(96-$NR$21+1)*($NS$21-96+1)/$NU$21,$NN$21/$NT$21)),0)</f>
        <v/>
      </c>
      <c r="CW21" s="228">
        <f>IF(AND(97&gt;=$NR$21,97&lt;=$NS$21),IF($NP$21="Single_Point",IF(97=$NR$21,$NN$21,0),IF($NP$21="Bell_Curve",$NN$21*(97-$NR$21+1)*($NS$21-97+1)/$NU$21,$NN$21/$NT$21)),0)</f>
        <v/>
      </c>
      <c r="CX21" s="228">
        <f>IF(AND(98&gt;=$NR$21,98&lt;=$NS$21),IF($NP$21="Single_Point",IF(98=$NR$21,$NN$21,0),IF($NP$21="Bell_Curve",$NN$21*(98-$NR$21+1)*($NS$21-98+1)/$NU$21,$NN$21/$NT$21)),0)</f>
        <v/>
      </c>
      <c r="CY21" s="228">
        <f>IF(AND(99&gt;=$NR$21,99&lt;=$NS$21),IF($NP$21="Single_Point",IF(99=$NR$21,$NN$21,0),IF($NP$21="Bell_Curve",$NN$21*(99-$NR$21+1)*($NS$21-99+1)/$NU$21,$NN$21/$NT$21)),0)</f>
        <v/>
      </c>
      <c r="CZ21" s="228">
        <f>IF(AND(100&gt;=$NR$21,100&lt;=$NS$21),IF($NP$21="Single_Point",IF(100=$NR$21,$NN$21,0),IF($NP$21="Bell_Curve",$NN$21*(100-$NR$21+1)*($NS$21-100+1)/$NU$21,$NN$21/$NT$21)),0)</f>
        <v/>
      </c>
      <c r="DA21" s="228">
        <f>IF(AND(101&gt;=$NR$21,101&lt;=$NS$21),IF($NP$21="Single_Point",IF(101=$NR$21,$NN$21,0),IF($NP$21="Bell_Curve",$NN$21*(101-$NR$21+1)*($NS$21-101+1)/$NU$21,$NN$21/$NT$21)),0)</f>
        <v/>
      </c>
      <c r="DB21" s="228">
        <f>IF(AND(102&gt;=$NR$21,102&lt;=$NS$21),IF($NP$21="Single_Point",IF(102=$NR$21,$NN$21,0),IF($NP$21="Bell_Curve",$NN$21*(102-$NR$21+1)*($NS$21-102+1)/$NU$21,$NN$21/$NT$21)),0)</f>
        <v/>
      </c>
      <c r="DC21" s="228">
        <f>IF(AND(103&gt;=$NR$21,103&lt;=$NS$21),IF($NP$21="Single_Point",IF(103=$NR$21,$NN$21,0),IF($NP$21="Bell_Curve",$NN$21*(103-$NR$21+1)*($NS$21-103+1)/$NU$21,$NN$21/$NT$21)),0)</f>
        <v/>
      </c>
      <c r="DD21" s="228">
        <f>IF(AND(104&gt;=$NR$21,104&lt;=$NS$21),IF($NP$21="Single_Point",IF(104=$NR$21,$NN$21,0),IF($NP$21="Bell_Curve",$NN$21*(104-$NR$21+1)*($NS$21-104+1)/$NU$21,$NN$21/$NT$21)),0)</f>
        <v/>
      </c>
      <c r="DE21" s="228">
        <f>IF(AND(105&gt;=$NR$21,105&lt;=$NS$21),IF($NP$21="Single_Point",IF(105=$NR$21,$NN$21,0),IF($NP$21="Bell_Curve",$NN$21*(105-$NR$21+1)*($NS$21-105+1)/$NU$21,$NN$21/$NT$21)),0)</f>
        <v/>
      </c>
      <c r="DF21" s="228">
        <f>IF(AND(106&gt;=$NR$21,106&lt;=$NS$21),IF($NP$21="Single_Point",IF(106=$NR$21,$NN$21,0),IF($NP$21="Bell_Curve",$NN$21*(106-$NR$21+1)*($NS$21-106+1)/$NU$21,$NN$21/$NT$21)),0)</f>
        <v/>
      </c>
      <c r="DG21" s="228">
        <f>IF(AND(107&gt;=$NR$21,107&lt;=$NS$21),IF($NP$21="Single_Point",IF(107=$NR$21,$NN$21,0),IF($NP$21="Bell_Curve",$NN$21*(107-$NR$21+1)*($NS$21-107+1)/$NU$21,$NN$21/$NT$21)),0)</f>
        <v/>
      </c>
      <c r="DH21" s="228">
        <f>IF(AND(108&gt;=$NR$21,108&lt;=$NS$21),IF($NP$21="Single_Point",IF(108=$NR$21,$NN$21,0),IF($NP$21="Bell_Curve",$NN$21*(108-$NR$21+1)*($NS$21-108+1)/$NU$21,$NN$21/$NT$21)),0)</f>
        <v/>
      </c>
      <c r="DI21" s="228">
        <f>IF(AND(109&gt;=$NR$21,109&lt;=$NS$21),IF($NP$21="Single_Point",IF(109=$NR$21,$NN$21,0),IF($NP$21="Bell_Curve",$NN$21*(109-$NR$21+1)*($NS$21-109+1)/$NU$21,$NN$21/$NT$21)),0)</f>
        <v/>
      </c>
      <c r="DJ21" s="228">
        <f>IF(AND(110&gt;=$NR$21,110&lt;=$NS$21),IF($NP$21="Single_Point",IF(110=$NR$21,$NN$21,0),IF($NP$21="Bell_Curve",$NN$21*(110-$NR$21+1)*($NS$21-110+1)/$NU$21,$NN$21/$NT$21)),0)</f>
        <v/>
      </c>
      <c r="DK21" s="228">
        <f>IF(AND(111&gt;=$NR$21,111&lt;=$NS$21),IF($NP$21="Single_Point",IF(111=$NR$21,$NN$21,0),IF($NP$21="Bell_Curve",$NN$21*(111-$NR$21+1)*($NS$21-111+1)/$NU$21,$NN$21/$NT$21)),0)</f>
        <v/>
      </c>
      <c r="DL21" s="228">
        <f>IF(AND(112&gt;=$NR$21,112&lt;=$NS$21),IF($NP$21="Single_Point",IF(112=$NR$21,$NN$21,0),IF($NP$21="Bell_Curve",$NN$21*(112-$NR$21+1)*($NS$21-112+1)/$NU$21,$NN$21/$NT$21)),0)</f>
        <v/>
      </c>
      <c r="DM21" s="228">
        <f>IF(AND(113&gt;=$NR$21,113&lt;=$NS$21),IF($NP$21="Single_Point",IF(113=$NR$21,$NN$21,0),IF($NP$21="Bell_Curve",$NN$21*(113-$NR$21+1)*($NS$21-113+1)/$NU$21,$NN$21/$NT$21)),0)</f>
        <v/>
      </c>
      <c r="DN21" s="228">
        <f>IF(AND(114&gt;=$NR$21,114&lt;=$NS$21),IF($NP$21="Single_Point",IF(114=$NR$21,$NN$21,0),IF($NP$21="Bell_Curve",$NN$21*(114-$NR$21+1)*($NS$21-114+1)/$NU$21,$NN$21/$NT$21)),0)</f>
        <v/>
      </c>
      <c r="DO21" s="228">
        <f>IF(AND(115&gt;=$NR$21,115&lt;=$NS$21),IF($NP$21="Single_Point",IF(115=$NR$21,$NN$21,0),IF($NP$21="Bell_Curve",$NN$21*(115-$NR$21+1)*($NS$21-115+1)/$NU$21,$NN$21/$NT$21)),0)</f>
        <v/>
      </c>
      <c r="DP21" s="228">
        <f>IF(AND(116&gt;=$NR$21,116&lt;=$NS$21),IF($NP$21="Single_Point",IF(116=$NR$21,$NN$21,0),IF($NP$21="Bell_Curve",$NN$21*(116-$NR$21+1)*($NS$21-116+1)/$NU$21,$NN$21/$NT$21)),0)</f>
        <v/>
      </c>
      <c r="DQ21" s="228">
        <f>IF(AND(117&gt;=$NR$21,117&lt;=$NS$21),IF($NP$21="Single_Point",IF(117=$NR$21,$NN$21,0),IF($NP$21="Bell_Curve",$NN$21*(117-$NR$21+1)*($NS$21-117+1)/$NU$21,$NN$21/$NT$21)),0)</f>
        <v/>
      </c>
      <c r="DR21" s="228">
        <f>IF(AND(118&gt;=$NR$21,118&lt;=$NS$21),IF($NP$21="Single_Point",IF(118=$NR$21,$NN$21,0),IF($NP$21="Bell_Curve",$NN$21*(118-$NR$21+1)*($NS$21-118+1)/$NU$21,$NN$21/$NT$21)),0)</f>
        <v/>
      </c>
      <c r="DS21" s="228">
        <f>IF(AND(119&gt;=$NR$21,119&lt;=$NS$21),IF($NP$21="Single_Point",IF(119=$NR$21,$NN$21,0),IF($NP$21="Bell_Curve",$NN$21*(119-$NR$21+1)*($NS$21-119+1)/$NU$21,$NN$21/$NT$21)),0)</f>
        <v/>
      </c>
      <c r="DT21" s="228">
        <f>IF(AND(120&gt;=$NR$21,120&lt;=$NS$21),IF($NP$21="Single_Point",IF(120=$NR$21,$NN$21,0),IF($NP$21="Bell_Curve",$NN$21*(120-$NR$21+1)*($NS$21-120+1)/$NU$21,$NN$21/$NT$21)),0)</f>
        <v/>
      </c>
      <c r="DU21" s="228">
        <f>IF(AND(121&gt;=$NR$21,121&lt;=$NS$21),IF($NP$21="Single_Point",IF(121=$NR$21,$NN$21,0),IF($NP$21="Bell_Curve",$NN$21*(121-$NR$21+1)*($NS$21-121+1)/$NU$21,$NN$21/$NT$21)),0)</f>
        <v/>
      </c>
      <c r="DV21" s="228">
        <f>IF(AND(122&gt;=$NR$21,122&lt;=$NS$21),IF($NP$21="Single_Point",IF(122=$NR$21,$NN$21,0),IF($NP$21="Bell_Curve",$NN$21*(122-$NR$21+1)*($NS$21-122+1)/$NU$21,$NN$21/$NT$21)),0)</f>
        <v/>
      </c>
      <c r="DW21" s="228">
        <f>IF(AND(123&gt;=$NR$21,123&lt;=$NS$21),IF($NP$21="Single_Point",IF(123=$NR$21,$NN$21,0),IF($NP$21="Bell_Curve",$NN$21*(123-$NR$21+1)*($NS$21-123+1)/$NU$21,$NN$21/$NT$21)),0)</f>
        <v/>
      </c>
      <c r="DX21" s="228">
        <f>IF(AND(124&gt;=$NR$21,124&lt;=$NS$21),IF($NP$21="Single_Point",IF(124=$NR$21,$NN$21,0),IF($NP$21="Bell_Curve",$NN$21*(124-$NR$21+1)*($NS$21-124+1)/$NU$21,$NN$21/$NT$21)),0)</f>
        <v/>
      </c>
      <c r="DY21" s="228">
        <f>IF(AND(125&gt;=$NR$21,125&lt;=$NS$21),IF($NP$21="Single_Point",IF(125=$NR$21,$NN$21,0),IF($NP$21="Bell_Curve",$NN$21*(125-$NR$21+1)*($NS$21-125+1)/$NU$21,$NN$21/$NT$21)),0)</f>
        <v/>
      </c>
      <c r="DZ21" s="228">
        <f>IF(AND(126&gt;=$NR$21,126&lt;=$NS$21),IF($NP$21="Single_Point",IF(126=$NR$21,$NN$21,0),IF($NP$21="Bell_Curve",$NN$21*(126-$NR$21+1)*($NS$21-126+1)/$NU$21,$NN$21/$NT$21)),0)</f>
        <v/>
      </c>
      <c r="EA21" s="228">
        <f>IF(AND(127&gt;=$NR$21,127&lt;=$NS$21),IF($NP$21="Single_Point",IF(127=$NR$21,$NN$21,0),IF($NP$21="Bell_Curve",$NN$21*(127-$NR$21+1)*($NS$21-127+1)/$NU$21,$NN$21/$NT$21)),0)</f>
        <v/>
      </c>
      <c r="EB21" s="228">
        <f>IF(AND(128&gt;=$NR$21,128&lt;=$NS$21),IF($NP$21="Single_Point",IF(128=$NR$21,$NN$21,0),IF($NP$21="Bell_Curve",$NN$21*(128-$NR$21+1)*($NS$21-128+1)/$NU$21,$NN$21/$NT$21)),0)</f>
        <v/>
      </c>
      <c r="EC21" s="228">
        <f>IF(AND(129&gt;=$NR$21,129&lt;=$NS$21),IF($NP$21="Single_Point",IF(129=$NR$21,$NN$21,0),IF($NP$21="Bell_Curve",$NN$21*(129-$NR$21+1)*($NS$21-129+1)/$NU$21,$NN$21/$NT$21)),0)</f>
        <v/>
      </c>
      <c r="ED21" s="228">
        <f>IF(AND(130&gt;=$NR$21,130&lt;=$NS$21),IF($NP$21="Single_Point",IF(130=$NR$21,$NN$21,0),IF($NP$21="Bell_Curve",$NN$21*(130-$NR$21+1)*($NS$21-130+1)/$NU$21,$NN$21/$NT$21)),0)</f>
        <v/>
      </c>
      <c r="EE21" s="228">
        <f>IF(AND(131&gt;=$NR$21,131&lt;=$NS$21),IF($NP$21="Single_Point",IF(131=$NR$21,$NN$21,0),IF($NP$21="Bell_Curve",$NN$21*(131-$NR$21+1)*($NS$21-131+1)/$NU$21,$NN$21/$NT$21)),0)</f>
        <v/>
      </c>
      <c r="EF21" s="228">
        <f>IF(AND(132&gt;=$NR$21,132&lt;=$NS$21),IF($NP$21="Single_Point",IF(132=$NR$21,$NN$21,0),IF($NP$21="Bell_Curve",$NN$21*(132-$NR$21+1)*($NS$21-132+1)/$NU$21,$NN$21/$NT$21)),0)</f>
        <v/>
      </c>
      <c r="EG21" s="228">
        <f>IF(AND(133&gt;=$NR$21,133&lt;=$NS$21),IF($NP$21="Single_Point",IF(133=$NR$21,$NN$21,0),IF($NP$21="Bell_Curve",$NN$21*(133-$NR$21+1)*($NS$21-133+1)/$NU$21,$NN$21/$NT$21)),0)</f>
        <v/>
      </c>
      <c r="EH21" s="228">
        <f>IF(AND(134&gt;=$NR$21,134&lt;=$NS$21),IF($NP$21="Single_Point",IF(134=$NR$21,$NN$21,0),IF($NP$21="Bell_Curve",$NN$21*(134-$NR$21+1)*($NS$21-134+1)/$NU$21,$NN$21/$NT$21)),0)</f>
        <v/>
      </c>
      <c r="EI21" s="228">
        <f>IF(AND(135&gt;=$NR$21,135&lt;=$NS$21),IF($NP$21="Single_Point",IF(135=$NR$21,$NN$21,0),IF($NP$21="Bell_Curve",$NN$21*(135-$NR$21+1)*($NS$21-135+1)/$NU$21,$NN$21/$NT$21)),0)</f>
        <v/>
      </c>
      <c r="EJ21" s="228">
        <f>IF(AND(136&gt;=$NR$21,136&lt;=$NS$21),IF($NP$21="Single_Point",IF(136=$NR$21,$NN$21,0),IF($NP$21="Bell_Curve",$NN$21*(136-$NR$21+1)*($NS$21-136+1)/$NU$21,$NN$21/$NT$21)),0)</f>
        <v/>
      </c>
      <c r="EK21" s="228">
        <f>IF(AND(137&gt;=$NR$21,137&lt;=$NS$21),IF($NP$21="Single_Point",IF(137=$NR$21,$NN$21,0),IF($NP$21="Bell_Curve",$NN$21*(137-$NR$21+1)*($NS$21-137+1)/$NU$21,$NN$21/$NT$21)),0)</f>
        <v/>
      </c>
      <c r="EL21" s="228">
        <f>IF(AND(138&gt;=$NR$21,138&lt;=$NS$21),IF($NP$21="Single_Point",IF(138=$NR$21,$NN$21,0),IF($NP$21="Bell_Curve",$NN$21*(138-$NR$21+1)*($NS$21-138+1)/$NU$21,$NN$21/$NT$21)),0)</f>
        <v/>
      </c>
      <c r="EM21" s="228">
        <f>IF(AND(139&gt;=$NR$21,139&lt;=$NS$21),IF($NP$21="Single_Point",IF(139=$NR$21,$NN$21,0),IF($NP$21="Bell_Curve",$NN$21*(139-$NR$21+1)*($NS$21-139+1)/$NU$21,$NN$21/$NT$21)),0)</f>
        <v/>
      </c>
      <c r="EN21" s="228">
        <f>IF(AND(140&gt;=$NR$21,140&lt;=$NS$21),IF($NP$21="Single_Point",IF(140=$NR$21,$NN$21,0),IF($NP$21="Bell_Curve",$NN$21*(140-$NR$21+1)*($NS$21-140+1)/$NU$21,$NN$21/$NT$21)),0)</f>
        <v/>
      </c>
      <c r="EO21" s="228">
        <f>IF(AND(141&gt;=$NR$21,141&lt;=$NS$21),IF($NP$21="Single_Point",IF(141=$NR$21,$NN$21,0),IF($NP$21="Bell_Curve",$NN$21*(141-$NR$21+1)*($NS$21-141+1)/$NU$21,$NN$21/$NT$21)),0)</f>
        <v/>
      </c>
      <c r="EP21" s="228">
        <f>IF(AND(142&gt;=$NR$21,142&lt;=$NS$21),IF($NP$21="Single_Point",IF(142=$NR$21,$NN$21,0),IF($NP$21="Bell_Curve",$NN$21*(142-$NR$21+1)*($NS$21-142+1)/$NU$21,$NN$21/$NT$21)),0)</f>
        <v/>
      </c>
      <c r="EQ21" s="228">
        <f>IF(AND(143&gt;=$NR$21,143&lt;=$NS$21),IF($NP$21="Single_Point",IF(143=$NR$21,$NN$21,0),IF($NP$21="Bell_Curve",$NN$21*(143-$NR$21+1)*($NS$21-143+1)/$NU$21,$NN$21/$NT$21)),0)</f>
        <v/>
      </c>
      <c r="ER21" s="228">
        <f>IF(AND(144&gt;=$NR$21,144&lt;=$NS$21),IF($NP$21="Single_Point",IF(144=$NR$21,$NN$21,0),IF($NP$21="Bell_Curve",$NN$21*(144-$NR$21+1)*($NS$21-144+1)/$NU$21,$NN$21/$NT$21)),0)</f>
        <v/>
      </c>
      <c r="ES21" s="228">
        <f>IF(AND(145&gt;=$NR$21,145&lt;=$NS$21),IF($NP$21="Single_Point",IF(145=$NR$21,$NN$21,0),IF($NP$21="Bell_Curve",$NN$21*(145-$NR$21+1)*($NS$21-145+1)/$NU$21,$NN$21/$NT$21)),0)</f>
        <v/>
      </c>
      <c r="ET21" s="228">
        <f>IF(AND(146&gt;=$NR$21,146&lt;=$NS$21),IF($NP$21="Single_Point",IF(146=$NR$21,$NN$21,0),IF($NP$21="Bell_Curve",$NN$21*(146-$NR$21+1)*($NS$21-146+1)/$NU$21,$NN$21/$NT$21)),0)</f>
        <v/>
      </c>
      <c r="EU21" s="228">
        <f>IF(AND(147&gt;=$NR$21,147&lt;=$NS$21),IF($NP$21="Single_Point",IF(147=$NR$21,$NN$21,0),IF($NP$21="Bell_Curve",$NN$21*(147-$NR$21+1)*($NS$21-147+1)/$NU$21,$NN$21/$NT$21)),0)</f>
        <v/>
      </c>
      <c r="EV21" s="228">
        <f>IF(AND(148&gt;=$NR$21,148&lt;=$NS$21),IF($NP$21="Single_Point",IF(148=$NR$21,$NN$21,0),IF($NP$21="Bell_Curve",$NN$21*(148-$NR$21+1)*($NS$21-148+1)/$NU$21,$NN$21/$NT$21)),0)</f>
        <v/>
      </c>
      <c r="EW21" s="228">
        <f>IF(AND(149&gt;=$NR$21,149&lt;=$NS$21),IF($NP$21="Single_Point",IF(149=$NR$21,$NN$21,0),IF($NP$21="Bell_Curve",$NN$21*(149-$NR$21+1)*($NS$21-149+1)/$NU$21,$NN$21/$NT$21)),0)</f>
        <v/>
      </c>
      <c r="EX21" s="228">
        <f>IF(AND(150&gt;=$NR$21,150&lt;=$NS$21),IF($NP$21="Single_Point",IF(150=$NR$21,$NN$21,0),IF($NP$21="Bell_Curve",$NN$21*(150-$NR$21+1)*($NS$21-150+1)/$NU$21,$NN$21/$NT$21)),0)</f>
        <v/>
      </c>
      <c r="EY21" s="228">
        <f>IF(AND(151&gt;=$NR$21,151&lt;=$NS$21),IF($NP$21="Single_Point",IF(151=$NR$21,$NN$21,0),IF($NP$21="Bell_Curve",$NN$21*(151-$NR$21+1)*($NS$21-151+1)/$NU$21,$NN$21/$NT$21)),0)</f>
        <v/>
      </c>
      <c r="EZ21" s="228">
        <f>IF(AND(152&gt;=$NR$21,152&lt;=$NS$21),IF($NP$21="Single_Point",IF(152=$NR$21,$NN$21,0),IF($NP$21="Bell_Curve",$NN$21*(152-$NR$21+1)*($NS$21-152+1)/$NU$21,$NN$21/$NT$21)),0)</f>
        <v/>
      </c>
      <c r="FA21" s="228">
        <f>IF(AND(153&gt;=$NR$21,153&lt;=$NS$21),IF($NP$21="Single_Point",IF(153=$NR$21,$NN$21,0),IF($NP$21="Bell_Curve",$NN$21*(153-$NR$21+1)*($NS$21-153+1)/$NU$21,$NN$21/$NT$21)),0)</f>
        <v/>
      </c>
      <c r="FB21" s="228">
        <f>IF(AND(154&gt;=$NR$21,154&lt;=$NS$21),IF($NP$21="Single_Point",IF(154=$NR$21,$NN$21,0),IF($NP$21="Bell_Curve",$NN$21*(154-$NR$21+1)*($NS$21-154+1)/$NU$21,$NN$21/$NT$21)),0)</f>
        <v/>
      </c>
      <c r="FC21" s="228">
        <f>IF(AND(155&gt;=$NR$21,155&lt;=$NS$21),IF($NP$21="Single_Point",IF(155=$NR$21,$NN$21,0),IF($NP$21="Bell_Curve",$NN$21*(155-$NR$21+1)*($NS$21-155+1)/$NU$21,$NN$21/$NT$21)),0)</f>
        <v/>
      </c>
      <c r="FD21" s="228">
        <f>IF(AND(156&gt;=$NR$21,156&lt;=$NS$21),IF($NP$21="Single_Point",IF(156=$NR$21,$NN$21,0),IF($NP$21="Bell_Curve",$NN$21*(156-$NR$21+1)*($NS$21-156+1)/$NU$21,$NN$21/$NT$21)),0)</f>
        <v/>
      </c>
      <c r="FE21" s="228">
        <f>IF(AND(157&gt;=$NR$21,157&lt;=$NS$21),IF($NP$21="Single_Point",IF(157=$NR$21,$NN$21,0),IF($NP$21="Bell_Curve",$NN$21*(157-$NR$21+1)*($NS$21-157+1)/$NU$21,$NN$21/$NT$21)),0)</f>
        <v/>
      </c>
      <c r="FF21" s="228">
        <f>IF(AND(158&gt;=$NR$21,158&lt;=$NS$21),IF($NP$21="Single_Point",IF(158=$NR$21,$NN$21,0),IF($NP$21="Bell_Curve",$NN$21*(158-$NR$21+1)*($NS$21-158+1)/$NU$21,$NN$21/$NT$21)),0)</f>
        <v/>
      </c>
      <c r="FG21" s="228">
        <f>IF(AND(159&gt;=$NR$21,159&lt;=$NS$21),IF($NP$21="Single_Point",IF(159=$NR$21,$NN$21,0),IF($NP$21="Bell_Curve",$NN$21*(159-$NR$21+1)*($NS$21-159+1)/$NU$21,$NN$21/$NT$21)),0)</f>
        <v/>
      </c>
      <c r="FH21" s="228">
        <f>IF(AND(160&gt;=$NR$21,160&lt;=$NS$21),IF($NP$21="Single_Point",IF(160=$NR$21,$NN$21,0),IF($NP$21="Bell_Curve",$NN$21*(160-$NR$21+1)*($NS$21-160+1)/$NU$21,$NN$21/$NT$21)),0)</f>
        <v/>
      </c>
      <c r="FI21" s="228">
        <f>IF(AND(161&gt;=$NR$21,161&lt;=$NS$21),IF($NP$21="Single_Point",IF(161=$NR$21,$NN$21,0),IF($NP$21="Bell_Curve",$NN$21*(161-$NR$21+1)*($NS$21-161+1)/$NU$21,$NN$21/$NT$21)),0)</f>
        <v/>
      </c>
      <c r="FJ21" s="228">
        <f>IF(AND(162&gt;=$NR$21,162&lt;=$NS$21),IF($NP$21="Single_Point",IF(162=$NR$21,$NN$21,0),IF($NP$21="Bell_Curve",$NN$21*(162-$NR$21+1)*($NS$21-162+1)/$NU$21,$NN$21/$NT$21)),0)</f>
        <v/>
      </c>
      <c r="FK21" s="228">
        <f>IF(AND(163&gt;=$NR$21,163&lt;=$NS$21),IF($NP$21="Single_Point",IF(163=$NR$21,$NN$21,0),IF($NP$21="Bell_Curve",$NN$21*(163-$NR$21+1)*($NS$21-163+1)/$NU$21,$NN$21/$NT$21)),0)</f>
        <v/>
      </c>
      <c r="FL21" s="228">
        <f>IF(AND(164&gt;=$NR$21,164&lt;=$NS$21),IF($NP$21="Single_Point",IF(164=$NR$21,$NN$21,0),IF($NP$21="Bell_Curve",$NN$21*(164-$NR$21+1)*($NS$21-164+1)/$NU$21,$NN$21/$NT$21)),0)</f>
        <v/>
      </c>
      <c r="FM21" s="228">
        <f>IF(AND(165&gt;=$NR$21,165&lt;=$NS$21),IF($NP$21="Single_Point",IF(165=$NR$21,$NN$21,0),IF($NP$21="Bell_Curve",$NN$21*(165-$NR$21+1)*($NS$21-165+1)/$NU$21,$NN$21/$NT$21)),0)</f>
        <v/>
      </c>
      <c r="FN21" s="228">
        <f>IF(AND(166&gt;=$NR$21,166&lt;=$NS$21),IF($NP$21="Single_Point",IF(166=$NR$21,$NN$21,0),IF($NP$21="Bell_Curve",$NN$21*(166-$NR$21+1)*($NS$21-166+1)/$NU$21,$NN$21/$NT$21)),0)</f>
        <v/>
      </c>
      <c r="FO21" s="228">
        <f>IF(AND(167&gt;=$NR$21,167&lt;=$NS$21),IF($NP$21="Single_Point",IF(167=$NR$21,$NN$21,0),IF($NP$21="Bell_Curve",$NN$21*(167-$NR$21+1)*($NS$21-167+1)/$NU$21,$NN$21/$NT$21)),0)</f>
        <v/>
      </c>
      <c r="FP21" s="228">
        <f>IF(AND(168&gt;=$NR$21,168&lt;=$NS$21),IF($NP$21="Single_Point",IF(168=$NR$21,$NN$21,0),IF($NP$21="Bell_Curve",$NN$21*(168-$NR$21+1)*($NS$21-168+1)/$NU$21,$NN$21/$NT$21)),0)</f>
        <v/>
      </c>
      <c r="FQ21" s="228">
        <f>IF(AND(169&gt;=$NR$21,169&lt;=$NS$21),IF($NP$21="Single_Point",IF(169=$NR$21,$NN$21,0),IF($NP$21="Bell_Curve",$NN$21*(169-$NR$21+1)*($NS$21-169+1)/$NU$21,$NN$21/$NT$21)),0)</f>
        <v/>
      </c>
      <c r="FR21" s="228">
        <f>IF(AND(170&gt;=$NR$21,170&lt;=$NS$21),IF($NP$21="Single_Point",IF(170=$NR$21,$NN$21,0),IF($NP$21="Bell_Curve",$NN$21*(170-$NR$21+1)*($NS$21-170+1)/$NU$21,$NN$21/$NT$21)),0)</f>
        <v/>
      </c>
      <c r="FS21" s="228">
        <f>IF(AND(171&gt;=$NR$21,171&lt;=$NS$21),IF($NP$21="Single_Point",IF(171=$NR$21,$NN$21,0),IF($NP$21="Bell_Curve",$NN$21*(171-$NR$21+1)*($NS$21-171+1)/$NU$21,$NN$21/$NT$21)),0)</f>
        <v/>
      </c>
      <c r="FT21" s="228">
        <f>IF(AND(172&gt;=$NR$21,172&lt;=$NS$21),IF($NP$21="Single_Point",IF(172=$NR$21,$NN$21,0),IF($NP$21="Bell_Curve",$NN$21*(172-$NR$21+1)*($NS$21-172+1)/$NU$21,$NN$21/$NT$21)),0)</f>
        <v/>
      </c>
      <c r="FU21" s="228">
        <f>IF(AND(173&gt;=$NR$21,173&lt;=$NS$21),IF($NP$21="Single_Point",IF(173=$NR$21,$NN$21,0),IF($NP$21="Bell_Curve",$NN$21*(173-$NR$21+1)*($NS$21-173+1)/$NU$21,$NN$21/$NT$21)),0)</f>
        <v/>
      </c>
      <c r="FV21" s="228">
        <f>IF(AND(174&gt;=$NR$21,174&lt;=$NS$21),IF($NP$21="Single_Point",IF(174=$NR$21,$NN$21,0),IF($NP$21="Bell_Curve",$NN$21*(174-$NR$21+1)*($NS$21-174+1)/$NU$21,$NN$21/$NT$21)),0)</f>
        <v/>
      </c>
      <c r="FW21" s="228">
        <f>IF(AND(175&gt;=$NR$21,175&lt;=$NS$21),IF($NP$21="Single_Point",IF(175=$NR$21,$NN$21,0),IF($NP$21="Bell_Curve",$NN$21*(175-$NR$21+1)*($NS$21-175+1)/$NU$21,$NN$21/$NT$21)),0)</f>
        <v/>
      </c>
      <c r="FX21" s="228">
        <f>IF(AND(176&gt;=$NR$21,176&lt;=$NS$21),IF($NP$21="Single_Point",IF(176=$NR$21,$NN$21,0),IF($NP$21="Bell_Curve",$NN$21*(176-$NR$21+1)*($NS$21-176+1)/$NU$21,$NN$21/$NT$21)),0)</f>
        <v/>
      </c>
      <c r="FY21" s="228">
        <f>IF(AND(177&gt;=$NR$21,177&lt;=$NS$21),IF($NP$21="Single_Point",IF(177=$NR$21,$NN$21,0),IF($NP$21="Bell_Curve",$NN$21*(177-$NR$21+1)*($NS$21-177+1)/$NU$21,$NN$21/$NT$21)),0)</f>
        <v/>
      </c>
      <c r="FZ21" s="228">
        <f>IF(AND(178&gt;=$NR$21,178&lt;=$NS$21),IF($NP$21="Single_Point",IF(178=$NR$21,$NN$21,0),IF($NP$21="Bell_Curve",$NN$21*(178-$NR$21+1)*($NS$21-178+1)/$NU$21,$NN$21/$NT$21)),0)</f>
        <v/>
      </c>
      <c r="GA21" s="228">
        <f>IF(AND(179&gt;=$NR$21,179&lt;=$NS$21),IF($NP$21="Single_Point",IF(179=$NR$21,$NN$21,0),IF($NP$21="Bell_Curve",$NN$21*(179-$NR$21+1)*($NS$21-179+1)/$NU$21,$NN$21/$NT$21)),0)</f>
        <v/>
      </c>
      <c r="GB21" s="228">
        <f>IF(AND(180&gt;=$NR$21,180&lt;=$NS$21),IF($NP$21="Single_Point",IF(180=$NR$21,$NN$21,0),IF($NP$21="Bell_Curve",$NN$21*(180-$NR$21+1)*($NS$21-180+1)/$NU$21,$NN$21/$NT$21)),0)</f>
        <v/>
      </c>
      <c r="GC21" s="228">
        <f>IF(AND(181&gt;=$NR$21,181&lt;=$NS$21),IF($NP$21="Single_Point",IF(181=$NR$21,$NN$21,0),IF($NP$21="Bell_Curve",$NN$21*(181-$NR$21+1)*($NS$21-181+1)/$NU$21,$NN$21/$NT$21)),0)</f>
        <v/>
      </c>
      <c r="GD21" s="228">
        <f>IF(AND(182&gt;=$NR$21,182&lt;=$NS$21),IF($NP$21="Single_Point",IF(182=$NR$21,$NN$21,0),IF($NP$21="Bell_Curve",$NN$21*(182-$NR$21+1)*($NS$21-182+1)/$NU$21,$NN$21/$NT$21)),0)</f>
        <v/>
      </c>
      <c r="GE21" s="228">
        <f>IF(AND(183&gt;=$NR$21,183&lt;=$NS$21),IF($NP$21="Single_Point",IF(183=$NR$21,$NN$21,0),IF($NP$21="Bell_Curve",$NN$21*(183-$NR$21+1)*($NS$21-183+1)/$NU$21,$NN$21/$NT$21)),0)</f>
        <v/>
      </c>
      <c r="GF21" s="228">
        <f>IF(AND(184&gt;=$NR$21,184&lt;=$NS$21),IF($NP$21="Single_Point",IF(184=$NR$21,$NN$21,0),IF($NP$21="Bell_Curve",$NN$21*(184-$NR$21+1)*($NS$21-184+1)/$NU$21,$NN$21/$NT$21)),0)</f>
        <v/>
      </c>
      <c r="GG21" s="228">
        <f>IF(AND(185&gt;=$NR$21,185&lt;=$NS$21),IF($NP$21="Single_Point",IF(185=$NR$21,$NN$21,0),IF($NP$21="Bell_Curve",$NN$21*(185-$NR$21+1)*($NS$21-185+1)/$NU$21,$NN$21/$NT$21)),0)</f>
        <v/>
      </c>
      <c r="GH21" s="228">
        <f>IF(AND(186&gt;=$NR$21,186&lt;=$NS$21),IF($NP$21="Single_Point",IF(186=$NR$21,$NN$21,0),IF($NP$21="Bell_Curve",$NN$21*(186-$NR$21+1)*($NS$21-186+1)/$NU$21,$NN$21/$NT$21)),0)</f>
        <v/>
      </c>
      <c r="GI21" s="228">
        <f>IF(AND(187&gt;=$NR$21,187&lt;=$NS$21),IF($NP$21="Single_Point",IF(187=$NR$21,$NN$21,0),IF($NP$21="Bell_Curve",$NN$21*(187-$NR$21+1)*($NS$21-187+1)/$NU$21,$NN$21/$NT$21)),0)</f>
        <v/>
      </c>
      <c r="GJ21" s="228">
        <f>IF(AND(188&gt;=$NR$21,188&lt;=$NS$21),IF($NP$21="Single_Point",IF(188=$NR$21,$NN$21,0),IF($NP$21="Bell_Curve",$NN$21*(188-$NR$21+1)*($NS$21-188+1)/$NU$21,$NN$21/$NT$21)),0)</f>
        <v/>
      </c>
      <c r="GK21" s="228">
        <f>IF(AND(189&gt;=$NR$21,189&lt;=$NS$21),IF($NP$21="Single_Point",IF(189=$NR$21,$NN$21,0),IF($NP$21="Bell_Curve",$NN$21*(189-$NR$21+1)*($NS$21-189+1)/$NU$21,$NN$21/$NT$21)),0)</f>
        <v/>
      </c>
      <c r="GL21" s="228">
        <f>IF(AND(190&gt;=$NR$21,190&lt;=$NS$21),IF($NP$21="Single_Point",IF(190=$NR$21,$NN$21,0),IF($NP$21="Bell_Curve",$NN$21*(190-$NR$21+1)*($NS$21-190+1)/$NU$21,$NN$21/$NT$21)),0)</f>
        <v/>
      </c>
      <c r="GM21" s="228">
        <f>IF(AND(191&gt;=$NR$21,191&lt;=$NS$21),IF($NP$21="Single_Point",IF(191=$NR$21,$NN$21,0),IF($NP$21="Bell_Curve",$NN$21*(191-$NR$21+1)*($NS$21-191+1)/$NU$21,$NN$21/$NT$21)),0)</f>
        <v/>
      </c>
      <c r="GN21" s="228">
        <f>IF(AND(192&gt;=$NR$21,192&lt;=$NS$21),IF($NP$21="Single_Point",IF(192=$NR$21,$NN$21,0),IF($NP$21="Bell_Curve",$NN$21*(192-$NR$21+1)*($NS$21-192+1)/$NU$21,$NN$21/$NT$21)),0)</f>
        <v/>
      </c>
      <c r="GO21" s="228">
        <f>IF(AND(193&gt;=$NR$21,193&lt;=$NS$21),IF($NP$21="Single_Point",IF(193=$NR$21,$NN$21,0),IF($NP$21="Bell_Curve",$NN$21*(193-$NR$21+1)*($NS$21-193+1)/$NU$21,$NN$21/$NT$21)),0)</f>
        <v/>
      </c>
      <c r="GP21" s="228">
        <f>IF(AND(194&gt;=$NR$21,194&lt;=$NS$21),IF($NP$21="Single_Point",IF(194=$NR$21,$NN$21,0),IF($NP$21="Bell_Curve",$NN$21*(194-$NR$21+1)*($NS$21-194+1)/$NU$21,$NN$21/$NT$21)),0)</f>
        <v/>
      </c>
      <c r="GQ21" s="228">
        <f>IF(AND(195&gt;=$NR$21,195&lt;=$NS$21),IF($NP$21="Single_Point",IF(195=$NR$21,$NN$21,0),IF($NP$21="Bell_Curve",$NN$21*(195-$NR$21+1)*($NS$21-195+1)/$NU$21,$NN$21/$NT$21)),0)</f>
        <v/>
      </c>
      <c r="GR21" s="228">
        <f>IF(AND(196&gt;=$NR$21,196&lt;=$NS$21),IF($NP$21="Single_Point",IF(196=$NR$21,$NN$21,0),IF($NP$21="Bell_Curve",$NN$21*(196-$NR$21+1)*($NS$21-196+1)/$NU$21,$NN$21/$NT$21)),0)</f>
        <v/>
      </c>
      <c r="GS21" s="228">
        <f>IF(AND(197&gt;=$NR$21,197&lt;=$NS$21),IF($NP$21="Single_Point",IF(197=$NR$21,$NN$21,0),IF($NP$21="Bell_Curve",$NN$21*(197-$NR$21+1)*($NS$21-197+1)/$NU$21,$NN$21/$NT$21)),0)</f>
        <v/>
      </c>
      <c r="GT21" s="228">
        <f>IF(AND(198&gt;=$NR$21,198&lt;=$NS$21),IF($NP$21="Single_Point",IF(198=$NR$21,$NN$21,0),IF($NP$21="Bell_Curve",$NN$21*(198-$NR$21+1)*($NS$21-198+1)/$NU$21,$NN$21/$NT$21)),0)</f>
        <v/>
      </c>
      <c r="GU21" s="228">
        <f>IF(AND(199&gt;=$NR$21,199&lt;=$NS$21),IF($NP$21="Single_Point",IF(199=$NR$21,$NN$21,0),IF($NP$21="Bell_Curve",$NN$21*(199-$NR$21+1)*($NS$21-199+1)/$NU$21,$NN$21/$NT$21)),0)</f>
        <v/>
      </c>
      <c r="GV21" s="228">
        <f>IF(AND(200&gt;=$NR$21,200&lt;=$NS$21),IF($NP$21="Single_Point",IF(200=$NR$21,$NN$21,0),IF($NP$21="Bell_Curve",$NN$21*(200-$NR$21+1)*($NS$21-200+1)/$NU$21,$NN$21/$NT$21)),0)</f>
        <v/>
      </c>
      <c r="GW21" s="228">
        <f>IF(AND(201&gt;=$NR$21,201&lt;=$NS$21),IF($NP$21="Single_Point",IF(201=$NR$21,$NN$21,0),IF($NP$21="Bell_Curve",$NN$21*(201-$NR$21+1)*($NS$21-201+1)/$NU$21,$NN$21/$NT$21)),0)</f>
        <v/>
      </c>
      <c r="GX21" s="228">
        <f>IF(AND(202&gt;=$NR$21,202&lt;=$NS$21),IF($NP$21="Single_Point",IF(202=$NR$21,$NN$21,0),IF($NP$21="Bell_Curve",$NN$21*(202-$NR$21+1)*($NS$21-202+1)/$NU$21,$NN$21/$NT$21)),0)</f>
        <v/>
      </c>
      <c r="GY21" s="228">
        <f>IF(AND(203&gt;=$NR$21,203&lt;=$NS$21),IF($NP$21="Single_Point",IF(203=$NR$21,$NN$21,0),IF($NP$21="Bell_Curve",$NN$21*(203-$NR$21+1)*($NS$21-203+1)/$NU$21,$NN$21/$NT$21)),0)</f>
        <v/>
      </c>
      <c r="GZ21" s="228">
        <f>IF(AND(204&gt;=$NR$21,204&lt;=$NS$21),IF($NP$21="Single_Point",IF(204=$NR$21,$NN$21,0),IF($NP$21="Bell_Curve",$NN$21*(204-$NR$21+1)*($NS$21-204+1)/$NU$21,$NN$21/$NT$21)),0)</f>
        <v/>
      </c>
      <c r="HA21" s="228">
        <f>IF(AND(205&gt;=$NR$21,205&lt;=$NS$21),IF($NP$21="Single_Point",IF(205=$NR$21,$NN$21,0),IF($NP$21="Bell_Curve",$NN$21*(205-$NR$21+1)*($NS$21-205+1)/$NU$21,$NN$21/$NT$21)),0)</f>
        <v/>
      </c>
      <c r="HB21" s="228">
        <f>IF(AND(206&gt;=$NR$21,206&lt;=$NS$21),IF($NP$21="Single_Point",IF(206=$NR$21,$NN$21,0),IF($NP$21="Bell_Curve",$NN$21*(206-$NR$21+1)*($NS$21-206+1)/$NU$21,$NN$21/$NT$21)),0)</f>
        <v/>
      </c>
      <c r="HC21" s="228">
        <f>IF(AND(207&gt;=$NR$21,207&lt;=$NS$21),IF($NP$21="Single_Point",IF(207=$NR$21,$NN$21,0),IF($NP$21="Bell_Curve",$NN$21*(207-$NR$21+1)*($NS$21-207+1)/$NU$21,$NN$21/$NT$21)),0)</f>
        <v/>
      </c>
      <c r="HD21" s="228">
        <f>IF(AND(208&gt;=$NR$21,208&lt;=$NS$21),IF($NP$21="Single_Point",IF(208=$NR$21,$NN$21,0),IF($NP$21="Bell_Curve",$NN$21*(208-$NR$21+1)*($NS$21-208+1)/$NU$21,$NN$21/$NT$21)),0)</f>
        <v/>
      </c>
      <c r="HE21" s="228">
        <f>IF(AND(209&gt;=$NR$21,209&lt;=$NS$21),IF($NP$21="Single_Point",IF(209=$NR$21,$NN$21,0),IF($NP$21="Bell_Curve",$NN$21*(209-$NR$21+1)*($NS$21-209+1)/$NU$21,$NN$21/$NT$21)),0)</f>
        <v/>
      </c>
      <c r="HF21" s="228">
        <f>IF(AND(210&gt;=$NR$21,210&lt;=$NS$21),IF($NP$21="Single_Point",IF(210=$NR$21,$NN$21,0),IF($NP$21="Bell_Curve",$NN$21*(210-$NR$21+1)*($NS$21-210+1)/$NU$21,$NN$21/$NT$21)),0)</f>
        <v/>
      </c>
      <c r="HG21" s="228">
        <f>IF(AND(211&gt;=$NR$21,211&lt;=$NS$21),IF($NP$21="Single_Point",IF(211=$NR$21,$NN$21,0),IF($NP$21="Bell_Curve",$NN$21*(211-$NR$21+1)*($NS$21-211+1)/$NU$21,$NN$21/$NT$21)),0)</f>
        <v/>
      </c>
      <c r="HH21" s="228">
        <f>IF(AND(212&gt;=$NR$21,212&lt;=$NS$21),IF($NP$21="Single_Point",IF(212=$NR$21,$NN$21,0),IF($NP$21="Bell_Curve",$NN$21*(212-$NR$21+1)*($NS$21-212+1)/$NU$21,$NN$21/$NT$21)),0)</f>
        <v/>
      </c>
      <c r="HI21" s="228">
        <f>IF(AND(213&gt;=$NR$21,213&lt;=$NS$21),IF($NP$21="Single_Point",IF(213=$NR$21,$NN$21,0),IF($NP$21="Bell_Curve",$NN$21*(213-$NR$21+1)*($NS$21-213+1)/$NU$21,$NN$21/$NT$21)),0)</f>
        <v/>
      </c>
      <c r="HJ21" s="228">
        <f>IF(AND(214&gt;=$NR$21,214&lt;=$NS$21),IF($NP$21="Single_Point",IF(214=$NR$21,$NN$21,0),IF($NP$21="Bell_Curve",$NN$21*(214-$NR$21+1)*($NS$21-214+1)/$NU$21,$NN$21/$NT$21)),0)</f>
        <v/>
      </c>
      <c r="HK21" s="228">
        <f>IF(AND(215&gt;=$NR$21,215&lt;=$NS$21),IF($NP$21="Single_Point",IF(215=$NR$21,$NN$21,0),IF($NP$21="Bell_Curve",$NN$21*(215-$NR$21+1)*($NS$21-215+1)/$NU$21,$NN$21/$NT$21)),0)</f>
        <v/>
      </c>
      <c r="HL21" s="228">
        <f>IF(AND(216&gt;=$NR$21,216&lt;=$NS$21),IF($NP$21="Single_Point",IF(216=$NR$21,$NN$21,0),IF($NP$21="Bell_Curve",$NN$21*(216-$NR$21+1)*($NS$21-216+1)/$NU$21,$NN$21/$NT$21)),0)</f>
        <v/>
      </c>
      <c r="HM21" s="228">
        <f>IF(AND(217&gt;=$NR$21,217&lt;=$NS$21),IF($NP$21="Single_Point",IF(217=$NR$21,$NN$21,0),IF($NP$21="Bell_Curve",$NN$21*(217-$NR$21+1)*($NS$21-217+1)/$NU$21,$NN$21/$NT$21)),0)</f>
        <v/>
      </c>
      <c r="HN21" s="228">
        <f>IF(AND(218&gt;=$NR$21,218&lt;=$NS$21),IF($NP$21="Single_Point",IF(218=$NR$21,$NN$21,0),IF($NP$21="Bell_Curve",$NN$21*(218-$NR$21+1)*($NS$21-218+1)/$NU$21,$NN$21/$NT$21)),0)</f>
        <v/>
      </c>
      <c r="HO21" s="228">
        <f>IF(AND(219&gt;=$NR$21,219&lt;=$NS$21),IF($NP$21="Single_Point",IF(219=$NR$21,$NN$21,0),IF($NP$21="Bell_Curve",$NN$21*(219-$NR$21+1)*($NS$21-219+1)/$NU$21,$NN$21/$NT$21)),0)</f>
        <v/>
      </c>
      <c r="HP21" s="228">
        <f>IF(AND(220&gt;=$NR$21,220&lt;=$NS$21),IF($NP$21="Single_Point",IF(220=$NR$21,$NN$21,0),IF($NP$21="Bell_Curve",$NN$21*(220-$NR$21+1)*($NS$21-220+1)/$NU$21,$NN$21/$NT$21)),0)</f>
        <v/>
      </c>
      <c r="HQ21" s="228">
        <f>IF(AND(221&gt;=$NR$21,221&lt;=$NS$21),IF($NP$21="Single_Point",IF(221=$NR$21,$NN$21,0),IF($NP$21="Bell_Curve",$NN$21*(221-$NR$21+1)*($NS$21-221+1)/$NU$21,$NN$21/$NT$21)),0)</f>
        <v/>
      </c>
      <c r="HR21" s="228">
        <f>IF(AND(222&gt;=$NR$21,222&lt;=$NS$21),IF($NP$21="Single_Point",IF(222=$NR$21,$NN$21,0),IF($NP$21="Bell_Curve",$NN$21*(222-$NR$21+1)*($NS$21-222+1)/$NU$21,$NN$21/$NT$21)),0)</f>
        <v/>
      </c>
      <c r="HS21" s="228">
        <f>IF(AND(223&gt;=$NR$21,223&lt;=$NS$21),IF($NP$21="Single_Point",IF(223=$NR$21,$NN$21,0),IF($NP$21="Bell_Curve",$NN$21*(223-$NR$21+1)*($NS$21-223+1)/$NU$21,$NN$21/$NT$21)),0)</f>
        <v/>
      </c>
      <c r="HT21" s="228">
        <f>IF(AND(224&gt;=$NR$21,224&lt;=$NS$21),IF($NP$21="Single_Point",IF(224=$NR$21,$NN$21,0),IF($NP$21="Bell_Curve",$NN$21*(224-$NR$21+1)*($NS$21-224+1)/$NU$21,$NN$21/$NT$21)),0)</f>
        <v/>
      </c>
      <c r="HU21" s="228">
        <f>IF(AND(225&gt;=$NR$21,225&lt;=$NS$21),IF($NP$21="Single_Point",IF(225=$NR$21,$NN$21,0),IF($NP$21="Bell_Curve",$NN$21*(225-$NR$21+1)*($NS$21-225+1)/$NU$21,$NN$21/$NT$21)),0)</f>
        <v/>
      </c>
      <c r="HV21" s="228">
        <f>IF(AND(226&gt;=$NR$21,226&lt;=$NS$21),IF($NP$21="Single_Point",IF(226=$NR$21,$NN$21,0),IF($NP$21="Bell_Curve",$NN$21*(226-$NR$21+1)*($NS$21-226+1)/$NU$21,$NN$21/$NT$21)),0)</f>
        <v/>
      </c>
      <c r="HW21" s="228">
        <f>IF(AND(227&gt;=$NR$21,227&lt;=$NS$21),IF($NP$21="Single_Point",IF(227=$NR$21,$NN$21,0),IF($NP$21="Bell_Curve",$NN$21*(227-$NR$21+1)*($NS$21-227+1)/$NU$21,$NN$21/$NT$21)),0)</f>
        <v/>
      </c>
      <c r="HX21" s="228">
        <f>IF(AND(228&gt;=$NR$21,228&lt;=$NS$21),IF($NP$21="Single_Point",IF(228=$NR$21,$NN$21,0),IF($NP$21="Bell_Curve",$NN$21*(228-$NR$21+1)*($NS$21-228+1)/$NU$21,$NN$21/$NT$21)),0)</f>
        <v/>
      </c>
      <c r="HY21" s="228">
        <f>IF(AND(229&gt;=$NR$21,229&lt;=$NS$21),IF($NP$21="Single_Point",IF(229=$NR$21,$NN$21,0),IF($NP$21="Bell_Curve",$NN$21*(229-$NR$21+1)*($NS$21-229+1)/$NU$21,$NN$21/$NT$21)),0)</f>
        <v/>
      </c>
      <c r="HZ21" s="228">
        <f>IF(AND(230&gt;=$NR$21,230&lt;=$NS$21),IF($NP$21="Single_Point",IF(230=$NR$21,$NN$21,0),IF($NP$21="Bell_Curve",$NN$21*(230-$NR$21+1)*($NS$21-230+1)/$NU$21,$NN$21/$NT$21)),0)</f>
        <v/>
      </c>
      <c r="IA21" s="228">
        <f>IF(AND(231&gt;=$NR$21,231&lt;=$NS$21),IF($NP$21="Single_Point",IF(231=$NR$21,$NN$21,0),IF($NP$21="Bell_Curve",$NN$21*(231-$NR$21+1)*($NS$21-231+1)/$NU$21,$NN$21/$NT$21)),0)</f>
        <v/>
      </c>
      <c r="IB21" s="228">
        <f>IF(AND(232&gt;=$NR$21,232&lt;=$NS$21),IF($NP$21="Single_Point",IF(232=$NR$21,$NN$21,0),IF($NP$21="Bell_Curve",$NN$21*(232-$NR$21+1)*($NS$21-232+1)/$NU$21,$NN$21/$NT$21)),0)</f>
        <v/>
      </c>
      <c r="IC21" s="228">
        <f>IF(AND(233&gt;=$NR$21,233&lt;=$NS$21),IF($NP$21="Single_Point",IF(233=$NR$21,$NN$21,0),IF($NP$21="Bell_Curve",$NN$21*(233-$NR$21+1)*($NS$21-233+1)/$NU$21,$NN$21/$NT$21)),0)</f>
        <v/>
      </c>
      <c r="ID21" s="228">
        <f>IF(AND(234&gt;=$NR$21,234&lt;=$NS$21),IF($NP$21="Single_Point",IF(234=$NR$21,$NN$21,0),IF($NP$21="Bell_Curve",$NN$21*(234-$NR$21+1)*($NS$21-234+1)/$NU$21,$NN$21/$NT$21)),0)</f>
        <v/>
      </c>
      <c r="IE21" s="228">
        <f>IF(AND(235&gt;=$NR$21,235&lt;=$NS$21),IF($NP$21="Single_Point",IF(235=$NR$21,$NN$21,0),IF($NP$21="Bell_Curve",$NN$21*(235-$NR$21+1)*($NS$21-235+1)/$NU$21,$NN$21/$NT$21)),0)</f>
        <v/>
      </c>
      <c r="IF21" s="228">
        <f>IF(AND(236&gt;=$NR$21,236&lt;=$NS$21),IF($NP$21="Single_Point",IF(236=$NR$21,$NN$21,0),IF($NP$21="Bell_Curve",$NN$21*(236-$NR$21+1)*($NS$21-236+1)/$NU$21,$NN$21/$NT$21)),0)</f>
        <v/>
      </c>
      <c r="IG21" s="228">
        <f>IF(AND(237&gt;=$NR$21,237&lt;=$NS$21),IF($NP$21="Single_Point",IF(237=$NR$21,$NN$21,0),IF($NP$21="Bell_Curve",$NN$21*(237-$NR$21+1)*($NS$21-237+1)/$NU$21,$NN$21/$NT$21)),0)</f>
        <v/>
      </c>
      <c r="IH21" s="228">
        <f>IF(AND(238&gt;=$NR$21,238&lt;=$NS$21),IF($NP$21="Single_Point",IF(238=$NR$21,$NN$21,0),IF($NP$21="Bell_Curve",$NN$21*(238-$NR$21+1)*($NS$21-238+1)/$NU$21,$NN$21/$NT$21)),0)</f>
        <v/>
      </c>
      <c r="II21" s="228">
        <f>IF(AND(239&gt;=$NR$21,239&lt;=$NS$21),IF($NP$21="Single_Point",IF(239=$NR$21,$NN$21,0),IF($NP$21="Bell_Curve",$NN$21*(239-$NR$21+1)*($NS$21-239+1)/$NU$21,$NN$21/$NT$21)),0)</f>
        <v/>
      </c>
      <c r="IJ21" s="228">
        <f>IF(AND(240&gt;=$NR$21,240&lt;=$NS$21),IF($NP$21="Single_Point",IF(240=$NR$21,$NN$21,0),IF($NP$21="Bell_Curve",$NN$21*(240-$NR$21+1)*($NS$21-240+1)/$NU$21,$NN$21/$NT$21)),0)</f>
        <v/>
      </c>
      <c r="IK21" s="228">
        <f>IF(AND(241&gt;=$NR$21,241&lt;=$NS$21),IF($NP$21="Single_Point",IF(241=$NR$21,$NN$21,0),IF($NP$21="Bell_Curve",$NN$21*(241-$NR$21+1)*($NS$21-241+1)/$NU$21,$NN$21/$NT$21)),0)</f>
        <v/>
      </c>
      <c r="IL21" s="228">
        <f>IF(AND(242&gt;=$NR$21,242&lt;=$NS$21),IF($NP$21="Single_Point",IF(242=$NR$21,$NN$21,0),IF($NP$21="Bell_Curve",$NN$21*(242-$NR$21+1)*($NS$21-242+1)/$NU$21,$NN$21/$NT$21)),0)</f>
        <v/>
      </c>
      <c r="IM21" s="228">
        <f>IF(AND(243&gt;=$NR$21,243&lt;=$NS$21),IF($NP$21="Single_Point",IF(243=$NR$21,$NN$21,0),IF($NP$21="Bell_Curve",$NN$21*(243-$NR$21+1)*($NS$21-243+1)/$NU$21,$NN$21/$NT$21)),0)</f>
        <v/>
      </c>
      <c r="IN21" s="228">
        <f>IF(AND(244&gt;=$NR$21,244&lt;=$NS$21),IF($NP$21="Single_Point",IF(244=$NR$21,$NN$21,0),IF($NP$21="Bell_Curve",$NN$21*(244-$NR$21+1)*($NS$21-244+1)/$NU$21,$NN$21/$NT$21)),0)</f>
        <v/>
      </c>
      <c r="IO21" s="228">
        <f>IF(AND(245&gt;=$NR$21,245&lt;=$NS$21),IF($NP$21="Single_Point",IF(245=$NR$21,$NN$21,0),IF($NP$21="Bell_Curve",$NN$21*(245-$NR$21+1)*($NS$21-245+1)/$NU$21,$NN$21/$NT$21)),0)</f>
        <v/>
      </c>
      <c r="IP21" s="228">
        <f>IF(AND(246&gt;=$NR$21,246&lt;=$NS$21),IF($NP$21="Single_Point",IF(246=$NR$21,$NN$21,0),IF($NP$21="Bell_Curve",$NN$21*(246-$NR$21+1)*($NS$21-246+1)/$NU$21,$NN$21/$NT$21)),0)</f>
        <v/>
      </c>
      <c r="IQ21" s="228">
        <f>IF(AND(247&gt;=$NR$21,247&lt;=$NS$21),IF($NP$21="Single_Point",IF(247=$NR$21,$NN$21,0),IF($NP$21="Bell_Curve",$NN$21*(247-$NR$21+1)*($NS$21-247+1)/$NU$21,$NN$21/$NT$21)),0)</f>
        <v/>
      </c>
      <c r="IR21" s="228">
        <f>IF(AND(248&gt;=$NR$21,248&lt;=$NS$21),IF($NP$21="Single_Point",IF(248=$NR$21,$NN$21,0),IF($NP$21="Bell_Curve",$NN$21*(248-$NR$21+1)*($NS$21-248+1)/$NU$21,$NN$21/$NT$21)),0)</f>
        <v/>
      </c>
      <c r="IS21" s="228">
        <f>IF(AND(249&gt;=$NR$21,249&lt;=$NS$21),IF($NP$21="Single_Point",IF(249=$NR$21,$NN$21,0),IF($NP$21="Bell_Curve",$NN$21*(249-$NR$21+1)*($NS$21-249+1)/$NU$21,$NN$21/$NT$21)),0)</f>
        <v/>
      </c>
      <c r="IT21" s="228">
        <f>IF(AND(250&gt;=$NR$21,250&lt;=$NS$21),IF($NP$21="Single_Point",IF(250=$NR$21,$NN$21,0),IF($NP$21="Bell_Curve",$NN$21*(250-$NR$21+1)*($NS$21-250+1)/$NU$21,$NN$21/$NT$21)),0)</f>
        <v/>
      </c>
      <c r="IU21" s="228">
        <f>IF(AND(251&gt;=$NR$21,251&lt;=$NS$21),IF($NP$21="Single_Point",IF(251=$NR$21,$NN$21,0),IF($NP$21="Bell_Curve",$NN$21*(251-$NR$21+1)*($NS$21-251+1)/$NU$21,$NN$21/$NT$21)),0)</f>
        <v/>
      </c>
      <c r="IV21" s="228">
        <f>IF(AND(252&gt;=$NR$21,252&lt;=$NS$21),IF($NP$21="Single_Point",IF(252=$NR$21,$NN$21,0),IF($NP$21="Bell_Curve",$NN$21*(252-$NR$21+1)*($NS$21-252+1)/$NU$21,$NN$21/$NT$21)),0)</f>
        <v/>
      </c>
      <c r="IW21" s="228">
        <f>IF(AND(253&gt;=$NR$21,253&lt;=$NS$21),IF($NP$21="Single_Point",IF(253=$NR$21,$NN$21,0),IF($NP$21="Bell_Curve",$NN$21*(253-$NR$21+1)*($NS$21-253+1)/$NU$21,$NN$21/$NT$21)),0)</f>
        <v/>
      </c>
      <c r="IX21" s="228">
        <f>IF(AND(254&gt;=$NR$21,254&lt;=$NS$21),IF($NP$21="Single_Point",IF(254=$NR$21,$NN$21,0),IF($NP$21="Bell_Curve",$NN$21*(254-$NR$21+1)*($NS$21-254+1)/$NU$21,$NN$21/$NT$21)),0)</f>
        <v/>
      </c>
      <c r="IY21" s="228">
        <f>IF(AND(255&gt;=$NR$21,255&lt;=$NS$21),IF($NP$21="Single_Point",IF(255=$NR$21,$NN$21,0),IF($NP$21="Bell_Curve",$NN$21*(255-$NR$21+1)*($NS$21-255+1)/$NU$21,$NN$21/$NT$21)),0)</f>
        <v/>
      </c>
      <c r="IZ21" s="228">
        <f>IF(AND(256&gt;=$NR$21,256&lt;=$NS$21),IF($NP$21="Single_Point",IF(256=$NR$21,$NN$21,0),IF($NP$21="Bell_Curve",$NN$21*(256-$NR$21+1)*($NS$21-256+1)/$NU$21,$NN$21/$NT$21)),0)</f>
        <v/>
      </c>
      <c r="JA21" s="228">
        <f>IF(AND(257&gt;=$NR$21,257&lt;=$NS$21),IF($NP$21="Single_Point",IF(257=$NR$21,$NN$21,0),IF($NP$21="Bell_Curve",$NN$21*(257-$NR$21+1)*($NS$21-257+1)/$NU$21,$NN$21/$NT$21)),0)</f>
        <v/>
      </c>
      <c r="JB21" s="228">
        <f>IF(AND(258&gt;=$NR$21,258&lt;=$NS$21),IF($NP$21="Single_Point",IF(258=$NR$21,$NN$21,0),IF($NP$21="Bell_Curve",$NN$21*(258-$NR$21+1)*($NS$21-258+1)/$NU$21,$NN$21/$NT$21)),0)</f>
        <v/>
      </c>
      <c r="JC21" s="228">
        <f>IF(AND(259&gt;=$NR$21,259&lt;=$NS$21),IF($NP$21="Single_Point",IF(259=$NR$21,$NN$21,0),IF($NP$21="Bell_Curve",$NN$21*(259-$NR$21+1)*($NS$21-259+1)/$NU$21,$NN$21/$NT$21)),0)</f>
        <v/>
      </c>
      <c r="JD21" s="228">
        <f>IF(AND(260&gt;=$NR$21,260&lt;=$NS$21),IF($NP$21="Single_Point",IF(260=$NR$21,$NN$21,0),IF($NP$21="Bell_Curve",$NN$21*(260-$NR$21+1)*($NS$21-260+1)/$NU$21,$NN$21/$NT$21)),0)</f>
        <v/>
      </c>
      <c r="JE21" s="228">
        <f>IF(AND(261&gt;=$NR$21,261&lt;=$NS$21),IF($NP$21="Single_Point",IF(261=$NR$21,$NN$21,0),IF($NP$21="Bell_Curve",$NN$21*(261-$NR$21+1)*($NS$21-261+1)/$NU$21,$NN$21/$NT$21)),0)</f>
        <v/>
      </c>
      <c r="JF21" s="228">
        <f>IF(AND(262&gt;=$NR$21,262&lt;=$NS$21),IF($NP$21="Single_Point",IF(262=$NR$21,$NN$21,0),IF($NP$21="Bell_Curve",$NN$21*(262-$NR$21+1)*($NS$21-262+1)/$NU$21,$NN$21/$NT$21)),0)</f>
        <v/>
      </c>
      <c r="JG21" s="228">
        <f>IF(AND(263&gt;=$NR$21,263&lt;=$NS$21),IF($NP$21="Single_Point",IF(263=$NR$21,$NN$21,0),IF($NP$21="Bell_Curve",$NN$21*(263-$NR$21+1)*($NS$21-263+1)/$NU$21,$NN$21/$NT$21)),0)</f>
        <v/>
      </c>
      <c r="JH21" s="228">
        <f>IF(AND(264&gt;=$NR$21,264&lt;=$NS$21),IF($NP$21="Single_Point",IF(264=$NR$21,$NN$21,0),IF($NP$21="Bell_Curve",$NN$21*(264-$NR$21+1)*($NS$21-264+1)/$NU$21,$NN$21/$NT$21)),0)</f>
        <v/>
      </c>
      <c r="JI21" s="228">
        <f>IF(AND(265&gt;=$NR$21,265&lt;=$NS$21),IF($NP$21="Single_Point",IF(265=$NR$21,$NN$21,0),IF($NP$21="Bell_Curve",$NN$21*(265-$NR$21+1)*($NS$21-265+1)/$NU$21,$NN$21/$NT$21)),0)</f>
        <v/>
      </c>
      <c r="JJ21" s="228">
        <f>IF(AND(266&gt;=$NR$21,266&lt;=$NS$21),IF($NP$21="Single_Point",IF(266=$NR$21,$NN$21,0),IF($NP$21="Bell_Curve",$NN$21*(266-$NR$21+1)*($NS$21-266+1)/$NU$21,$NN$21/$NT$21)),0)</f>
        <v/>
      </c>
      <c r="JK21" s="228">
        <f>IF(AND(267&gt;=$NR$21,267&lt;=$NS$21),IF($NP$21="Single_Point",IF(267=$NR$21,$NN$21,0),IF($NP$21="Bell_Curve",$NN$21*(267-$NR$21+1)*($NS$21-267+1)/$NU$21,$NN$21/$NT$21)),0)</f>
        <v/>
      </c>
      <c r="JL21" s="228">
        <f>IF(AND(268&gt;=$NR$21,268&lt;=$NS$21),IF($NP$21="Single_Point",IF(268=$NR$21,$NN$21,0),IF($NP$21="Bell_Curve",$NN$21*(268-$NR$21+1)*($NS$21-268+1)/$NU$21,$NN$21/$NT$21)),0)</f>
        <v/>
      </c>
      <c r="JM21" s="228">
        <f>IF(AND(269&gt;=$NR$21,269&lt;=$NS$21),IF($NP$21="Single_Point",IF(269=$NR$21,$NN$21,0),IF($NP$21="Bell_Curve",$NN$21*(269-$NR$21+1)*($NS$21-269+1)/$NU$21,$NN$21/$NT$21)),0)</f>
        <v/>
      </c>
      <c r="JN21" s="228">
        <f>IF(AND(270&gt;=$NR$21,270&lt;=$NS$21),IF($NP$21="Single_Point",IF(270=$NR$21,$NN$21,0),IF($NP$21="Bell_Curve",$NN$21*(270-$NR$21+1)*($NS$21-270+1)/$NU$21,$NN$21/$NT$21)),0)</f>
        <v/>
      </c>
      <c r="JO21" s="228">
        <f>IF(AND(271&gt;=$NR$21,271&lt;=$NS$21),IF($NP$21="Single_Point",IF(271=$NR$21,$NN$21,0),IF($NP$21="Bell_Curve",$NN$21*(271-$NR$21+1)*($NS$21-271+1)/$NU$21,$NN$21/$NT$21)),0)</f>
        <v/>
      </c>
      <c r="JP21" s="228">
        <f>IF(AND(272&gt;=$NR$21,272&lt;=$NS$21),IF($NP$21="Single_Point",IF(272=$NR$21,$NN$21,0),IF($NP$21="Bell_Curve",$NN$21*(272-$NR$21+1)*($NS$21-272+1)/$NU$21,$NN$21/$NT$21)),0)</f>
        <v/>
      </c>
      <c r="JQ21" s="228">
        <f>IF(AND(273&gt;=$NR$21,273&lt;=$NS$21),IF($NP$21="Single_Point",IF(273=$NR$21,$NN$21,0),IF($NP$21="Bell_Curve",$NN$21*(273-$NR$21+1)*($NS$21-273+1)/$NU$21,$NN$21/$NT$21)),0)</f>
        <v/>
      </c>
      <c r="JR21" s="228">
        <f>IF(AND(274&gt;=$NR$21,274&lt;=$NS$21),IF($NP$21="Single_Point",IF(274=$NR$21,$NN$21,0),IF($NP$21="Bell_Curve",$NN$21*(274-$NR$21+1)*($NS$21-274+1)/$NU$21,$NN$21/$NT$21)),0)</f>
        <v/>
      </c>
      <c r="JS21" s="228">
        <f>IF(AND(275&gt;=$NR$21,275&lt;=$NS$21),IF($NP$21="Single_Point",IF(275=$NR$21,$NN$21,0),IF($NP$21="Bell_Curve",$NN$21*(275-$NR$21+1)*($NS$21-275+1)/$NU$21,$NN$21/$NT$21)),0)</f>
        <v/>
      </c>
      <c r="JT21" s="228">
        <f>IF(AND(276&gt;=$NR$21,276&lt;=$NS$21),IF($NP$21="Single_Point",IF(276=$NR$21,$NN$21,0),IF($NP$21="Bell_Curve",$NN$21*(276-$NR$21+1)*($NS$21-276+1)/$NU$21,$NN$21/$NT$21)),0)</f>
        <v/>
      </c>
      <c r="JU21" s="228">
        <f>IF(AND(277&gt;=$NR$21,277&lt;=$NS$21),IF($NP$21="Single_Point",IF(277=$NR$21,$NN$21,0),IF($NP$21="Bell_Curve",$NN$21*(277-$NR$21+1)*($NS$21-277+1)/$NU$21,$NN$21/$NT$21)),0)</f>
        <v/>
      </c>
      <c r="JV21" s="228">
        <f>IF(AND(278&gt;=$NR$21,278&lt;=$NS$21),IF($NP$21="Single_Point",IF(278=$NR$21,$NN$21,0),IF($NP$21="Bell_Curve",$NN$21*(278-$NR$21+1)*($NS$21-278+1)/$NU$21,$NN$21/$NT$21)),0)</f>
        <v/>
      </c>
      <c r="JW21" s="228">
        <f>IF(AND(279&gt;=$NR$21,279&lt;=$NS$21),IF($NP$21="Single_Point",IF(279=$NR$21,$NN$21,0),IF($NP$21="Bell_Curve",$NN$21*(279-$NR$21+1)*($NS$21-279+1)/$NU$21,$NN$21/$NT$21)),0)</f>
        <v/>
      </c>
      <c r="JX21" s="228">
        <f>IF(AND(280&gt;=$NR$21,280&lt;=$NS$21),IF($NP$21="Single_Point",IF(280=$NR$21,$NN$21,0),IF($NP$21="Bell_Curve",$NN$21*(280-$NR$21+1)*($NS$21-280+1)/$NU$21,$NN$21/$NT$21)),0)</f>
        <v/>
      </c>
      <c r="JY21" s="228">
        <f>IF(AND(281&gt;=$NR$21,281&lt;=$NS$21),IF($NP$21="Single_Point",IF(281=$NR$21,$NN$21,0),IF($NP$21="Bell_Curve",$NN$21*(281-$NR$21+1)*($NS$21-281+1)/$NU$21,$NN$21/$NT$21)),0)</f>
        <v/>
      </c>
      <c r="JZ21" s="228">
        <f>IF(AND(282&gt;=$NR$21,282&lt;=$NS$21),IF($NP$21="Single_Point",IF(282=$NR$21,$NN$21,0),IF($NP$21="Bell_Curve",$NN$21*(282-$NR$21+1)*($NS$21-282+1)/$NU$21,$NN$21/$NT$21)),0)</f>
        <v/>
      </c>
      <c r="KA21" s="228">
        <f>IF(AND(283&gt;=$NR$21,283&lt;=$NS$21),IF($NP$21="Single_Point",IF(283=$NR$21,$NN$21,0),IF($NP$21="Bell_Curve",$NN$21*(283-$NR$21+1)*($NS$21-283+1)/$NU$21,$NN$21/$NT$21)),0)</f>
        <v/>
      </c>
      <c r="KB21" s="228">
        <f>IF(AND(284&gt;=$NR$21,284&lt;=$NS$21),IF($NP$21="Single_Point",IF(284=$NR$21,$NN$21,0),IF($NP$21="Bell_Curve",$NN$21*(284-$NR$21+1)*($NS$21-284+1)/$NU$21,$NN$21/$NT$21)),0)</f>
        <v/>
      </c>
      <c r="KC21" s="228">
        <f>IF(AND(285&gt;=$NR$21,285&lt;=$NS$21),IF($NP$21="Single_Point",IF(285=$NR$21,$NN$21,0),IF($NP$21="Bell_Curve",$NN$21*(285-$NR$21+1)*($NS$21-285+1)/$NU$21,$NN$21/$NT$21)),0)</f>
        <v/>
      </c>
      <c r="KD21" s="228">
        <f>IF(AND(286&gt;=$NR$21,286&lt;=$NS$21),IF($NP$21="Single_Point",IF(286=$NR$21,$NN$21,0),IF($NP$21="Bell_Curve",$NN$21*(286-$NR$21+1)*($NS$21-286+1)/$NU$21,$NN$21/$NT$21)),0)</f>
        <v/>
      </c>
      <c r="KE21" s="228">
        <f>IF(AND(287&gt;=$NR$21,287&lt;=$NS$21),IF($NP$21="Single_Point",IF(287=$NR$21,$NN$21,0),IF($NP$21="Bell_Curve",$NN$21*(287-$NR$21+1)*($NS$21-287+1)/$NU$21,$NN$21/$NT$21)),0)</f>
        <v/>
      </c>
      <c r="KF21" s="228">
        <f>IF(AND(288&gt;=$NR$21,288&lt;=$NS$21),IF($NP$21="Single_Point",IF(288=$NR$21,$NN$21,0),IF($NP$21="Bell_Curve",$NN$21*(288-$NR$21+1)*($NS$21-288+1)/$NU$21,$NN$21/$NT$21)),0)</f>
        <v/>
      </c>
      <c r="KG21" s="228">
        <f>IF(AND(289&gt;=$NR$21,289&lt;=$NS$21),IF($NP$21="Single_Point",IF(289=$NR$21,$NN$21,0),IF($NP$21="Bell_Curve",$NN$21*(289-$NR$21+1)*($NS$21-289+1)/$NU$21,$NN$21/$NT$21)),0)</f>
        <v/>
      </c>
      <c r="KH21" s="228">
        <f>IF(AND(290&gt;=$NR$21,290&lt;=$NS$21),IF($NP$21="Single_Point",IF(290=$NR$21,$NN$21,0),IF($NP$21="Bell_Curve",$NN$21*(290-$NR$21+1)*($NS$21-290+1)/$NU$21,$NN$21/$NT$21)),0)</f>
        <v/>
      </c>
      <c r="KI21" s="228">
        <f>IF(AND(291&gt;=$NR$21,291&lt;=$NS$21),IF($NP$21="Single_Point",IF(291=$NR$21,$NN$21,0),IF($NP$21="Bell_Curve",$NN$21*(291-$NR$21+1)*($NS$21-291+1)/$NU$21,$NN$21/$NT$21)),0)</f>
        <v/>
      </c>
      <c r="KJ21" s="228">
        <f>IF(AND(292&gt;=$NR$21,292&lt;=$NS$21),IF($NP$21="Single_Point",IF(292=$NR$21,$NN$21,0),IF($NP$21="Bell_Curve",$NN$21*(292-$NR$21+1)*($NS$21-292+1)/$NU$21,$NN$21/$NT$21)),0)</f>
        <v/>
      </c>
      <c r="KK21" s="228">
        <f>IF(AND(293&gt;=$NR$21,293&lt;=$NS$21),IF($NP$21="Single_Point",IF(293=$NR$21,$NN$21,0),IF($NP$21="Bell_Curve",$NN$21*(293-$NR$21+1)*($NS$21-293+1)/$NU$21,$NN$21/$NT$21)),0)</f>
        <v/>
      </c>
      <c r="KL21" s="228">
        <f>IF(AND(294&gt;=$NR$21,294&lt;=$NS$21),IF($NP$21="Single_Point",IF(294=$NR$21,$NN$21,0),IF($NP$21="Bell_Curve",$NN$21*(294-$NR$21+1)*($NS$21-294+1)/$NU$21,$NN$21/$NT$21)),0)</f>
        <v/>
      </c>
      <c r="KM21" s="228">
        <f>IF(AND(295&gt;=$NR$21,295&lt;=$NS$21),IF($NP$21="Single_Point",IF(295=$NR$21,$NN$21,0),IF($NP$21="Bell_Curve",$NN$21*(295-$NR$21+1)*($NS$21-295+1)/$NU$21,$NN$21/$NT$21)),0)</f>
        <v/>
      </c>
      <c r="KN21" s="228">
        <f>IF(AND(296&gt;=$NR$21,296&lt;=$NS$21),IF($NP$21="Single_Point",IF(296=$NR$21,$NN$21,0),IF($NP$21="Bell_Curve",$NN$21*(296-$NR$21+1)*($NS$21-296+1)/$NU$21,$NN$21/$NT$21)),0)</f>
        <v/>
      </c>
      <c r="KO21" s="228">
        <f>IF(AND(297&gt;=$NR$21,297&lt;=$NS$21),IF($NP$21="Single_Point",IF(297=$NR$21,$NN$21,0),IF($NP$21="Bell_Curve",$NN$21*(297-$NR$21+1)*($NS$21-297+1)/$NU$21,$NN$21/$NT$21)),0)</f>
        <v/>
      </c>
      <c r="KP21" s="228">
        <f>IF(AND(298&gt;=$NR$21,298&lt;=$NS$21),IF($NP$21="Single_Point",IF(298=$NR$21,$NN$21,0),IF($NP$21="Bell_Curve",$NN$21*(298-$NR$21+1)*($NS$21-298+1)/$NU$21,$NN$21/$NT$21)),0)</f>
        <v/>
      </c>
      <c r="KQ21" s="228">
        <f>IF(AND(299&gt;=$NR$21,299&lt;=$NS$21),IF($NP$21="Single_Point",IF(299=$NR$21,$NN$21,0),IF($NP$21="Bell_Curve",$NN$21*(299-$NR$21+1)*($NS$21-299+1)/$NU$21,$NN$21/$NT$21)),0)</f>
        <v/>
      </c>
      <c r="KR21" s="228">
        <f>IF(AND(300&gt;=$NR$21,300&lt;=$NS$21),IF($NP$21="Single_Point",IF(300=$NR$21,$NN$21,0),IF($NP$21="Bell_Curve",$NN$21*(300-$NR$21+1)*($NS$21-300+1)/$NU$21,$NN$21/$NT$21)),0)</f>
        <v/>
      </c>
      <c r="KS21" s="228">
        <f>IF(AND(301&gt;=$NR$21,301&lt;=$NS$21),IF($NP$21="Single_Point",IF(301=$NR$21,$NN$21,0),IF($NP$21="Bell_Curve",$NN$21*(301-$NR$21+1)*($NS$21-301+1)/$NU$21,$NN$21/$NT$21)),0)</f>
        <v/>
      </c>
      <c r="KT21" s="228">
        <f>IF(AND(302&gt;=$NR$21,302&lt;=$NS$21),IF($NP$21="Single_Point",IF(302=$NR$21,$NN$21,0),IF($NP$21="Bell_Curve",$NN$21*(302-$NR$21+1)*($NS$21-302+1)/$NU$21,$NN$21/$NT$21)),0)</f>
        <v/>
      </c>
      <c r="KU21" s="228">
        <f>IF(AND(303&gt;=$NR$21,303&lt;=$NS$21),IF($NP$21="Single_Point",IF(303=$NR$21,$NN$21,0),IF($NP$21="Bell_Curve",$NN$21*(303-$NR$21+1)*($NS$21-303+1)/$NU$21,$NN$21/$NT$21)),0)</f>
        <v/>
      </c>
      <c r="KV21" s="228">
        <f>IF(AND(304&gt;=$NR$21,304&lt;=$NS$21),IF($NP$21="Single_Point",IF(304=$NR$21,$NN$21,0),IF($NP$21="Bell_Curve",$NN$21*(304-$NR$21+1)*($NS$21-304+1)/$NU$21,$NN$21/$NT$21)),0)</f>
        <v/>
      </c>
      <c r="KW21" s="228">
        <f>IF(AND(305&gt;=$NR$21,305&lt;=$NS$21),IF($NP$21="Single_Point",IF(305=$NR$21,$NN$21,0),IF($NP$21="Bell_Curve",$NN$21*(305-$NR$21+1)*($NS$21-305+1)/$NU$21,$NN$21/$NT$21)),0)</f>
        <v/>
      </c>
      <c r="KX21" s="228">
        <f>IF(AND(306&gt;=$NR$21,306&lt;=$NS$21),IF($NP$21="Single_Point",IF(306=$NR$21,$NN$21,0),IF($NP$21="Bell_Curve",$NN$21*(306-$NR$21+1)*($NS$21-306+1)/$NU$21,$NN$21/$NT$21)),0)</f>
        <v/>
      </c>
      <c r="KY21" s="228">
        <f>IF(AND(307&gt;=$NR$21,307&lt;=$NS$21),IF($NP$21="Single_Point",IF(307=$NR$21,$NN$21,0),IF($NP$21="Bell_Curve",$NN$21*(307-$NR$21+1)*($NS$21-307+1)/$NU$21,$NN$21/$NT$21)),0)</f>
        <v/>
      </c>
      <c r="KZ21" s="228">
        <f>IF(AND(308&gt;=$NR$21,308&lt;=$NS$21),IF($NP$21="Single_Point",IF(308=$NR$21,$NN$21,0),IF($NP$21="Bell_Curve",$NN$21*(308-$NR$21+1)*($NS$21-308+1)/$NU$21,$NN$21/$NT$21)),0)</f>
        <v/>
      </c>
      <c r="LA21" s="228">
        <f>IF(AND(309&gt;=$NR$21,309&lt;=$NS$21),IF($NP$21="Single_Point",IF(309=$NR$21,$NN$21,0),IF($NP$21="Bell_Curve",$NN$21*(309-$NR$21+1)*($NS$21-309+1)/$NU$21,$NN$21/$NT$21)),0)</f>
        <v/>
      </c>
      <c r="LB21" s="228">
        <f>IF(AND(310&gt;=$NR$21,310&lt;=$NS$21),IF($NP$21="Single_Point",IF(310=$NR$21,$NN$21,0),IF($NP$21="Bell_Curve",$NN$21*(310-$NR$21+1)*($NS$21-310+1)/$NU$21,$NN$21/$NT$21)),0)</f>
        <v/>
      </c>
      <c r="LC21" s="228">
        <f>IF(AND(311&gt;=$NR$21,311&lt;=$NS$21),IF($NP$21="Single_Point",IF(311=$NR$21,$NN$21,0),IF($NP$21="Bell_Curve",$NN$21*(311-$NR$21+1)*($NS$21-311+1)/$NU$21,$NN$21/$NT$21)),0)</f>
        <v/>
      </c>
      <c r="LD21" s="228">
        <f>IF(AND(312&gt;=$NR$21,312&lt;=$NS$21),IF($NP$21="Single_Point",IF(312=$NR$21,$NN$21,0),IF($NP$21="Bell_Curve",$NN$21*(312-$NR$21+1)*($NS$21-312+1)/$NU$21,$NN$21/$NT$21)),0)</f>
        <v/>
      </c>
      <c r="LE21" s="228">
        <f>IF(AND(313&gt;=$NR$21,313&lt;=$NS$21),IF($NP$21="Single_Point",IF(313=$NR$21,$NN$21,0),IF($NP$21="Bell_Curve",$NN$21*(313-$NR$21+1)*($NS$21-313+1)/$NU$21,$NN$21/$NT$21)),0)</f>
        <v/>
      </c>
      <c r="LF21" s="228">
        <f>IF(AND(314&gt;=$NR$21,314&lt;=$NS$21),IF($NP$21="Single_Point",IF(314=$NR$21,$NN$21,0),IF($NP$21="Bell_Curve",$NN$21*(314-$NR$21+1)*($NS$21-314+1)/$NU$21,$NN$21/$NT$21)),0)</f>
        <v/>
      </c>
      <c r="LG21" s="228">
        <f>IF(AND(315&gt;=$NR$21,315&lt;=$NS$21),IF($NP$21="Single_Point",IF(315=$NR$21,$NN$21,0),IF($NP$21="Bell_Curve",$NN$21*(315-$NR$21+1)*($NS$21-315+1)/$NU$21,$NN$21/$NT$21)),0)</f>
        <v/>
      </c>
      <c r="LH21" s="228">
        <f>IF(AND(316&gt;=$NR$21,316&lt;=$NS$21),IF($NP$21="Single_Point",IF(316=$NR$21,$NN$21,0),IF($NP$21="Bell_Curve",$NN$21*(316-$NR$21+1)*($NS$21-316+1)/$NU$21,$NN$21/$NT$21)),0)</f>
        <v/>
      </c>
      <c r="LI21" s="228">
        <f>IF(AND(317&gt;=$NR$21,317&lt;=$NS$21),IF($NP$21="Single_Point",IF(317=$NR$21,$NN$21,0),IF($NP$21="Bell_Curve",$NN$21*(317-$NR$21+1)*($NS$21-317+1)/$NU$21,$NN$21/$NT$21)),0)</f>
        <v/>
      </c>
      <c r="LJ21" s="228">
        <f>IF(AND(318&gt;=$NR$21,318&lt;=$NS$21),IF($NP$21="Single_Point",IF(318=$NR$21,$NN$21,0),IF($NP$21="Bell_Curve",$NN$21*(318-$NR$21+1)*($NS$21-318+1)/$NU$21,$NN$21/$NT$21)),0)</f>
        <v/>
      </c>
      <c r="LK21" s="228">
        <f>IF(AND(319&gt;=$NR$21,319&lt;=$NS$21),IF($NP$21="Single_Point",IF(319=$NR$21,$NN$21,0),IF($NP$21="Bell_Curve",$NN$21*(319-$NR$21+1)*($NS$21-319+1)/$NU$21,$NN$21/$NT$21)),0)</f>
        <v/>
      </c>
      <c r="LL21" s="228">
        <f>IF(AND(320&gt;=$NR$21,320&lt;=$NS$21),IF($NP$21="Single_Point",IF(320=$NR$21,$NN$21,0),IF($NP$21="Bell_Curve",$NN$21*(320-$NR$21+1)*($NS$21-320+1)/$NU$21,$NN$21/$NT$21)),0)</f>
        <v/>
      </c>
      <c r="LM21" s="228">
        <f>IF(AND(321&gt;=$NR$21,321&lt;=$NS$21),IF($NP$21="Single_Point",IF(321=$NR$21,$NN$21,0),IF($NP$21="Bell_Curve",$NN$21*(321-$NR$21+1)*($NS$21-321+1)/$NU$21,$NN$21/$NT$21)),0)</f>
        <v/>
      </c>
      <c r="LN21" s="228">
        <f>IF(AND(322&gt;=$NR$21,322&lt;=$NS$21),IF($NP$21="Single_Point",IF(322=$NR$21,$NN$21,0),IF($NP$21="Bell_Curve",$NN$21*(322-$NR$21+1)*($NS$21-322+1)/$NU$21,$NN$21/$NT$21)),0)</f>
        <v/>
      </c>
      <c r="LO21" s="228">
        <f>IF(AND(323&gt;=$NR$21,323&lt;=$NS$21),IF($NP$21="Single_Point",IF(323=$NR$21,$NN$21,0),IF($NP$21="Bell_Curve",$NN$21*(323-$NR$21+1)*($NS$21-323+1)/$NU$21,$NN$21/$NT$21)),0)</f>
        <v/>
      </c>
      <c r="LP21" s="228">
        <f>IF(AND(324&gt;=$NR$21,324&lt;=$NS$21),IF($NP$21="Single_Point",IF(324=$NR$21,$NN$21,0),IF($NP$21="Bell_Curve",$NN$21*(324-$NR$21+1)*($NS$21-324+1)/$NU$21,$NN$21/$NT$21)),0)</f>
        <v/>
      </c>
      <c r="LQ21" s="228">
        <f>IF(AND(325&gt;=$NR$21,325&lt;=$NS$21),IF($NP$21="Single_Point",IF(325=$NR$21,$NN$21,0),IF($NP$21="Bell_Curve",$NN$21*(325-$NR$21+1)*($NS$21-325+1)/$NU$21,$NN$21/$NT$21)),0)</f>
        <v/>
      </c>
      <c r="LR21" s="228">
        <f>IF(AND(326&gt;=$NR$21,326&lt;=$NS$21),IF($NP$21="Single_Point",IF(326=$NR$21,$NN$21,0),IF($NP$21="Bell_Curve",$NN$21*(326-$NR$21+1)*($NS$21-326+1)/$NU$21,$NN$21/$NT$21)),0)</f>
        <v/>
      </c>
      <c r="LS21" s="228">
        <f>IF(AND(327&gt;=$NR$21,327&lt;=$NS$21),IF($NP$21="Single_Point",IF(327=$NR$21,$NN$21,0),IF($NP$21="Bell_Curve",$NN$21*(327-$NR$21+1)*($NS$21-327+1)/$NU$21,$NN$21/$NT$21)),0)</f>
        <v/>
      </c>
      <c r="LT21" s="228">
        <f>IF(AND(328&gt;=$NR$21,328&lt;=$NS$21),IF($NP$21="Single_Point",IF(328=$NR$21,$NN$21,0),IF($NP$21="Bell_Curve",$NN$21*(328-$NR$21+1)*($NS$21-328+1)/$NU$21,$NN$21/$NT$21)),0)</f>
        <v/>
      </c>
      <c r="LU21" s="228">
        <f>IF(AND(329&gt;=$NR$21,329&lt;=$NS$21),IF($NP$21="Single_Point",IF(329=$NR$21,$NN$21,0),IF($NP$21="Bell_Curve",$NN$21*(329-$NR$21+1)*($NS$21-329+1)/$NU$21,$NN$21/$NT$21)),0)</f>
        <v/>
      </c>
      <c r="LV21" s="228">
        <f>IF(AND(330&gt;=$NR$21,330&lt;=$NS$21),IF($NP$21="Single_Point",IF(330=$NR$21,$NN$21,0),IF($NP$21="Bell_Curve",$NN$21*(330-$NR$21+1)*($NS$21-330+1)/$NU$21,$NN$21/$NT$21)),0)</f>
        <v/>
      </c>
      <c r="LW21" s="228">
        <f>IF(AND(331&gt;=$NR$21,331&lt;=$NS$21),IF($NP$21="Single_Point",IF(331=$NR$21,$NN$21,0),IF($NP$21="Bell_Curve",$NN$21*(331-$NR$21+1)*($NS$21-331+1)/$NU$21,$NN$21/$NT$21)),0)</f>
        <v/>
      </c>
      <c r="LX21" s="228">
        <f>IF(AND(332&gt;=$NR$21,332&lt;=$NS$21),IF($NP$21="Single_Point",IF(332=$NR$21,$NN$21,0),IF($NP$21="Bell_Curve",$NN$21*(332-$NR$21+1)*($NS$21-332+1)/$NU$21,$NN$21/$NT$21)),0)</f>
        <v/>
      </c>
      <c r="LY21" s="228">
        <f>IF(AND(333&gt;=$NR$21,333&lt;=$NS$21),IF($NP$21="Single_Point",IF(333=$NR$21,$NN$21,0),IF($NP$21="Bell_Curve",$NN$21*(333-$NR$21+1)*($NS$21-333+1)/$NU$21,$NN$21/$NT$21)),0)</f>
        <v/>
      </c>
      <c r="LZ21" s="228">
        <f>IF(AND(334&gt;=$NR$21,334&lt;=$NS$21),IF($NP$21="Single_Point",IF(334=$NR$21,$NN$21,0),IF($NP$21="Bell_Curve",$NN$21*(334-$NR$21+1)*($NS$21-334+1)/$NU$21,$NN$21/$NT$21)),0)</f>
        <v/>
      </c>
      <c r="MA21" s="228">
        <f>IF(AND(335&gt;=$NR$21,335&lt;=$NS$21),IF($NP$21="Single_Point",IF(335=$NR$21,$NN$21,0),IF($NP$21="Bell_Curve",$NN$21*(335-$NR$21+1)*($NS$21-335+1)/$NU$21,$NN$21/$NT$21)),0)</f>
        <v/>
      </c>
      <c r="MB21" s="228">
        <f>IF(AND(336&gt;=$NR$21,336&lt;=$NS$21),IF($NP$21="Single_Point",IF(336=$NR$21,$NN$21,0),IF($NP$21="Bell_Curve",$NN$21*(336-$NR$21+1)*($NS$21-336+1)/$NU$21,$NN$21/$NT$21)),0)</f>
        <v/>
      </c>
      <c r="MC21" s="228">
        <f>IF(AND(337&gt;=$NR$21,337&lt;=$NS$21),IF($NP$21="Single_Point",IF(337=$NR$21,$NN$21,0),IF($NP$21="Bell_Curve",$NN$21*(337-$NR$21+1)*($NS$21-337+1)/$NU$21,$NN$21/$NT$21)),0)</f>
        <v/>
      </c>
      <c r="MD21" s="228">
        <f>IF(AND(338&gt;=$NR$21,338&lt;=$NS$21),IF($NP$21="Single_Point",IF(338=$NR$21,$NN$21,0),IF($NP$21="Bell_Curve",$NN$21*(338-$NR$21+1)*($NS$21-338+1)/$NU$21,$NN$21/$NT$21)),0)</f>
        <v/>
      </c>
      <c r="ME21" s="228">
        <f>IF(AND(339&gt;=$NR$21,339&lt;=$NS$21),IF($NP$21="Single_Point",IF(339=$NR$21,$NN$21,0),IF($NP$21="Bell_Curve",$NN$21*(339-$NR$21+1)*($NS$21-339+1)/$NU$21,$NN$21/$NT$21)),0)</f>
        <v/>
      </c>
      <c r="MF21" s="228">
        <f>IF(AND(340&gt;=$NR$21,340&lt;=$NS$21),IF($NP$21="Single_Point",IF(340=$NR$21,$NN$21,0),IF($NP$21="Bell_Curve",$NN$21*(340-$NR$21+1)*($NS$21-340+1)/$NU$21,$NN$21/$NT$21)),0)</f>
        <v/>
      </c>
      <c r="MG21" s="228">
        <f>IF(AND(341&gt;=$NR$21,341&lt;=$NS$21),IF($NP$21="Single_Point",IF(341=$NR$21,$NN$21,0),IF($NP$21="Bell_Curve",$NN$21*(341-$NR$21+1)*($NS$21-341+1)/$NU$21,$NN$21/$NT$21)),0)</f>
        <v/>
      </c>
      <c r="MH21" s="228">
        <f>IF(AND(342&gt;=$NR$21,342&lt;=$NS$21),IF($NP$21="Single_Point",IF(342=$NR$21,$NN$21,0),IF($NP$21="Bell_Curve",$NN$21*(342-$NR$21+1)*($NS$21-342+1)/$NU$21,$NN$21/$NT$21)),0)</f>
        <v/>
      </c>
      <c r="MI21" s="228">
        <f>IF(AND(343&gt;=$NR$21,343&lt;=$NS$21),IF($NP$21="Single_Point",IF(343=$NR$21,$NN$21,0),IF($NP$21="Bell_Curve",$NN$21*(343-$NR$21+1)*($NS$21-343+1)/$NU$21,$NN$21/$NT$21)),0)</f>
        <v/>
      </c>
      <c r="MJ21" s="228">
        <f>IF(AND(344&gt;=$NR$21,344&lt;=$NS$21),IF($NP$21="Single_Point",IF(344=$NR$21,$NN$21,0),IF($NP$21="Bell_Curve",$NN$21*(344-$NR$21+1)*($NS$21-344+1)/$NU$21,$NN$21/$NT$21)),0)</f>
        <v/>
      </c>
      <c r="MK21" s="228">
        <f>IF(AND(345&gt;=$NR$21,345&lt;=$NS$21),IF($NP$21="Single_Point",IF(345=$NR$21,$NN$21,0),IF($NP$21="Bell_Curve",$NN$21*(345-$NR$21+1)*($NS$21-345+1)/$NU$21,$NN$21/$NT$21)),0)</f>
        <v/>
      </c>
      <c r="ML21" s="228">
        <f>IF(AND(346&gt;=$NR$21,346&lt;=$NS$21),IF($NP$21="Single_Point",IF(346=$NR$21,$NN$21,0),IF($NP$21="Bell_Curve",$NN$21*(346-$NR$21+1)*($NS$21-346+1)/$NU$21,$NN$21/$NT$21)),0)</f>
        <v/>
      </c>
      <c r="MM21" s="228">
        <f>IF(AND(347&gt;=$NR$21,347&lt;=$NS$21),IF($NP$21="Single_Point",IF(347=$NR$21,$NN$21,0),IF($NP$21="Bell_Curve",$NN$21*(347-$NR$21+1)*($NS$21-347+1)/$NU$21,$NN$21/$NT$21)),0)</f>
        <v/>
      </c>
      <c r="MN21" s="228">
        <f>IF(AND(348&gt;=$NR$21,348&lt;=$NS$21),IF($NP$21="Single_Point",IF(348=$NR$21,$NN$21,0),IF($NP$21="Bell_Curve",$NN$21*(348-$NR$21+1)*($NS$21-348+1)/$NU$21,$NN$21/$NT$21)),0)</f>
        <v/>
      </c>
      <c r="MO21" s="228">
        <f>IF(AND(349&gt;=$NR$21,349&lt;=$NS$21),IF($NP$21="Single_Point",IF(349=$NR$21,$NN$21,0),IF($NP$21="Bell_Curve",$NN$21*(349-$NR$21+1)*($NS$21-349+1)/$NU$21,$NN$21/$NT$21)),0)</f>
        <v/>
      </c>
      <c r="MP21" s="228">
        <f>IF(AND(350&gt;=$NR$21,350&lt;=$NS$21),IF($NP$21="Single_Point",IF(350=$NR$21,$NN$21,0),IF($NP$21="Bell_Curve",$NN$21*(350-$NR$21+1)*($NS$21-350+1)/$NU$21,$NN$21/$NT$21)),0)</f>
        <v/>
      </c>
      <c r="MQ21" s="228">
        <f>IF(AND(351&gt;=$NR$21,351&lt;=$NS$21),IF($NP$21="Single_Point",IF(351=$NR$21,$NN$21,0),IF($NP$21="Bell_Curve",$NN$21*(351-$NR$21+1)*($NS$21-351+1)/$NU$21,$NN$21/$NT$21)),0)</f>
        <v/>
      </c>
      <c r="MR21" s="228">
        <f>IF(AND(352&gt;=$NR$21,352&lt;=$NS$21),IF($NP$21="Single_Point",IF(352=$NR$21,$NN$21,0),IF($NP$21="Bell_Curve",$NN$21*(352-$NR$21+1)*($NS$21-352+1)/$NU$21,$NN$21/$NT$21)),0)</f>
        <v/>
      </c>
      <c r="MS21" s="228">
        <f>IF(AND(353&gt;=$NR$21,353&lt;=$NS$21),IF($NP$21="Single_Point",IF(353=$NR$21,$NN$21,0),IF($NP$21="Bell_Curve",$NN$21*(353-$NR$21+1)*($NS$21-353+1)/$NU$21,$NN$21/$NT$21)),0)</f>
        <v/>
      </c>
      <c r="MT21" s="228">
        <f>IF(AND(354&gt;=$NR$21,354&lt;=$NS$21),IF($NP$21="Single_Point",IF(354=$NR$21,$NN$21,0),IF($NP$21="Bell_Curve",$NN$21*(354-$NR$21+1)*($NS$21-354+1)/$NU$21,$NN$21/$NT$21)),0)</f>
        <v/>
      </c>
      <c r="MU21" s="228">
        <f>IF(AND(355&gt;=$NR$21,355&lt;=$NS$21),IF($NP$21="Single_Point",IF(355=$NR$21,$NN$21,0),IF($NP$21="Bell_Curve",$NN$21*(355-$NR$21+1)*($NS$21-355+1)/$NU$21,$NN$21/$NT$21)),0)</f>
        <v/>
      </c>
      <c r="MV21" s="228">
        <f>IF(AND(356&gt;=$NR$21,356&lt;=$NS$21),IF($NP$21="Single_Point",IF(356=$NR$21,$NN$21,0),IF($NP$21="Bell_Curve",$NN$21*(356-$NR$21+1)*($NS$21-356+1)/$NU$21,$NN$21/$NT$21)),0)</f>
        <v/>
      </c>
      <c r="MW21" s="228">
        <f>IF(AND(357&gt;=$NR$21,357&lt;=$NS$21),IF($NP$21="Single_Point",IF(357=$NR$21,$NN$21,0),IF($NP$21="Bell_Curve",$NN$21*(357-$NR$21+1)*($NS$21-357+1)/$NU$21,$NN$21/$NT$21)),0)</f>
        <v/>
      </c>
      <c r="MX21" s="228">
        <f>IF(AND(358&gt;=$NR$21,358&lt;=$NS$21),IF($NP$21="Single_Point",IF(358=$NR$21,$NN$21,0),IF($NP$21="Bell_Curve",$NN$21*(358-$NR$21+1)*($NS$21-358+1)/$NU$21,$NN$21/$NT$21)),0)</f>
        <v/>
      </c>
      <c r="MY21" s="228">
        <f>IF(AND(359&gt;=$NR$21,359&lt;=$NS$21),IF($NP$21="Single_Point",IF(359=$NR$21,$NN$21,0),IF($NP$21="Bell_Curve",$NN$21*(359-$NR$21+1)*($NS$21-359+1)/$NU$21,$NN$21/$NT$21)),0)</f>
        <v/>
      </c>
      <c r="MZ21" s="228">
        <f>IF(AND(360&gt;=$NR$21,360&lt;=$NS$21),IF($NP$21="Single_Point",IF(360=$NR$21,$NN$21,0),IF($NP$21="Bell_Curve",$NN$21*(360-$NR$21+1)*($NS$21-360+1)/$NU$21,$NN$21/$NT$21)),0)</f>
        <v/>
      </c>
      <c r="NA21" s="228">
        <f>IF(AND(361&gt;=$NR$21,361&lt;=$NS$21),IF($NP$21="Single_Point",IF(361=$NR$21,$NN$21,0),IF($NP$21="Bell_Curve",$NN$21*(361-$NR$21+1)*($NS$21-361+1)/$NU$21,$NN$21/$NT$21)),0)</f>
        <v/>
      </c>
      <c r="NB21" s="228">
        <f>IF(AND(362&gt;=$NR$21,362&lt;=$NS$21),IF($NP$21="Single_Point",IF(362=$NR$21,$NN$21,0),IF($NP$21="Bell_Curve",$NN$21*(362-$NR$21+1)*($NS$21-362+1)/$NU$21,$NN$21/$NT$21)),0)</f>
        <v/>
      </c>
      <c r="NC21" s="228">
        <f>IF(AND(363&gt;=$NR$21,363&lt;=$NS$21),IF($NP$21="Single_Point",IF(363=$NR$21,$NN$21,0),IF($NP$21="Bell_Curve",$NN$21*(363-$NR$21+1)*($NS$21-363+1)/$NU$21,$NN$21/$NT$21)),0)</f>
        <v/>
      </c>
      <c r="ND21" s="228">
        <f>IF(AND(364&gt;=$NR$21,364&lt;=$NS$21),IF($NP$21="Single_Point",IF(364=$NR$21,$NN$21,0),IF($NP$21="Bell_Curve",$NN$21*(364-$NR$21+1)*($NS$21-364+1)/$NU$21,$NN$21/$NT$21)),0)</f>
        <v/>
      </c>
      <c r="NE21" s="228">
        <f>IF(AND(365&gt;=$NR$21,365&lt;=$NS$21),IF($NP$21="Single_Point",IF(365=$NR$21,$NN$21,0),IF($NP$21="Bell_Curve",$NN$21*(365-$NR$21+1)*($NS$21-365+1)/$NU$21,$NN$21/$NT$21)),0)</f>
        <v/>
      </c>
      <c r="NF21" s="228">
        <f>IF(AND(366&gt;=$NR$21,366&lt;=$NS$21),IF($NP$21="Single_Point",IF(366=$NR$21,$NN$21,0),IF($NP$21="Bell_Curve",$NN$21*(366-$NR$21+1)*($NS$21-366+1)/$NU$21,$NN$21/$NT$21)),0)</f>
        <v/>
      </c>
      <c r="NG21" s="228">
        <f>IF(AND(367&gt;=$NR$21,367&lt;=$NS$21),IF($NP$21="Single_Point",IF(367=$NR$21,$NN$21,0),IF($NP$21="Bell_Curve",$NN$21*(367-$NR$21+1)*($NS$21-367+1)/$NU$21,$NN$21/$NT$21)),0)</f>
        <v/>
      </c>
      <c r="NH21" s="228">
        <f>IF(AND(368&gt;=$NR$21,368&lt;=$NS$21),IF($NP$21="Single_Point",IF(368=$NR$21,$NN$21,0),IF($NP$21="Bell_Curve",$NN$21*(368-$NR$21+1)*($NS$21-368+1)/$NU$21,$NN$21/$NT$21)),0)</f>
        <v/>
      </c>
      <c r="NI21" s="228">
        <f>IF(AND(369&gt;=$NR$21,369&lt;=$NS$21),IF($NP$21="Single_Point",IF(369=$NR$21,$NN$21,0),IF($NP$21="Bell_Curve",$NN$21*(369-$NR$21+1)*($NS$21-369+1)/$NU$21,$NN$21/$NT$21)),0)</f>
        <v/>
      </c>
      <c r="NJ21" s="228">
        <f>IF(AND(370&gt;=$NR$21,370&lt;=$NS$21),IF($NP$21="Single_Point",IF(370=$NR$21,$NN$21,0),IF($NP$21="Bell_Curve",$NN$21*(370-$NR$21+1)*($NS$21-370+1)/$NU$21,$NN$21/$NT$21)),0)</f>
        <v/>
      </c>
      <c r="NK21" s="228">
        <f>IF(AND(371&gt;=$NR$21,371&lt;=$NS$21),IF($NP$21="Single_Point",IF(371=$NR$21,$NN$21,0),IF($NP$21="Bell_Curve",$NN$21*(371-$NR$21+1)*($NS$21-371+1)/$NU$21,$NN$21/$NT$21)),0)</f>
        <v/>
      </c>
      <c r="NL21" s="247">
        <f>IF(AND(372&gt;=$NR$21,372&lt;=$NS$21),IF($NP$21="Single_Point",IF(372=$NR$21,$NN$21,0),IF($NP$21="Bell_Curve",$NN$21*(372-$NR$21+1)*($NS$21-372+1)/$NU$21,$NN$21/$NT$21)),0)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36" t="inlineStr">
        <is>
          <t>Other Soft Cost 2 - Permits</t>
        </is>
      </c>
      <c r="D22" s="246">
        <f>SUM(E22:NL22)</f>
        <v/>
      </c>
      <c r="E22" s="228">
        <f>IF(AND(1&gt;=$NR$22,1&lt;=$NS$22),IF($NP$22="Single_Point",IF(1=$NR$22,$NN$22,0),IF($NP$22="Bell_Curve",$NN$22*(1-$NR$22+1)*($NS$22-1+1)/$NU$22,$NN$22/$NT$22)),0)</f>
        <v/>
      </c>
      <c r="F22" s="228">
        <f>IF(AND(2&gt;=$NR$22,2&lt;=$NS$22),IF($NP$22="Single_Point",IF(2=$NR$22,$NN$22,0),IF($NP$22="Bell_Curve",$NN$22*(2-$NR$22+1)*($NS$22-2+1)/$NU$22,$NN$22/$NT$22)),0)</f>
        <v/>
      </c>
      <c r="G22" s="228">
        <f>IF(AND(3&gt;=$NR$22,3&lt;=$NS$22),IF($NP$22="Single_Point",IF(3=$NR$22,$NN$22,0),IF($NP$22="Bell_Curve",$NN$22*(3-$NR$22+1)*($NS$22-3+1)/$NU$22,$NN$22/$NT$22)),0)</f>
        <v/>
      </c>
      <c r="H22" s="228">
        <f>IF(AND(4&gt;=$NR$22,4&lt;=$NS$22),IF($NP$22="Single_Point",IF(4=$NR$22,$NN$22,0),IF($NP$22="Bell_Curve",$NN$22*(4-$NR$22+1)*($NS$22-4+1)/$NU$22,$NN$22/$NT$22)),0)</f>
        <v/>
      </c>
      <c r="I22" s="228">
        <f>IF(AND(5&gt;=$NR$22,5&lt;=$NS$22),IF($NP$22="Single_Point",IF(5=$NR$22,$NN$22,0),IF($NP$22="Bell_Curve",$NN$22*(5-$NR$22+1)*($NS$22-5+1)/$NU$22,$NN$22/$NT$22)),0)</f>
        <v/>
      </c>
      <c r="J22" s="228">
        <f>IF(AND(6&gt;=$NR$22,6&lt;=$NS$22),IF($NP$22="Single_Point",IF(6=$NR$22,$NN$22,0),IF($NP$22="Bell_Curve",$NN$22*(6-$NR$22+1)*($NS$22-6+1)/$NU$22,$NN$22/$NT$22)),0)</f>
        <v/>
      </c>
      <c r="K22" s="228">
        <f>IF(AND(7&gt;=$NR$22,7&lt;=$NS$22),IF($NP$22="Single_Point",IF(7=$NR$22,$NN$22,0),IF($NP$22="Bell_Curve",$NN$22*(7-$NR$22+1)*($NS$22-7+1)/$NU$22,$NN$22/$NT$22)),0)</f>
        <v/>
      </c>
      <c r="L22" s="228">
        <f>IF(AND(8&gt;=$NR$22,8&lt;=$NS$22),IF($NP$22="Single_Point",IF(8=$NR$22,$NN$22,0),IF($NP$22="Bell_Curve",$NN$22*(8-$NR$22+1)*($NS$22-8+1)/$NU$22,$NN$22/$NT$22)),0)</f>
        <v/>
      </c>
      <c r="M22" s="228">
        <f>IF(AND(9&gt;=$NR$22,9&lt;=$NS$22),IF($NP$22="Single_Point",IF(9=$NR$22,$NN$22,0),IF($NP$22="Bell_Curve",$NN$22*(9-$NR$22+1)*($NS$22-9+1)/$NU$22,$NN$22/$NT$22)),0)</f>
        <v/>
      </c>
      <c r="N22" s="228">
        <f>IF(AND(10&gt;=$NR$22,10&lt;=$NS$22),IF($NP$22="Single_Point",IF(10=$NR$22,$NN$22,0),IF($NP$22="Bell_Curve",$NN$22*(10-$NR$22+1)*($NS$22-10+1)/$NU$22,$NN$22/$NT$22)),0)</f>
        <v/>
      </c>
      <c r="O22" s="228">
        <f>IF(AND(11&gt;=$NR$22,11&lt;=$NS$22),IF($NP$22="Single_Point",IF(11=$NR$22,$NN$22,0),IF($NP$22="Bell_Curve",$NN$22*(11-$NR$22+1)*($NS$22-11+1)/$NU$22,$NN$22/$NT$22)),0)</f>
        <v/>
      </c>
      <c r="P22" s="228">
        <f>IF(AND(12&gt;=$NR$22,12&lt;=$NS$22),IF($NP$22="Single_Point",IF(12=$NR$22,$NN$22,0),IF($NP$22="Bell_Curve",$NN$22*(12-$NR$22+1)*($NS$22-12+1)/$NU$22,$NN$22/$NT$22)),0)</f>
        <v/>
      </c>
      <c r="Q22" s="228">
        <f>IF(AND(13&gt;=$NR$22,13&lt;=$NS$22),IF($NP$22="Single_Point",IF(13=$NR$22,$NN$22,0),IF($NP$22="Bell_Curve",$NN$22*(13-$NR$22+1)*($NS$22-13+1)/$NU$22,$NN$22/$NT$22)),0)</f>
        <v/>
      </c>
      <c r="R22" s="228">
        <f>IF(AND(14&gt;=$NR$22,14&lt;=$NS$22),IF($NP$22="Single_Point",IF(14=$NR$22,$NN$22,0),IF($NP$22="Bell_Curve",$NN$22*(14-$NR$22+1)*($NS$22-14+1)/$NU$22,$NN$22/$NT$22)),0)</f>
        <v/>
      </c>
      <c r="S22" s="228">
        <f>IF(AND(15&gt;=$NR$22,15&lt;=$NS$22),IF($NP$22="Single_Point",IF(15=$NR$22,$NN$22,0),IF($NP$22="Bell_Curve",$NN$22*(15-$NR$22+1)*($NS$22-15+1)/$NU$22,$NN$22/$NT$22)),0)</f>
        <v/>
      </c>
      <c r="T22" s="228">
        <f>IF(AND(16&gt;=$NR$22,16&lt;=$NS$22),IF($NP$22="Single_Point",IF(16=$NR$22,$NN$22,0),IF($NP$22="Bell_Curve",$NN$22*(16-$NR$22+1)*($NS$22-16+1)/$NU$22,$NN$22/$NT$22)),0)</f>
        <v/>
      </c>
      <c r="U22" s="228">
        <f>IF(AND(17&gt;=$NR$22,17&lt;=$NS$22),IF($NP$22="Single_Point",IF(17=$NR$22,$NN$22,0),IF($NP$22="Bell_Curve",$NN$22*(17-$NR$22+1)*($NS$22-17+1)/$NU$22,$NN$22/$NT$22)),0)</f>
        <v/>
      </c>
      <c r="V22" s="228">
        <f>IF(AND(18&gt;=$NR$22,18&lt;=$NS$22),IF($NP$22="Single_Point",IF(18=$NR$22,$NN$22,0),IF($NP$22="Bell_Curve",$NN$22*(18-$NR$22+1)*($NS$22-18+1)/$NU$22,$NN$22/$NT$22)),0)</f>
        <v/>
      </c>
      <c r="W22" s="228">
        <f>IF(AND(19&gt;=$NR$22,19&lt;=$NS$22),IF($NP$22="Single_Point",IF(19=$NR$22,$NN$22,0),IF($NP$22="Bell_Curve",$NN$22*(19-$NR$22+1)*($NS$22-19+1)/$NU$22,$NN$22/$NT$22)),0)</f>
        <v/>
      </c>
      <c r="X22" s="228">
        <f>IF(AND(20&gt;=$NR$22,20&lt;=$NS$22),IF($NP$22="Single_Point",IF(20=$NR$22,$NN$22,0),IF($NP$22="Bell_Curve",$NN$22*(20-$NR$22+1)*($NS$22-20+1)/$NU$22,$NN$22/$NT$22)),0)</f>
        <v/>
      </c>
      <c r="Y22" s="228">
        <f>IF(AND(21&gt;=$NR$22,21&lt;=$NS$22),IF($NP$22="Single_Point",IF(21=$NR$22,$NN$22,0),IF($NP$22="Bell_Curve",$NN$22*(21-$NR$22+1)*($NS$22-21+1)/$NU$22,$NN$22/$NT$22)),0)</f>
        <v/>
      </c>
      <c r="Z22" s="228">
        <f>IF(AND(22&gt;=$NR$22,22&lt;=$NS$22),IF($NP$22="Single_Point",IF(22=$NR$22,$NN$22,0),IF($NP$22="Bell_Curve",$NN$22*(22-$NR$22+1)*($NS$22-22+1)/$NU$22,$NN$22/$NT$22)),0)</f>
        <v/>
      </c>
      <c r="AA22" s="228">
        <f>IF(AND(23&gt;=$NR$22,23&lt;=$NS$22),IF($NP$22="Single_Point",IF(23=$NR$22,$NN$22,0),IF($NP$22="Bell_Curve",$NN$22*(23-$NR$22+1)*($NS$22-23+1)/$NU$22,$NN$22/$NT$22)),0)</f>
        <v/>
      </c>
      <c r="AB22" s="228">
        <f>IF(AND(24&gt;=$NR$22,24&lt;=$NS$22),IF($NP$22="Single_Point",IF(24=$NR$22,$NN$22,0),IF($NP$22="Bell_Curve",$NN$22*(24-$NR$22+1)*($NS$22-24+1)/$NU$22,$NN$22/$NT$22)),0)</f>
        <v/>
      </c>
      <c r="AC22" s="228">
        <f>IF(AND(25&gt;=$NR$22,25&lt;=$NS$22),IF($NP$22="Single_Point",IF(25=$NR$22,$NN$22,0),IF($NP$22="Bell_Curve",$NN$22*(25-$NR$22+1)*($NS$22-25+1)/$NU$22,$NN$22/$NT$22)),0)</f>
        <v/>
      </c>
      <c r="AD22" s="228">
        <f>IF(AND(26&gt;=$NR$22,26&lt;=$NS$22),IF($NP$22="Single_Point",IF(26=$NR$22,$NN$22,0),IF($NP$22="Bell_Curve",$NN$22*(26-$NR$22+1)*($NS$22-26+1)/$NU$22,$NN$22/$NT$22)),0)</f>
        <v/>
      </c>
      <c r="AE22" s="228">
        <f>IF(AND(27&gt;=$NR$22,27&lt;=$NS$22),IF($NP$22="Single_Point",IF(27=$NR$22,$NN$22,0),IF($NP$22="Bell_Curve",$NN$22*(27-$NR$22+1)*($NS$22-27+1)/$NU$22,$NN$22/$NT$22)),0)</f>
        <v/>
      </c>
      <c r="AF22" s="228">
        <f>IF(AND(28&gt;=$NR$22,28&lt;=$NS$22),IF($NP$22="Single_Point",IF(28=$NR$22,$NN$22,0),IF($NP$22="Bell_Curve",$NN$22*(28-$NR$22+1)*($NS$22-28+1)/$NU$22,$NN$22/$NT$22)),0)</f>
        <v/>
      </c>
      <c r="AG22" s="228">
        <f>IF(AND(29&gt;=$NR$22,29&lt;=$NS$22),IF($NP$22="Single_Point",IF(29=$NR$22,$NN$22,0),IF($NP$22="Bell_Curve",$NN$22*(29-$NR$22+1)*($NS$22-29+1)/$NU$22,$NN$22/$NT$22)),0)</f>
        <v/>
      </c>
      <c r="AH22" s="228">
        <f>IF(AND(30&gt;=$NR$22,30&lt;=$NS$22),IF($NP$22="Single_Point",IF(30=$NR$22,$NN$22,0),IF($NP$22="Bell_Curve",$NN$22*(30-$NR$22+1)*($NS$22-30+1)/$NU$22,$NN$22/$NT$22)),0)</f>
        <v/>
      </c>
      <c r="AI22" s="228">
        <f>IF(AND(31&gt;=$NR$22,31&lt;=$NS$22),IF($NP$22="Single_Point",IF(31=$NR$22,$NN$22,0),IF($NP$22="Bell_Curve",$NN$22*(31-$NR$22+1)*($NS$22-31+1)/$NU$22,$NN$22/$NT$22)),0)</f>
        <v/>
      </c>
      <c r="AJ22" s="228">
        <f>IF(AND(32&gt;=$NR$22,32&lt;=$NS$22),IF($NP$22="Single_Point",IF(32=$NR$22,$NN$22,0),IF($NP$22="Bell_Curve",$NN$22*(32-$NR$22+1)*($NS$22-32+1)/$NU$22,$NN$22/$NT$22)),0)</f>
        <v/>
      </c>
      <c r="AK22" s="228">
        <f>IF(AND(33&gt;=$NR$22,33&lt;=$NS$22),IF($NP$22="Single_Point",IF(33=$NR$22,$NN$22,0),IF($NP$22="Bell_Curve",$NN$22*(33-$NR$22+1)*($NS$22-33+1)/$NU$22,$NN$22/$NT$22)),0)</f>
        <v/>
      </c>
      <c r="AL22" s="228">
        <f>IF(AND(34&gt;=$NR$22,34&lt;=$NS$22),IF($NP$22="Single_Point",IF(34=$NR$22,$NN$22,0),IF($NP$22="Bell_Curve",$NN$22*(34-$NR$22+1)*($NS$22-34+1)/$NU$22,$NN$22/$NT$22)),0)</f>
        <v/>
      </c>
      <c r="AM22" s="228">
        <f>IF(AND(35&gt;=$NR$22,35&lt;=$NS$22),IF($NP$22="Single_Point",IF(35=$NR$22,$NN$22,0),IF($NP$22="Bell_Curve",$NN$22*(35-$NR$22+1)*($NS$22-35+1)/$NU$22,$NN$22/$NT$22)),0)</f>
        <v/>
      </c>
      <c r="AN22" s="228">
        <f>IF(AND(36&gt;=$NR$22,36&lt;=$NS$22),IF($NP$22="Single_Point",IF(36=$NR$22,$NN$22,0),IF($NP$22="Bell_Curve",$NN$22*(36-$NR$22+1)*($NS$22-36+1)/$NU$22,$NN$22/$NT$22)),0)</f>
        <v/>
      </c>
      <c r="AO22" s="228">
        <f>IF(AND(37&gt;=$NR$22,37&lt;=$NS$22),IF($NP$22="Single_Point",IF(37=$NR$22,$NN$22,0),IF($NP$22="Bell_Curve",$NN$22*(37-$NR$22+1)*($NS$22-37+1)/$NU$22,$NN$22/$NT$22)),0)</f>
        <v/>
      </c>
      <c r="AP22" s="228">
        <f>IF(AND(38&gt;=$NR$22,38&lt;=$NS$22),IF($NP$22="Single_Point",IF(38=$NR$22,$NN$22,0),IF($NP$22="Bell_Curve",$NN$22*(38-$NR$22+1)*($NS$22-38+1)/$NU$22,$NN$22/$NT$22)),0)</f>
        <v/>
      </c>
      <c r="AQ22" s="228">
        <f>IF(AND(39&gt;=$NR$22,39&lt;=$NS$22),IF($NP$22="Single_Point",IF(39=$NR$22,$NN$22,0),IF($NP$22="Bell_Curve",$NN$22*(39-$NR$22+1)*($NS$22-39+1)/$NU$22,$NN$22/$NT$22)),0)</f>
        <v/>
      </c>
      <c r="AR22" s="228">
        <f>IF(AND(40&gt;=$NR$22,40&lt;=$NS$22),IF($NP$22="Single_Point",IF(40=$NR$22,$NN$22,0),IF($NP$22="Bell_Curve",$NN$22*(40-$NR$22+1)*($NS$22-40+1)/$NU$22,$NN$22/$NT$22)),0)</f>
        <v/>
      </c>
      <c r="AS22" s="228">
        <f>IF(AND(41&gt;=$NR$22,41&lt;=$NS$22),IF($NP$22="Single_Point",IF(41=$NR$22,$NN$22,0),IF($NP$22="Bell_Curve",$NN$22*(41-$NR$22+1)*($NS$22-41+1)/$NU$22,$NN$22/$NT$22)),0)</f>
        <v/>
      </c>
      <c r="AT22" s="228">
        <f>IF(AND(42&gt;=$NR$22,42&lt;=$NS$22),IF($NP$22="Single_Point",IF(42=$NR$22,$NN$22,0),IF($NP$22="Bell_Curve",$NN$22*(42-$NR$22+1)*($NS$22-42+1)/$NU$22,$NN$22/$NT$22)),0)</f>
        <v/>
      </c>
      <c r="AU22" s="228">
        <f>IF(AND(43&gt;=$NR$22,43&lt;=$NS$22),IF($NP$22="Single_Point",IF(43=$NR$22,$NN$22,0),IF($NP$22="Bell_Curve",$NN$22*(43-$NR$22+1)*($NS$22-43+1)/$NU$22,$NN$22/$NT$22)),0)</f>
        <v/>
      </c>
      <c r="AV22" s="228">
        <f>IF(AND(44&gt;=$NR$22,44&lt;=$NS$22),IF($NP$22="Single_Point",IF(44=$NR$22,$NN$22,0),IF($NP$22="Bell_Curve",$NN$22*(44-$NR$22+1)*($NS$22-44+1)/$NU$22,$NN$22/$NT$22)),0)</f>
        <v/>
      </c>
      <c r="AW22" s="228">
        <f>IF(AND(45&gt;=$NR$22,45&lt;=$NS$22),IF($NP$22="Single_Point",IF(45=$NR$22,$NN$22,0),IF($NP$22="Bell_Curve",$NN$22*(45-$NR$22+1)*($NS$22-45+1)/$NU$22,$NN$22/$NT$22)),0)</f>
        <v/>
      </c>
      <c r="AX22" s="228">
        <f>IF(AND(46&gt;=$NR$22,46&lt;=$NS$22),IF($NP$22="Single_Point",IF(46=$NR$22,$NN$22,0),IF($NP$22="Bell_Curve",$NN$22*(46-$NR$22+1)*($NS$22-46+1)/$NU$22,$NN$22/$NT$22)),0)</f>
        <v/>
      </c>
      <c r="AY22" s="228">
        <f>IF(AND(47&gt;=$NR$22,47&lt;=$NS$22),IF($NP$22="Single_Point",IF(47=$NR$22,$NN$22,0),IF($NP$22="Bell_Curve",$NN$22*(47-$NR$22+1)*($NS$22-47+1)/$NU$22,$NN$22/$NT$22)),0)</f>
        <v/>
      </c>
      <c r="AZ22" s="228">
        <f>IF(AND(48&gt;=$NR$22,48&lt;=$NS$22),IF($NP$22="Single_Point",IF(48=$NR$22,$NN$22,0),IF($NP$22="Bell_Curve",$NN$22*(48-$NR$22+1)*($NS$22-48+1)/$NU$22,$NN$22/$NT$22)),0)</f>
        <v/>
      </c>
      <c r="BA22" s="228">
        <f>IF(AND(49&gt;=$NR$22,49&lt;=$NS$22),IF($NP$22="Single_Point",IF(49=$NR$22,$NN$22,0),IF($NP$22="Bell_Curve",$NN$22*(49-$NR$22+1)*($NS$22-49+1)/$NU$22,$NN$22/$NT$22)),0)</f>
        <v/>
      </c>
      <c r="BB22" s="228">
        <f>IF(AND(50&gt;=$NR$22,50&lt;=$NS$22),IF($NP$22="Single_Point",IF(50=$NR$22,$NN$22,0),IF($NP$22="Bell_Curve",$NN$22*(50-$NR$22+1)*($NS$22-50+1)/$NU$22,$NN$22/$NT$22)),0)</f>
        <v/>
      </c>
      <c r="BC22" s="228">
        <f>IF(AND(51&gt;=$NR$22,51&lt;=$NS$22),IF($NP$22="Single_Point",IF(51=$NR$22,$NN$22,0),IF($NP$22="Bell_Curve",$NN$22*(51-$NR$22+1)*($NS$22-51+1)/$NU$22,$NN$22/$NT$22)),0)</f>
        <v/>
      </c>
      <c r="BD22" s="228">
        <f>IF(AND(52&gt;=$NR$22,52&lt;=$NS$22),IF($NP$22="Single_Point",IF(52=$NR$22,$NN$22,0),IF($NP$22="Bell_Curve",$NN$22*(52-$NR$22+1)*($NS$22-52+1)/$NU$22,$NN$22/$NT$22)),0)</f>
        <v/>
      </c>
      <c r="BE22" s="228">
        <f>IF(AND(53&gt;=$NR$22,53&lt;=$NS$22),IF($NP$22="Single_Point",IF(53=$NR$22,$NN$22,0),IF($NP$22="Bell_Curve",$NN$22*(53-$NR$22+1)*($NS$22-53+1)/$NU$22,$NN$22/$NT$22)),0)</f>
        <v/>
      </c>
      <c r="BF22" s="228">
        <f>IF(AND(54&gt;=$NR$22,54&lt;=$NS$22),IF($NP$22="Single_Point",IF(54=$NR$22,$NN$22,0),IF($NP$22="Bell_Curve",$NN$22*(54-$NR$22+1)*($NS$22-54+1)/$NU$22,$NN$22/$NT$22)),0)</f>
        <v/>
      </c>
      <c r="BG22" s="228">
        <f>IF(AND(55&gt;=$NR$22,55&lt;=$NS$22),IF($NP$22="Single_Point",IF(55=$NR$22,$NN$22,0),IF($NP$22="Bell_Curve",$NN$22*(55-$NR$22+1)*($NS$22-55+1)/$NU$22,$NN$22/$NT$22)),0)</f>
        <v/>
      </c>
      <c r="BH22" s="228">
        <f>IF(AND(56&gt;=$NR$22,56&lt;=$NS$22),IF($NP$22="Single_Point",IF(56=$NR$22,$NN$22,0),IF($NP$22="Bell_Curve",$NN$22*(56-$NR$22+1)*($NS$22-56+1)/$NU$22,$NN$22/$NT$22)),0)</f>
        <v/>
      </c>
      <c r="BI22" s="228">
        <f>IF(AND(57&gt;=$NR$22,57&lt;=$NS$22),IF($NP$22="Single_Point",IF(57=$NR$22,$NN$22,0),IF($NP$22="Bell_Curve",$NN$22*(57-$NR$22+1)*($NS$22-57+1)/$NU$22,$NN$22/$NT$22)),0)</f>
        <v/>
      </c>
      <c r="BJ22" s="228">
        <f>IF(AND(58&gt;=$NR$22,58&lt;=$NS$22),IF($NP$22="Single_Point",IF(58=$NR$22,$NN$22,0),IF($NP$22="Bell_Curve",$NN$22*(58-$NR$22+1)*($NS$22-58+1)/$NU$22,$NN$22/$NT$22)),0)</f>
        <v/>
      </c>
      <c r="BK22" s="228">
        <f>IF(AND(59&gt;=$NR$22,59&lt;=$NS$22),IF($NP$22="Single_Point",IF(59=$NR$22,$NN$22,0),IF($NP$22="Bell_Curve",$NN$22*(59-$NR$22+1)*($NS$22-59+1)/$NU$22,$NN$22/$NT$22)),0)</f>
        <v/>
      </c>
      <c r="BL22" s="228">
        <f>IF(AND(60&gt;=$NR$22,60&lt;=$NS$22),IF($NP$22="Single_Point",IF(60=$NR$22,$NN$22,0),IF($NP$22="Bell_Curve",$NN$22*(60-$NR$22+1)*($NS$22-60+1)/$NU$22,$NN$22/$NT$22)),0)</f>
        <v/>
      </c>
      <c r="BM22" s="228">
        <f>IF(AND(61&gt;=$NR$22,61&lt;=$NS$22),IF($NP$22="Single_Point",IF(61=$NR$22,$NN$22,0),IF($NP$22="Bell_Curve",$NN$22*(61-$NR$22+1)*($NS$22-61+1)/$NU$22,$NN$22/$NT$22)),0)</f>
        <v/>
      </c>
      <c r="BN22" s="228">
        <f>IF(AND(62&gt;=$NR$22,62&lt;=$NS$22),IF($NP$22="Single_Point",IF(62=$NR$22,$NN$22,0),IF($NP$22="Bell_Curve",$NN$22*(62-$NR$22+1)*($NS$22-62+1)/$NU$22,$NN$22/$NT$22)),0)</f>
        <v/>
      </c>
      <c r="BO22" s="228">
        <f>IF(AND(63&gt;=$NR$22,63&lt;=$NS$22),IF($NP$22="Single_Point",IF(63=$NR$22,$NN$22,0),IF($NP$22="Bell_Curve",$NN$22*(63-$NR$22+1)*($NS$22-63+1)/$NU$22,$NN$22/$NT$22)),0)</f>
        <v/>
      </c>
      <c r="BP22" s="228">
        <f>IF(AND(64&gt;=$NR$22,64&lt;=$NS$22),IF($NP$22="Single_Point",IF(64=$NR$22,$NN$22,0),IF($NP$22="Bell_Curve",$NN$22*(64-$NR$22+1)*($NS$22-64+1)/$NU$22,$NN$22/$NT$22)),0)</f>
        <v/>
      </c>
      <c r="BQ22" s="228">
        <f>IF(AND(65&gt;=$NR$22,65&lt;=$NS$22),IF($NP$22="Single_Point",IF(65=$NR$22,$NN$22,0),IF($NP$22="Bell_Curve",$NN$22*(65-$NR$22+1)*($NS$22-65+1)/$NU$22,$NN$22/$NT$22)),0)</f>
        <v/>
      </c>
      <c r="BR22" s="228">
        <f>IF(AND(66&gt;=$NR$22,66&lt;=$NS$22),IF($NP$22="Single_Point",IF(66=$NR$22,$NN$22,0),IF($NP$22="Bell_Curve",$NN$22*(66-$NR$22+1)*($NS$22-66+1)/$NU$22,$NN$22/$NT$22)),0)</f>
        <v/>
      </c>
      <c r="BS22" s="228">
        <f>IF(AND(67&gt;=$NR$22,67&lt;=$NS$22),IF($NP$22="Single_Point",IF(67=$NR$22,$NN$22,0),IF($NP$22="Bell_Curve",$NN$22*(67-$NR$22+1)*($NS$22-67+1)/$NU$22,$NN$22/$NT$22)),0)</f>
        <v/>
      </c>
      <c r="BT22" s="228">
        <f>IF(AND(68&gt;=$NR$22,68&lt;=$NS$22),IF($NP$22="Single_Point",IF(68=$NR$22,$NN$22,0),IF($NP$22="Bell_Curve",$NN$22*(68-$NR$22+1)*($NS$22-68+1)/$NU$22,$NN$22/$NT$22)),0)</f>
        <v/>
      </c>
      <c r="BU22" s="228">
        <f>IF(AND(69&gt;=$NR$22,69&lt;=$NS$22),IF($NP$22="Single_Point",IF(69=$NR$22,$NN$22,0),IF($NP$22="Bell_Curve",$NN$22*(69-$NR$22+1)*($NS$22-69+1)/$NU$22,$NN$22/$NT$22)),0)</f>
        <v/>
      </c>
      <c r="BV22" s="228">
        <f>IF(AND(70&gt;=$NR$22,70&lt;=$NS$22),IF($NP$22="Single_Point",IF(70=$NR$22,$NN$22,0),IF($NP$22="Bell_Curve",$NN$22*(70-$NR$22+1)*($NS$22-70+1)/$NU$22,$NN$22/$NT$22)),0)</f>
        <v/>
      </c>
      <c r="BW22" s="228">
        <f>IF(AND(71&gt;=$NR$22,71&lt;=$NS$22),IF($NP$22="Single_Point",IF(71=$NR$22,$NN$22,0),IF($NP$22="Bell_Curve",$NN$22*(71-$NR$22+1)*($NS$22-71+1)/$NU$22,$NN$22/$NT$22)),0)</f>
        <v/>
      </c>
      <c r="BX22" s="228">
        <f>IF(AND(72&gt;=$NR$22,72&lt;=$NS$22),IF($NP$22="Single_Point",IF(72=$NR$22,$NN$22,0),IF($NP$22="Bell_Curve",$NN$22*(72-$NR$22+1)*($NS$22-72+1)/$NU$22,$NN$22/$NT$22)),0)</f>
        <v/>
      </c>
      <c r="BY22" s="228">
        <f>IF(AND(73&gt;=$NR$22,73&lt;=$NS$22),IF($NP$22="Single_Point",IF(73=$NR$22,$NN$22,0),IF($NP$22="Bell_Curve",$NN$22*(73-$NR$22+1)*($NS$22-73+1)/$NU$22,$NN$22/$NT$22)),0)</f>
        <v/>
      </c>
      <c r="BZ22" s="228">
        <f>IF(AND(74&gt;=$NR$22,74&lt;=$NS$22),IF($NP$22="Single_Point",IF(74=$NR$22,$NN$22,0),IF($NP$22="Bell_Curve",$NN$22*(74-$NR$22+1)*($NS$22-74+1)/$NU$22,$NN$22/$NT$22)),0)</f>
        <v/>
      </c>
      <c r="CA22" s="228">
        <f>IF(AND(75&gt;=$NR$22,75&lt;=$NS$22),IF($NP$22="Single_Point",IF(75=$NR$22,$NN$22,0),IF($NP$22="Bell_Curve",$NN$22*(75-$NR$22+1)*($NS$22-75+1)/$NU$22,$NN$22/$NT$22)),0)</f>
        <v/>
      </c>
      <c r="CB22" s="228">
        <f>IF(AND(76&gt;=$NR$22,76&lt;=$NS$22),IF($NP$22="Single_Point",IF(76=$NR$22,$NN$22,0),IF($NP$22="Bell_Curve",$NN$22*(76-$NR$22+1)*($NS$22-76+1)/$NU$22,$NN$22/$NT$22)),0)</f>
        <v/>
      </c>
      <c r="CC22" s="228">
        <f>IF(AND(77&gt;=$NR$22,77&lt;=$NS$22),IF($NP$22="Single_Point",IF(77=$NR$22,$NN$22,0),IF($NP$22="Bell_Curve",$NN$22*(77-$NR$22+1)*($NS$22-77+1)/$NU$22,$NN$22/$NT$22)),0)</f>
        <v/>
      </c>
      <c r="CD22" s="228">
        <f>IF(AND(78&gt;=$NR$22,78&lt;=$NS$22),IF($NP$22="Single_Point",IF(78=$NR$22,$NN$22,0),IF($NP$22="Bell_Curve",$NN$22*(78-$NR$22+1)*($NS$22-78+1)/$NU$22,$NN$22/$NT$22)),0)</f>
        <v/>
      </c>
      <c r="CE22" s="228">
        <f>IF(AND(79&gt;=$NR$22,79&lt;=$NS$22),IF($NP$22="Single_Point",IF(79=$NR$22,$NN$22,0),IF($NP$22="Bell_Curve",$NN$22*(79-$NR$22+1)*($NS$22-79+1)/$NU$22,$NN$22/$NT$22)),0)</f>
        <v/>
      </c>
      <c r="CF22" s="228">
        <f>IF(AND(80&gt;=$NR$22,80&lt;=$NS$22),IF($NP$22="Single_Point",IF(80=$NR$22,$NN$22,0),IF($NP$22="Bell_Curve",$NN$22*(80-$NR$22+1)*($NS$22-80+1)/$NU$22,$NN$22/$NT$22)),0)</f>
        <v/>
      </c>
      <c r="CG22" s="228">
        <f>IF(AND(81&gt;=$NR$22,81&lt;=$NS$22),IF($NP$22="Single_Point",IF(81=$NR$22,$NN$22,0),IF($NP$22="Bell_Curve",$NN$22*(81-$NR$22+1)*($NS$22-81+1)/$NU$22,$NN$22/$NT$22)),0)</f>
        <v/>
      </c>
      <c r="CH22" s="228">
        <f>IF(AND(82&gt;=$NR$22,82&lt;=$NS$22),IF($NP$22="Single_Point",IF(82=$NR$22,$NN$22,0),IF($NP$22="Bell_Curve",$NN$22*(82-$NR$22+1)*($NS$22-82+1)/$NU$22,$NN$22/$NT$22)),0)</f>
        <v/>
      </c>
      <c r="CI22" s="228">
        <f>IF(AND(83&gt;=$NR$22,83&lt;=$NS$22),IF($NP$22="Single_Point",IF(83=$NR$22,$NN$22,0),IF($NP$22="Bell_Curve",$NN$22*(83-$NR$22+1)*($NS$22-83+1)/$NU$22,$NN$22/$NT$22)),0)</f>
        <v/>
      </c>
      <c r="CJ22" s="228">
        <f>IF(AND(84&gt;=$NR$22,84&lt;=$NS$22),IF($NP$22="Single_Point",IF(84=$NR$22,$NN$22,0),IF($NP$22="Bell_Curve",$NN$22*(84-$NR$22+1)*($NS$22-84+1)/$NU$22,$NN$22/$NT$22)),0)</f>
        <v/>
      </c>
      <c r="CK22" s="228">
        <f>IF(AND(85&gt;=$NR$22,85&lt;=$NS$22),IF($NP$22="Single_Point",IF(85=$NR$22,$NN$22,0),IF($NP$22="Bell_Curve",$NN$22*(85-$NR$22+1)*($NS$22-85+1)/$NU$22,$NN$22/$NT$22)),0)</f>
        <v/>
      </c>
      <c r="CL22" s="228">
        <f>IF(AND(86&gt;=$NR$22,86&lt;=$NS$22),IF($NP$22="Single_Point",IF(86=$NR$22,$NN$22,0),IF($NP$22="Bell_Curve",$NN$22*(86-$NR$22+1)*($NS$22-86+1)/$NU$22,$NN$22/$NT$22)),0)</f>
        <v/>
      </c>
      <c r="CM22" s="228">
        <f>IF(AND(87&gt;=$NR$22,87&lt;=$NS$22),IF($NP$22="Single_Point",IF(87=$NR$22,$NN$22,0),IF($NP$22="Bell_Curve",$NN$22*(87-$NR$22+1)*($NS$22-87+1)/$NU$22,$NN$22/$NT$22)),0)</f>
        <v/>
      </c>
      <c r="CN22" s="228">
        <f>IF(AND(88&gt;=$NR$22,88&lt;=$NS$22),IF($NP$22="Single_Point",IF(88=$NR$22,$NN$22,0),IF($NP$22="Bell_Curve",$NN$22*(88-$NR$22+1)*($NS$22-88+1)/$NU$22,$NN$22/$NT$22)),0)</f>
        <v/>
      </c>
      <c r="CO22" s="228">
        <f>IF(AND(89&gt;=$NR$22,89&lt;=$NS$22),IF($NP$22="Single_Point",IF(89=$NR$22,$NN$22,0),IF($NP$22="Bell_Curve",$NN$22*(89-$NR$22+1)*($NS$22-89+1)/$NU$22,$NN$22/$NT$22)),0)</f>
        <v/>
      </c>
      <c r="CP22" s="228">
        <f>IF(AND(90&gt;=$NR$22,90&lt;=$NS$22),IF($NP$22="Single_Point",IF(90=$NR$22,$NN$22,0),IF($NP$22="Bell_Curve",$NN$22*(90-$NR$22+1)*($NS$22-90+1)/$NU$22,$NN$22/$NT$22)),0)</f>
        <v/>
      </c>
      <c r="CQ22" s="228">
        <f>IF(AND(91&gt;=$NR$22,91&lt;=$NS$22),IF($NP$22="Single_Point",IF(91=$NR$22,$NN$22,0),IF($NP$22="Bell_Curve",$NN$22*(91-$NR$22+1)*($NS$22-91+1)/$NU$22,$NN$22/$NT$22)),0)</f>
        <v/>
      </c>
      <c r="CR22" s="228">
        <f>IF(AND(92&gt;=$NR$22,92&lt;=$NS$22),IF($NP$22="Single_Point",IF(92=$NR$22,$NN$22,0),IF($NP$22="Bell_Curve",$NN$22*(92-$NR$22+1)*($NS$22-92+1)/$NU$22,$NN$22/$NT$22)),0)</f>
        <v/>
      </c>
      <c r="CS22" s="228">
        <f>IF(AND(93&gt;=$NR$22,93&lt;=$NS$22),IF($NP$22="Single_Point",IF(93=$NR$22,$NN$22,0),IF($NP$22="Bell_Curve",$NN$22*(93-$NR$22+1)*($NS$22-93+1)/$NU$22,$NN$22/$NT$22)),0)</f>
        <v/>
      </c>
      <c r="CT22" s="228">
        <f>IF(AND(94&gt;=$NR$22,94&lt;=$NS$22),IF($NP$22="Single_Point",IF(94=$NR$22,$NN$22,0),IF($NP$22="Bell_Curve",$NN$22*(94-$NR$22+1)*($NS$22-94+1)/$NU$22,$NN$22/$NT$22)),0)</f>
        <v/>
      </c>
      <c r="CU22" s="228">
        <f>IF(AND(95&gt;=$NR$22,95&lt;=$NS$22),IF($NP$22="Single_Point",IF(95=$NR$22,$NN$22,0),IF($NP$22="Bell_Curve",$NN$22*(95-$NR$22+1)*($NS$22-95+1)/$NU$22,$NN$22/$NT$22)),0)</f>
        <v/>
      </c>
      <c r="CV22" s="228">
        <f>IF(AND(96&gt;=$NR$22,96&lt;=$NS$22),IF($NP$22="Single_Point",IF(96=$NR$22,$NN$22,0),IF($NP$22="Bell_Curve",$NN$22*(96-$NR$22+1)*($NS$22-96+1)/$NU$22,$NN$22/$NT$22)),0)</f>
        <v/>
      </c>
      <c r="CW22" s="228">
        <f>IF(AND(97&gt;=$NR$22,97&lt;=$NS$22),IF($NP$22="Single_Point",IF(97=$NR$22,$NN$22,0),IF($NP$22="Bell_Curve",$NN$22*(97-$NR$22+1)*($NS$22-97+1)/$NU$22,$NN$22/$NT$22)),0)</f>
        <v/>
      </c>
      <c r="CX22" s="228">
        <f>IF(AND(98&gt;=$NR$22,98&lt;=$NS$22),IF($NP$22="Single_Point",IF(98=$NR$22,$NN$22,0),IF($NP$22="Bell_Curve",$NN$22*(98-$NR$22+1)*($NS$22-98+1)/$NU$22,$NN$22/$NT$22)),0)</f>
        <v/>
      </c>
      <c r="CY22" s="228">
        <f>IF(AND(99&gt;=$NR$22,99&lt;=$NS$22),IF($NP$22="Single_Point",IF(99=$NR$22,$NN$22,0),IF($NP$22="Bell_Curve",$NN$22*(99-$NR$22+1)*($NS$22-99+1)/$NU$22,$NN$22/$NT$22)),0)</f>
        <v/>
      </c>
      <c r="CZ22" s="228">
        <f>IF(AND(100&gt;=$NR$22,100&lt;=$NS$22),IF($NP$22="Single_Point",IF(100=$NR$22,$NN$22,0),IF($NP$22="Bell_Curve",$NN$22*(100-$NR$22+1)*($NS$22-100+1)/$NU$22,$NN$22/$NT$22)),0)</f>
        <v/>
      </c>
      <c r="DA22" s="228">
        <f>IF(AND(101&gt;=$NR$22,101&lt;=$NS$22),IF($NP$22="Single_Point",IF(101=$NR$22,$NN$22,0),IF($NP$22="Bell_Curve",$NN$22*(101-$NR$22+1)*($NS$22-101+1)/$NU$22,$NN$22/$NT$22)),0)</f>
        <v/>
      </c>
      <c r="DB22" s="228">
        <f>IF(AND(102&gt;=$NR$22,102&lt;=$NS$22),IF($NP$22="Single_Point",IF(102=$NR$22,$NN$22,0),IF($NP$22="Bell_Curve",$NN$22*(102-$NR$22+1)*($NS$22-102+1)/$NU$22,$NN$22/$NT$22)),0)</f>
        <v/>
      </c>
      <c r="DC22" s="228">
        <f>IF(AND(103&gt;=$NR$22,103&lt;=$NS$22),IF($NP$22="Single_Point",IF(103=$NR$22,$NN$22,0),IF($NP$22="Bell_Curve",$NN$22*(103-$NR$22+1)*($NS$22-103+1)/$NU$22,$NN$22/$NT$22)),0)</f>
        <v/>
      </c>
      <c r="DD22" s="228">
        <f>IF(AND(104&gt;=$NR$22,104&lt;=$NS$22),IF($NP$22="Single_Point",IF(104=$NR$22,$NN$22,0),IF($NP$22="Bell_Curve",$NN$22*(104-$NR$22+1)*($NS$22-104+1)/$NU$22,$NN$22/$NT$22)),0)</f>
        <v/>
      </c>
      <c r="DE22" s="228">
        <f>IF(AND(105&gt;=$NR$22,105&lt;=$NS$22),IF($NP$22="Single_Point",IF(105=$NR$22,$NN$22,0),IF($NP$22="Bell_Curve",$NN$22*(105-$NR$22+1)*($NS$22-105+1)/$NU$22,$NN$22/$NT$22)),0)</f>
        <v/>
      </c>
      <c r="DF22" s="228">
        <f>IF(AND(106&gt;=$NR$22,106&lt;=$NS$22),IF($NP$22="Single_Point",IF(106=$NR$22,$NN$22,0),IF($NP$22="Bell_Curve",$NN$22*(106-$NR$22+1)*($NS$22-106+1)/$NU$22,$NN$22/$NT$22)),0)</f>
        <v/>
      </c>
      <c r="DG22" s="228">
        <f>IF(AND(107&gt;=$NR$22,107&lt;=$NS$22),IF($NP$22="Single_Point",IF(107=$NR$22,$NN$22,0),IF($NP$22="Bell_Curve",$NN$22*(107-$NR$22+1)*($NS$22-107+1)/$NU$22,$NN$22/$NT$22)),0)</f>
        <v/>
      </c>
      <c r="DH22" s="228">
        <f>IF(AND(108&gt;=$NR$22,108&lt;=$NS$22),IF($NP$22="Single_Point",IF(108=$NR$22,$NN$22,0),IF($NP$22="Bell_Curve",$NN$22*(108-$NR$22+1)*($NS$22-108+1)/$NU$22,$NN$22/$NT$22)),0)</f>
        <v/>
      </c>
      <c r="DI22" s="228">
        <f>IF(AND(109&gt;=$NR$22,109&lt;=$NS$22),IF($NP$22="Single_Point",IF(109=$NR$22,$NN$22,0),IF($NP$22="Bell_Curve",$NN$22*(109-$NR$22+1)*($NS$22-109+1)/$NU$22,$NN$22/$NT$22)),0)</f>
        <v/>
      </c>
      <c r="DJ22" s="228">
        <f>IF(AND(110&gt;=$NR$22,110&lt;=$NS$22),IF($NP$22="Single_Point",IF(110=$NR$22,$NN$22,0),IF($NP$22="Bell_Curve",$NN$22*(110-$NR$22+1)*($NS$22-110+1)/$NU$22,$NN$22/$NT$22)),0)</f>
        <v/>
      </c>
      <c r="DK22" s="228">
        <f>IF(AND(111&gt;=$NR$22,111&lt;=$NS$22),IF($NP$22="Single_Point",IF(111=$NR$22,$NN$22,0),IF($NP$22="Bell_Curve",$NN$22*(111-$NR$22+1)*($NS$22-111+1)/$NU$22,$NN$22/$NT$22)),0)</f>
        <v/>
      </c>
      <c r="DL22" s="228">
        <f>IF(AND(112&gt;=$NR$22,112&lt;=$NS$22),IF($NP$22="Single_Point",IF(112=$NR$22,$NN$22,0),IF($NP$22="Bell_Curve",$NN$22*(112-$NR$22+1)*($NS$22-112+1)/$NU$22,$NN$22/$NT$22)),0)</f>
        <v/>
      </c>
      <c r="DM22" s="228">
        <f>IF(AND(113&gt;=$NR$22,113&lt;=$NS$22),IF($NP$22="Single_Point",IF(113=$NR$22,$NN$22,0),IF($NP$22="Bell_Curve",$NN$22*(113-$NR$22+1)*($NS$22-113+1)/$NU$22,$NN$22/$NT$22)),0)</f>
        <v/>
      </c>
      <c r="DN22" s="228">
        <f>IF(AND(114&gt;=$NR$22,114&lt;=$NS$22),IF($NP$22="Single_Point",IF(114=$NR$22,$NN$22,0),IF($NP$22="Bell_Curve",$NN$22*(114-$NR$22+1)*($NS$22-114+1)/$NU$22,$NN$22/$NT$22)),0)</f>
        <v/>
      </c>
      <c r="DO22" s="228">
        <f>IF(AND(115&gt;=$NR$22,115&lt;=$NS$22),IF($NP$22="Single_Point",IF(115=$NR$22,$NN$22,0),IF($NP$22="Bell_Curve",$NN$22*(115-$NR$22+1)*($NS$22-115+1)/$NU$22,$NN$22/$NT$22)),0)</f>
        <v/>
      </c>
      <c r="DP22" s="228">
        <f>IF(AND(116&gt;=$NR$22,116&lt;=$NS$22),IF($NP$22="Single_Point",IF(116=$NR$22,$NN$22,0),IF($NP$22="Bell_Curve",$NN$22*(116-$NR$22+1)*($NS$22-116+1)/$NU$22,$NN$22/$NT$22)),0)</f>
        <v/>
      </c>
      <c r="DQ22" s="228">
        <f>IF(AND(117&gt;=$NR$22,117&lt;=$NS$22),IF($NP$22="Single_Point",IF(117=$NR$22,$NN$22,0),IF($NP$22="Bell_Curve",$NN$22*(117-$NR$22+1)*($NS$22-117+1)/$NU$22,$NN$22/$NT$22)),0)</f>
        <v/>
      </c>
      <c r="DR22" s="228">
        <f>IF(AND(118&gt;=$NR$22,118&lt;=$NS$22),IF($NP$22="Single_Point",IF(118=$NR$22,$NN$22,0),IF($NP$22="Bell_Curve",$NN$22*(118-$NR$22+1)*($NS$22-118+1)/$NU$22,$NN$22/$NT$22)),0)</f>
        <v/>
      </c>
      <c r="DS22" s="228">
        <f>IF(AND(119&gt;=$NR$22,119&lt;=$NS$22),IF($NP$22="Single_Point",IF(119=$NR$22,$NN$22,0),IF($NP$22="Bell_Curve",$NN$22*(119-$NR$22+1)*($NS$22-119+1)/$NU$22,$NN$22/$NT$22)),0)</f>
        <v/>
      </c>
      <c r="DT22" s="228">
        <f>IF(AND(120&gt;=$NR$22,120&lt;=$NS$22),IF($NP$22="Single_Point",IF(120=$NR$22,$NN$22,0),IF($NP$22="Bell_Curve",$NN$22*(120-$NR$22+1)*($NS$22-120+1)/$NU$22,$NN$22/$NT$22)),0)</f>
        <v/>
      </c>
      <c r="DU22" s="228">
        <f>IF(AND(121&gt;=$NR$22,121&lt;=$NS$22),IF($NP$22="Single_Point",IF(121=$NR$22,$NN$22,0),IF($NP$22="Bell_Curve",$NN$22*(121-$NR$22+1)*($NS$22-121+1)/$NU$22,$NN$22/$NT$22)),0)</f>
        <v/>
      </c>
      <c r="DV22" s="228">
        <f>IF(AND(122&gt;=$NR$22,122&lt;=$NS$22),IF($NP$22="Single_Point",IF(122=$NR$22,$NN$22,0),IF($NP$22="Bell_Curve",$NN$22*(122-$NR$22+1)*($NS$22-122+1)/$NU$22,$NN$22/$NT$22)),0)</f>
        <v/>
      </c>
      <c r="DW22" s="228">
        <f>IF(AND(123&gt;=$NR$22,123&lt;=$NS$22),IF($NP$22="Single_Point",IF(123=$NR$22,$NN$22,0),IF($NP$22="Bell_Curve",$NN$22*(123-$NR$22+1)*($NS$22-123+1)/$NU$22,$NN$22/$NT$22)),0)</f>
        <v/>
      </c>
      <c r="DX22" s="228">
        <f>IF(AND(124&gt;=$NR$22,124&lt;=$NS$22),IF($NP$22="Single_Point",IF(124=$NR$22,$NN$22,0),IF($NP$22="Bell_Curve",$NN$22*(124-$NR$22+1)*($NS$22-124+1)/$NU$22,$NN$22/$NT$22)),0)</f>
        <v/>
      </c>
      <c r="DY22" s="228">
        <f>IF(AND(125&gt;=$NR$22,125&lt;=$NS$22),IF($NP$22="Single_Point",IF(125=$NR$22,$NN$22,0),IF($NP$22="Bell_Curve",$NN$22*(125-$NR$22+1)*($NS$22-125+1)/$NU$22,$NN$22/$NT$22)),0)</f>
        <v/>
      </c>
      <c r="DZ22" s="228">
        <f>IF(AND(126&gt;=$NR$22,126&lt;=$NS$22),IF($NP$22="Single_Point",IF(126=$NR$22,$NN$22,0),IF($NP$22="Bell_Curve",$NN$22*(126-$NR$22+1)*($NS$22-126+1)/$NU$22,$NN$22/$NT$22)),0)</f>
        <v/>
      </c>
      <c r="EA22" s="228">
        <f>IF(AND(127&gt;=$NR$22,127&lt;=$NS$22),IF($NP$22="Single_Point",IF(127=$NR$22,$NN$22,0),IF($NP$22="Bell_Curve",$NN$22*(127-$NR$22+1)*($NS$22-127+1)/$NU$22,$NN$22/$NT$22)),0)</f>
        <v/>
      </c>
      <c r="EB22" s="228">
        <f>IF(AND(128&gt;=$NR$22,128&lt;=$NS$22),IF($NP$22="Single_Point",IF(128=$NR$22,$NN$22,0),IF($NP$22="Bell_Curve",$NN$22*(128-$NR$22+1)*($NS$22-128+1)/$NU$22,$NN$22/$NT$22)),0)</f>
        <v/>
      </c>
      <c r="EC22" s="228">
        <f>IF(AND(129&gt;=$NR$22,129&lt;=$NS$22),IF($NP$22="Single_Point",IF(129=$NR$22,$NN$22,0),IF($NP$22="Bell_Curve",$NN$22*(129-$NR$22+1)*($NS$22-129+1)/$NU$22,$NN$22/$NT$22)),0)</f>
        <v/>
      </c>
      <c r="ED22" s="228">
        <f>IF(AND(130&gt;=$NR$22,130&lt;=$NS$22),IF($NP$22="Single_Point",IF(130=$NR$22,$NN$22,0),IF($NP$22="Bell_Curve",$NN$22*(130-$NR$22+1)*($NS$22-130+1)/$NU$22,$NN$22/$NT$22)),0)</f>
        <v/>
      </c>
      <c r="EE22" s="228">
        <f>IF(AND(131&gt;=$NR$22,131&lt;=$NS$22),IF($NP$22="Single_Point",IF(131=$NR$22,$NN$22,0),IF($NP$22="Bell_Curve",$NN$22*(131-$NR$22+1)*($NS$22-131+1)/$NU$22,$NN$22/$NT$22)),0)</f>
        <v/>
      </c>
      <c r="EF22" s="228">
        <f>IF(AND(132&gt;=$NR$22,132&lt;=$NS$22),IF($NP$22="Single_Point",IF(132=$NR$22,$NN$22,0),IF($NP$22="Bell_Curve",$NN$22*(132-$NR$22+1)*($NS$22-132+1)/$NU$22,$NN$22/$NT$22)),0)</f>
        <v/>
      </c>
      <c r="EG22" s="228">
        <f>IF(AND(133&gt;=$NR$22,133&lt;=$NS$22),IF($NP$22="Single_Point",IF(133=$NR$22,$NN$22,0),IF($NP$22="Bell_Curve",$NN$22*(133-$NR$22+1)*($NS$22-133+1)/$NU$22,$NN$22/$NT$22)),0)</f>
        <v/>
      </c>
      <c r="EH22" s="228">
        <f>IF(AND(134&gt;=$NR$22,134&lt;=$NS$22),IF($NP$22="Single_Point",IF(134=$NR$22,$NN$22,0),IF($NP$22="Bell_Curve",$NN$22*(134-$NR$22+1)*($NS$22-134+1)/$NU$22,$NN$22/$NT$22)),0)</f>
        <v/>
      </c>
      <c r="EI22" s="228">
        <f>IF(AND(135&gt;=$NR$22,135&lt;=$NS$22),IF($NP$22="Single_Point",IF(135=$NR$22,$NN$22,0),IF($NP$22="Bell_Curve",$NN$22*(135-$NR$22+1)*($NS$22-135+1)/$NU$22,$NN$22/$NT$22)),0)</f>
        <v/>
      </c>
      <c r="EJ22" s="228">
        <f>IF(AND(136&gt;=$NR$22,136&lt;=$NS$22),IF($NP$22="Single_Point",IF(136=$NR$22,$NN$22,0),IF($NP$22="Bell_Curve",$NN$22*(136-$NR$22+1)*($NS$22-136+1)/$NU$22,$NN$22/$NT$22)),0)</f>
        <v/>
      </c>
      <c r="EK22" s="228">
        <f>IF(AND(137&gt;=$NR$22,137&lt;=$NS$22),IF($NP$22="Single_Point",IF(137=$NR$22,$NN$22,0),IF($NP$22="Bell_Curve",$NN$22*(137-$NR$22+1)*($NS$22-137+1)/$NU$22,$NN$22/$NT$22)),0)</f>
        <v/>
      </c>
      <c r="EL22" s="228">
        <f>IF(AND(138&gt;=$NR$22,138&lt;=$NS$22),IF($NP$22="Single_Point",IF(138=$NR$22,$NN$22,0),IF($NP$22="Bell_Curve",$NN$22*(138-$NR$22+1)*($NS$22-138+1)/$NU$22,$NN$22/$NT$22)),0)</f>
        <v/>
      </c>
      <c r="EM22" s="228">
        <f>IF(AND(139&gt;=$NR$22,139&lt;=$NS$22),IF($NP$22="Single_Point",IF(139=$NR$22,$NN$22,0),IF($NP$22="Bell_Curve",$NN$22*(139-$NR$22+1)*($NS$22-139+1)/$NU$22,$NN$22/$NT$22)),0)</f>
        <v/>
      </c>
      <c r="EN22" s="228">
        <f>IF(AND(140&gt;=$NR$22,140&lt;=$NS$22),IF($NP$22="Single_Point",IF(140=$NR$22,$NN$22,0),IF($NP$22="Bell_Curve",$NN$22*(140-$NR$22+1)*($NS$22-140+1)/$NU$22,$NN$22/$NT$22)),0)</f>
        <v/>
      </c>
      <c r="EO22" s="228">
        <f>IF(AND(141&gt;=$NR$22,141&lt;=$NS$22),IF($NP$22="Single_Point",IF(141=$NR$22,$NN$22,0),IF($NP$22="Bell_Curve",$NN$22*(141-$NR$22+1)*($NS$22-141+1)/$NU$22,$NN$22/$NT$22)),0)</f>
        <v/>
      </c>
      <c r="EP22" s="228">
        <f>IF(AND(142&gt;=$NR$22,142&lt;=$NS$22),IF($NP$22="Single_Point",IF(142=$NR$22,$NN$22,0),IF($NP$22="Bell_Curve",$NN$22*(142-$NR$22+1)*($NS$22-142+1)/$NU$22,$NN$22/$NT$22)),0)</f>
        <v/>
      </c>
      <c r="EQ22" s="228">
        <f>IF(AND(143&gt;=$NR$22,143&lt;=$NS$22),IF($NP$22="Single_Point",IF(143=$NR$22,$NN$22,0),IF($NP$22="Bell_Curve",$NN$22*(143-$NR$22+1)*($NS$22-143+1)/$NU$22,$NN$22/$NT$22)),0)</f>
        <v/>
      </c>
      <c r="ER22" s="228">
        <f>IF(AND(144&gt;=$NR$22,144&lt;=$NS$22),IF($NP$22="Single_Point",IF(144=$NR$22,$NN$22,0),IF($NP$22="Bell_Curve",$NN$22*(144-$NR$22+1)*($NS$22-144+1)/$NU$22,$NN$22/$NT$22)),0)</f>
        <v/>
      </c>
      <c r="ES22" s="228">
        <f>IF(AND(145&gt;=$NR$22,145&lt;=$NS$22),IF($NP$22="Single_Point",IF(145=$NR$22,$NN$22,0),IF($NP$22="Bell_Curve",$NN$22*(145-$NR$22+1)*($NS$22-145+1)/$NU$22,$NN$22/$NT$22)),0)</f>
        <v/>
      </c>
      <c r="ET22" s="228">
        <f>IF(AND(146&gt;=$NR$22,146&lt;=$NS$22),IF($NP$22="Single_Point",IF(146=$NR$22,$NN$22,0),IF($NP$22="Bell_Curve",$NN$22*(146-$NR$22+1)*($NS$22-146+1)/$NU$22,$NN$22/$NT$22)),0)</f>
        <v/>
      </c>
      <c r="EU22" s="228">
        <f>IF(AND(147&gt;=$NR$22,147&lt;=$NS$22),IF($NP$22="Single_Point",IF(147=$NR$22,$NN$22,0),IF($NP$22="Bell_Curve",$NN$22*(147-$NR$22+1)*($NS$22-147+1)/$NU$22,$NN$22/$NT$22)),0)</f>
        <v/>
      </c>
      <c r="EV22" s="228">
        <f>IF(AND(148&gt;=$NR$22,148&lt;=$NS$22),IF($NP$22="Single_Point",IF(148=$NR$22,$NN$22,0),IF($NP$22="Bell_Curve",$NN$22*(148-$NR$22+1)*($NS$22-148+1)/$NU$22,$NN$22/$NT$22)),0)</f>
        <v/>
      </c>
      <c r="EW22" s="228">
        <f>IF(AND(149&gt;=$NR$22,149&lt;=$NS$22),IF($NP$22="Single_Point",IF(149=$NR$22,$NN$22,0),IF($NP$22="Bell_Curve",$NN$22*(149-$NR$22+1)*($NS$22-149+1)/$NU$22,$NN$22/$NT$22)),0)</f>
        <v/>
      </c>
      <c r="EX22" s="228">
        <f>IF(AND(150&gt;=$NR$22,150&lt;=$NS$22),IF($NP$22="Single_Point",IF(150=$NR$22,$NN$22,0),IF($NP$22="Bell_Curve",$NN$22*(150-$NR$22+1)*($NS$22-150+1)/$NU$22,$NN$22/$NT$22)),0)</f>
        <v/>
      </c>
      <c r="EY22" s="228">
        <f>IF(AND(151&gt;=$NR$22,151&lt;=$NS$22),IF($NP$22="Single_Point",IF(151=$NR$22,$NN$22,0),IF($NP$22="Bell_Curve",$NN$22*(151-$NR$22+1)*($NS$22-151+1)/$NU$22,$NN$22/$NT$22)),0)</f>
        <v/>
      </c>
      <c r="EZ22" s="228">
        <f>IF(AND(152&gt;=$NR$22,152&lt;=$NS$22),IF($NP$22="Single_Point",IF(152=$NR$22,$NN$22,0),IF($NP$22="Bell_Curve",$NN$22*(152-$NR$22+1)*($NS$22-152+1)/$NU$22,$NN$22/$NT$22)),0)</f>
        <v/>
      </c>
      <c r="FA22" s="228">
        <f>IF(AND(153&gt;=$NR$22,153&lt;=$NS$22),IF($NP$22="Single_Point",IF(153=$NR$22,$NN$22,0),IF($NP$22="Bell_Curve",$NN$22*(153-$NR$22+1)*($NS$22-153+1)/$NU$22,$NN$22/$NT$22)),0)</f>
        <v/>
      </c>
      <c r="FB22" s="228">
        <f>IF(AND(154&gt;=$NR$22,154&lt;=$NS$22),IF($NP$22="Single_Point",IF(154=$NR$22,$NN$22,0),IF($NP$22="Bell_Curve",$NN$22*(154-$NR$22+1)*($NS$22-154+1)/$NU$22,$NN$22/$NT$22)),0)</f>
        <v/>
      </c>
      <c r="FC22" s="228">
        <f>IF(AND(155&gt;=$NR$22,155&lt;=$NS$22),IF($NP$22="Single_Point",IF(155=$NR$22,$NN$22,0),IF($NP$22="Bell_Curve",$NN$22*(155-$NR$22+1)*($NS$22-155+1)/$NU$22,$NN$22/$NT$22)),0)</f>
        <v/>
      </c>
      <c r="FD22" s="228">
        <f>IF(AND(156&gt;=$NR$22,156&lt;=$NS$22),IF($NP$22="Single_Point",IF(156=$NR$22,$NN$22,0),IF($NP$22="Bell_Curve",$NN$22*(156-$NR$22+1)*($NS$22-156+1)/$NU$22,$NN$22/$NT$22)),0)</f>
        <v/>
      </c>
      <c r="FE22" s="228">
        <f>IF(AND(157&gt;=$NR$22,157&lt;=$NS$22),IF($NP$22="Single_Point",IF(157=$NR$22,$NN$22,0),IF($NP$22="Bell_Curve",$NN$22*(157-$NR$22+1)*($NS$22-157+1)/$NU$22,$NN$22/$NT$22)),0)</f>
        <v/>
      </c>
      <c r="FF22" s="228">
        <f>IF(AND(158&gt;=$NR$22,158&lt;=$NS$22),IF($NP$22="Single_Point",IF(158=$NR$22,$NN$22,0),IF($NP$22="Bell_Curve",$NN$22*(158-$NR$22+1)*($NS$22-158+1)/$NU$22,$NN$22/$NT$22)),0)</f>
        <v/>
      </c>
      <c r="FG22" s="228">
        <f>IF(AND(159&gt;=$NR$22,159&lt;=$NS$22),IF($NP$22="Single_Point",IF(159=$NR$22,$NN$22,0),IF($NP$22="Bell_Curve",$NN$22*(159-$NR$22+1)*($NS$22-159+1)/$NU$22,$NN$22/$NT$22)),0)</f>
        <v/>
      </c>
      <c r="FH22" s="228">
        <f>IF(AND(160&gt;=$NR$22,160&lt;=$NS$22),IF($NP$22="Single_Point",IF(160=$NR$22,$NN$22,0),IF($NP$22="Bell_Curve",$NN$22*(160-$NR$22+1)*($NS$22-160+1)/$NU$22,$NN$22/$NT$22)),0)</f>
        <v/>
      </c>
      <c r="FI22" s="228">
        <f>IF(AND(161&gt;=$NR$22,161&lt;=$NS$22),IF($NP$22="Single_Point",IF(161=$NR$22,$NN$22,0),IF($NP$22="Bell_Curve",$NN$22*(161-$NR$22+1)*($NS$22-161+1)/$NU$22,$NN$22/$NT$22)),0)</f>
        <v/>
      </c>
      <c r="FJ22" s="228">
        <f>IF(AND(162&gt;=$NR$22,162&lt;=$NS$22),IF($NP$22="Single_Point",IF(162=$NR$22,$NN$22,0),IF($NP$22="Bell_Curve",$NN$22*(162-$NR$22+1)*($NS$22-162+1)/$NU$22,$NN$22/$NT$22)),0)</f>
        <v/>
      </c>
      <c r="FK22" s="228">
        <f>IF(AND(163&gt;=$NR$22,163&lt;=$NS$22),IF($NP$22="Single_Point",IF(163=$NR$22,$NN$22,0),IF($NP$22="Bell_Curve",$NN$22*(163-$NR$22+1)*($NS$22-163+1)/$NU$22,$NN$22/$NT$22)),0)</f>
        <v/>
      </c>
      <c r="FL22" s="228">
        <f>IF(AND(164&gt;=$NR$22,164&lt;=$NS$22),IF($NP$22="Single_Point",IF(164=$NR$22,$NN$22,0),IF($NP$22="Bell_Curve",$NN$22*(164-$NR$22+1)*($NS$22-164+1)/$NU$22,$NN$22/$NT$22)),0)</f>
        <v/>
      </c>
      <c r="FM22" s="228">
        <f>IF(AND(165&gt;=$NR$22,165&lt;=$NS$22),IF($NP$22="Single_Point",IF(165=$NR$22,$NN$22,0),IF($NP$22="Bell_Curve",$NN$22*(165-$NR$22+1)*($NS$22-165+1)/$NU$22,$NN$22/$NT$22)),0)</f>
        <v/>
      </c>
      <c r="FN22" s="228">
        <f>IF(AND(166&gt;=$NR$22,166&lt;=$NS$22),IF($NP$22="Single_Point",IF(166=$NR$22,$NN$22,0),IF($NP$22="Bell_Curve",$NN$22*(166-$NR$22+1)*($NS$22-166+1)/$NU$22,$NN$22/$NT$22)),0)</f>
        <v/>
      </c>
      <c r="FO22" s="228">
        <f>IF(AND(167&gt;=$NR$22,167&lt;=$NS$22),IF($NP$22="Single_Point",IF(167=$NR$22,$NN$22,0),IF($NP$22="Bell_Curve",$NN$22*(167-$NR$22+1)*($NS$22-167+1)/$NU$22,$NN$22/$NT$22)),0)</f>
        <v/>
      </c>
      <c r="FP22" s="228">
        <f>IF(AND(168&gt;=$NR$22,168&lt;=$NS$22),IF($NP$22="Single_Point",IF(168=$NR$22,$NN$22,0),IF($NP$22="Bell_Curve",$NN$22*(168-$NR$22+1)*($NS$22-168+1)/$NU$22,$NN$22/$NT$22)),0)</f>
        <v/>
      </c>
      <c r="FQ22" s="228">
        <f>IF(AND(169&gt;=$NR$22,169&lt;=$NS$22),IF($NP$22="Single_Point",IF(169=$NR$22,$NN$22,0),IF($NP$22="Bell_Curve",$NN$22*(169-$NR$22+1)*($NS$22-169+1)/$NU$22,$NN$22/$NT$22)),0)</f>
        <v/>
      </c>
      <c r="FR22" s="228">
        <f>IF(AND(170&gt;=$NR$22,170&lt;=$NS$22),IF($NP$22="Single_Point",IF(170=$NR$22,$NN$22,0),IF($NP$22="Bell_Curve",$NN$22*(170-$NR$22+1)*($NS$22-170+1)/$NU$22,$NN$22/$NT$22)),0)</f>
        <v/>
      </c>
      <c r="FS22" s="228">
        <f>IF(AND(171&gt;=$NR$22,171&lt;=$NS$22),IF($NP$22="Single_Point",IF(171=$NR$22,$NN$22,0),IF($NP$22="Bell_Curve",$NN$22*(171-$NR$22+1)*($NS$22-171+1)/$NU$22,$NN$22/$NT$22)),0)</f>
        <v/>
      </c>
      <c r="FT22" s="228">
        <f>IF(AND(172&gt;=$NR$22,172&lt;=$NS$22),IF($NP$22="Single_Point",IF(172=$NR$22,$NN$22,0),IF($NP$22="Bell_Curve",$NN$22*(172-$NR$22+1)*($NS$22-172+1)/$NU$22,$NN$22/$NT$22)),0)</f>
        <v/>
      </c>
      <c r="FU22" s="228">
        <f>IF(AND(173&gt;=$NR$22,173&lt;=$NS$22),IF($NP$22="Single_Point",IF(173=$NR$22,$NN$22,0),IF($NP$22="Bell_Curve",$NN$22*(173-$NR$22+1)*($NS$22-173+1)/$NU$22,$NN$22/$NT$22)),0)</f>
        <v/>
      </c>
      <c r="FV22" s="228">
        <f>IF(AND(174&gt;=$NR$22,174&lt;=$NS$22),IF($NP$22="Single_Point",IF(174=$NR$22,$NN$22,0),IF($NP$22="Bell_Curve",$NN$22*(174-$NR$22+1)*($NS$22-174+1)/$NU$22,$NN$22/$NT$22)),0)</f>
        <v/>
      </c>
      <c r="FW22" s="228">
        <f>IF(AND(175&gt;=$NR$22,175&lt;=$NS$22),IF($NP$22="Single_Point",IF(175=$NR$22,$NN$22,0),IF($NP$22="Bell_Curve",$NN$22*(175-$NR$22+1)*($NS$22-175+1)/$NU$22,$NN$22/$NT$22)),0)</f>
        <v/>
      </c>
      <c r="FX22" s="228">
        <f>IF(AND(176&gt;=$NR$22,176&lt;=$NS$22),IF($NP$22="Single_Point",IF(176=$NR$22,$NN$22,0),IF($NP$22="Bell_Curve",$NN$22*(176-$NR$22+1)*($NS$22-176+1)/$NU$22,$NN$22/$NT$22)),0)</f>
        <v/>
      </c>
      <c r="FY22" s="228">
        <f>IF(AND(177&gt;=$NR$22,177&lt;=$NS$22),IF($NP$22="Single_Point",IF(177=$NR$22,$NN$22,0),IF($NP$22="Bell_Curve",$NN$22*(177-$NR$22+1)*($NS$22-177+1)/$NU$22,$NN$22/$NT$22)),0)</f>
        <v/>
      </c>
      <c r="FZ22" s="228">
        <f>IF(AND(178&gt;=$NR$22,178&lt;=$NS$22),IF($NP$22="Single_Point",IF(178=$NR$22,$NN$22,0),IF($NP$22="Bell_Curve",$NN$22*(178-$NR$22+1)*($NS$22-178+1)/$NU$22,$NN$22/$NT$22)),0)</f>
        <v/>
      </c>
      <c r="GA22" s="228">
        <f>IF(AND(179&gt;=$NR$22,179&lt;=$NS$22),IF($NP$22="Single_Point",IF(179=$NR$22,$NN$22,0),IF($NP$22="Bell_Curve",$NN$22*(179-$NR$22+1)*($NS$22-179+1)/$NU$22,$NN$22/$NT$22)),0)</f>
        <v/>
      </c>
      <c r="GB22" s="228">
        <f>IF(AND(180&gt;=$NR$22,180&lt;=$NS$22),IF($NP$22="Single_Point",IF(180=$NR$22,$NN$22,0),IF($NP$22="Bell_Curve",$NN$22*(180-$NR$22+1)*($NS$22-180+1)/$NU$22,$NN$22/$NT$22)),0)</f>
        <v/>
      </c>
      <c r="GC22" s="228">
        <f>IF(AND(181&gt;=$NR$22,181&lt;=$NS$22),IF($NP$22="Single_Point",IF(181=$NR$22,$NN$22,0),IF($NP$22="Bell_Curve",$NN$22*(181-$NR$22+1)*($NS$22-181+1)/$NU$22,$NN$22/$NT$22)),0)</f>
        <v/>
      </c>
      <c r="GD22" s="228">
        <f>IF(AND(182&gt;=$NR$22,182&lt;=$NS$22),IF($NP$22="Single_Point",IF(182=$NR$22,$NN$22,0),IF($NP$22="Bell_Curve",$NN$22*(182-$NR$22+1)*($NS$22-182+1)/$NU$22,$NN$22/$NT$22)),0)</f>
        <v/>
      </c>
      <c r="GE22" s="228">
        <f>IF(AND(183&gt;=$NR$22,183&lt;=$NS$22),IF($NP$22="Single_Point",IF(183=$NR$22,$NN$22,0),IF($NP$22="Bell_Curve",$NN$22*(183-$NR$22+1)*($NS$22-183+1)/$NU$22,$NN$22/$NT$22)),0)</f>
        <v/>
      </c>
      <c r="GF22" s="228">
        <f>IF(AND(184&gt;=$NR$22,184&lt;=$NS$22),IF($NP$22="Single_Point",IF(184=$NR$22,$NN$22,0),IF($NP$22="Bell_Curve",$NN$22*(184-$NR$22+1)*($NS$22-184+1)/$NU$22,$NN$22/$NT$22)),0)</f>
        <v/>
      </c>
      <c r="GG22" s="228">
        <f>IF(AND(185&gt;=$NR$22,185&lt;=$NS$22),IF($NP$22="Single_Point",IF(185=$NR$22,$NN$22,0),IF($NP$22="Bell_Curve",$NN$22*(185-$NR$22+1)*($NS$22-185+1)/$NU$22,$NN$22/$NT$22)),0)</f>
        <v/>
      </c>
      <c r="GH22" s="228">
        <f>IF(AND(186&gt;=$NR$22,186&lt;=$NS$22),IF($NP$22="Single_Point",IF(186=$NR$22,$NN$22,0),IF($NP$22="Bell_Curve",$NN$22*(186-$NR$22+1)*($NS$22-186+1)/$NU$22,$NN$22/$NT$22)),0)</f>
        <v/>
      </c>
      <c r="GI22" s="228">
        <f>IF(AND(187&gt;=$NR$22,187&lt;=$NS$22),IF($NP$22="Single_Point",IF(187=$NR$22,$NN$22,0),IF($NP$22="Bell_Curve",$NN$22*(187-$NR$22+1)*($NS$22-187+1)/$NU$22,$NN$22/$NT$22)),0)</f>
        <v/>
      </c>
      <c r="GJ22" s="228">
        <f>IF(AND(188&gt;=$NR$22,188&lt;=$NS$22),IF($NP$22="Single_Point",IF(188=$NR$22,$NN$22,0),IF($NP$22="Bell_Curve",$NN$22*(188-$NR$22+1)*($NS$22-188+1)/$NU$22,$NN$22/$NT$22)),0)</f>
        <v/>
      </c>
      <c r="GK22" s="228">
        <f>IF(AND(189&gt;=$NR$22,189&lt;=$NS$22),IF($NP$22="Single_Point",IF(189=$NR$22,$NN$22,0),IF($NP$22="Bell_Curve",$NN$22*(189-$NR$22+1)*($NS$22-189+1)/$NU$22,$NN$22/$NT$22)),0)</f>
        <v/>
      </c>
      <c r="GL22" s="228">
        <f>IF(AND(190&gt;=$NR$22,190&lt;=$NS$22),IF($NP$22="Single_Point",IF(190=$NR$22,$NN$22,0),IF($NP$22="Bell_Curve",$NN$22*(190-$NR$22+1)*($NS$22-190+1)/$NU$22,$NN$22/$NT$22)),0)</f>
        <v/>
      </c>
      <c r="GM22" s="228">
        <f>IF(AND(191&gt;=$NR$22,191&lt;=$NS$22),IF($NP$22="Single_Point",IF(191=$NR$22,$NN$22,0),IF($NP$22="Bell_Curve",$NN$22*(191-$NR$22+1)*($NS$22-191+1)/$NU$22,$NN$22/$NT$22)),0)</f>
        <v/>
      </c>
      <c r="GN22" s="228">
        <f>IF(AND(192&gt;=$NR$22,192&lt;=$NS$22),IF($NP$22="Single_Point",IF(192=$NR$22,$NN$22,0),IF($NP$22="Bell_Curve",$NN$22*(192-$NR$22+1)*($NS$22-192+1)/$NU$22,$NN$22/$NT$22)),0)</f>
        <v/>
      </c>
      <c r="GO22" s="228">
        <f>IF(AND(193&gt;=$NR$22,193&lt;=$NS$22),IF($NP$22="Single_Point",IF(193=$NR$22,$NN$22,0),IF($NP$22="Bell_Curve",$NN$22*(193-$NR$22+1)*($NS$22-193+1)/$NU$22,$NN$22/$NT$22)),0)</f>
        <v/>
      </c>
      <c r="GP22" s="228">
        <f>IF(AND(194&gt;=$NR$22,194&lt;=$NS$22),IF($NP$22="Single_Point",IF(194=$NR$22,$NN$22,0),IF($NP$22="Bell_Curve",$NN$22*(194-$NR$22+1)*($NS$22-194+1)/$NU$22,$NN$22/$NT$22)),0)</f>
        <v/>
      </c>
      <c r="GQ22" s="228">
        <f>IF(AND(195&gt;=$NR$22,195&lt;=$NS$22),IF($NP$22="Single_Point",IF(195=$NR$22,$NN$22,0),IF($NP$22="Bell_Curve",$NN$22*(195-$NR$22+1)*($NS$22-195+1)/$NU$22,$NN$22/$NT$22)),0)</f>
        <v/>
      </c>
      <c r="GR22" s="228">
        <f>IF(AND(196&gt;=$NR$22,196&lt;=$NS$22),IF($NP$22="Single_Point",IF(196=$NR$22,$NN$22,0),IF($NP$22="Bell_Curve",$NN$22*(196-$NR$22+1)*($NS$22-196+1)/$NU$22,$NN$22/$NT$22)),0)</f>
        <v/>
      </c>
      <c r="GS22" s="228">
        <f>IF(AND(197&gt;=$NR$22,197&lt;=$NS$22),IF($NP$22="Single_Point",IF(197=$NR$22,$NN$22,0),IF($NP$22="Bell_Curve",$NN$22*(197-$NR$22+1)*($NS$22-197+1)/$NU$22,$NN$22/$NT$22)),0)</f>
        <v/>
      </c>
      <c r="GT22" s="228">
        <f>IF(AND(198&gt;=$NR$22,198&lt;=$NS$22),IF($NP$22="Single_Point",IF(198=$NR$22,$NN$22,0),IF($NP$22="Bell_Curve",$NN$22*(198-$NR$22+1)*($NS$22-198+1)/$NU$22,$NN$22/$NT$22)),0)</f>
        <v/>
      </c>
      <c r="GU22" s="228">
        <f>IF(AND(199&gt;=$NR$22,199&lt;=$NS$22),IF($NP$22="Single_Point",IF(199=$NR$22,$NN$22,0),IF($NP$22="Bell_Curve",$NN$22*(199-$NR$22+1)*($NS$22-199+1)/$NU$22,$NN$22/$NT$22)),0)</f>
        <v/>
      </c>
      <c r="GV22" s="228">
        <f>IF(AND(200&gt;=$NR$22,200&lt;=$NS$22),IF($NP$22="Single_Point",IF(200=$NR$22,$NN$22,0),IF($NP$22="Bell_Curve",$NN$22*(200-$NR$22+1)*($NS$22-200+1)/$NU$22,$NN$22/$NT$22)),0)</f>
        <v/>
      </c>
      <c r="GW22" s="228">
        <f>IF(AND(201&gt;=$NR$22,201&lt;=$NS$22),IF($NP$22="Single_Point",IF(201=$NR$22,$NN$22,0),IF($NP$22="Bell_Curve",$NN$22*(201-$NR$22+1)*($NS$22-201+1)/$NU$22,$NN$22/$NT$22)),0)</f>
        <v/>
      </c>
      <c r="GX22" s="228">
        <f>IF(AND(202&gt;=$NR$22,202&lt;=$NS$22),IF($NP$22="Single_Point",IF(202=$NR$22,$NN$22,0),IF($NP$22="Bell_Curve",$NN$22*(202-$NR$22+1)*($NS$22-202+1)/$NU$22,$NN$22/$NT$22)),0)</f>
        <v/>
      </c>
      <c r="GY22" s="228">
        <f>IF(AND(203&gt;=$NR$22,203&lt;=$NS$22),IF($NP$22="Single_Point",IF(203=$NR$22,$NN$22,0),IF($NP$22="Bell_Curve",$NN$22*(203-$NR$22+1)*($NS$22-203+1)/$NU$22,$NN$22/$NT$22)),0)</f>
        <v/>
      </c>
      <c r="GZ22" s="228">
        <f>IF(AND(204&gt;=$NR$22,204&lt;=$NS$22),IF($NP$22="Single_Point",IF(204=$NR$22,$NN$22,0),IF($NP$22="Bell_Curve",$NN$22*(204-$NR$22+1)*($NS$22-204+1)/$NU$22,$NN$22/$NT$22)),0)</f>
        <v/>
      </c>
      <c r="HA22" s="228">
        <f>IF(AND(205&gt;=$NR$22,205&lt;=$NS$22),IF($NP$22="Single_Point",IF(205=$NR$22,$NN$22,0),IF($NP$22="Bell_Curve",$NN$22*(205-$NR$22+1)*($NS$22-205+1)/$NU$22,$NN$22/$NT$22)),0)</f>
        <v/>
      </c>
      <c r="HB22" s="228">
        <f>IF(AND(206&gt;=$NR$22,206&lt;=$NS$22),IF($NP$22="Single_Point",IF(206=$NR$22,$NN$22,0),IF($NP$22="Bell_Curve",$NN$22*(206-$NR$22+1)*($NS$22-206+1)/$NU$22,$NN$22/$NT$22)),0)</f>
        <v/>
      </c>
      <c r="HC22" s="228">
        <f>IF(AND(207&gt;=$NR$22,207&lt;=$NS$22),IF($NP$22="Single_Point",IF(207=$NR$22,$NN$22,0),IF($NP$22="Bell_Curve",$NN$22*(207-$NR$22+1)*($NS$22-207+1)/$NU$22,$NN$22/$NT$22)),0)</f>
        <v/>
      </c>
      <c r="HD22" s="228">
        <f>IF(AND(208&gt;=$NR$22,208&lt;=$NS$22),IF($NP$22="Single_Point",IF(208=$NR$22,$NN$22,0),IF($NP$22="Bell_Curve",$NN$22*(208-$NR$22+1)*($NS$22-208+1)/$NU$22,$NN$22/$NT$22)),0)</f>
        <v/>
      </c>
      <c r="HE22" s="228">
        <f>IF(AND(209&gt;=$NR$22,209&lt;=$NS$22),IF($NP$22="Single_Point",IF(209=$NR$22,$NN$22,0),IF($NP$22="Bell_Curve",$NN$22*(209-$NR$22+1)*($NS$22-209+1)/$NU$22,$NN$22/$NT$22)),0)</f>
        <v/>
      </c>
      <c r="HF22" s="228">
        <f>IF(AND(210&gt;=$NR$22,210&lt;=$NS$22),IF($NP$22="Single_Point",IF(210=$NR$22,$NN$22,0),IF($NP$22="Bell_Curve",$NN$22*(210-$NR$22+1)*($NS$22-210+1)/$NU$22,$NN$22/$NT$22)),0)</f>
        <v/>
      </c>
      <c r="HG22" s="228">
        <f>IF(AND(211&gt;=$NR$22,211&lt;=$NS$22),IF($NP$22="Single_Point",IF(211=$NR$22,$NN$22,0),IF($NP$22="Bell_Curve",$NN$22*(211-$NR$22+1)*($NS$22-211+1)/$NU$22,$NN$22/$NT$22)),0)</f>
        <v/>
      </c>
      <c r="HH22" s="228">
        <f>IF(AND(212&gt;=$NR$22,212&lt;=$NS$22),IF($NP$22="Single_Point",IF(212=$NR$22,$NN$22,0),IF($NP$22="Bell_Curve",$NN$22*(212-$NR$22+1)*($NS$22-212+1)/$NU$22,$NN$22/$NT$22)),0)</f>
        <v/>
      </c>
      <c r="HI22" s="228">
        <f>IF(AND(213&gt;=$NR$22,213&lt;=$NS$22),IF($NP$22="Single_Point",IF(213=$NR$22,$NN$22,0),IF($NP$22="Bell_Curve",$NN$22*(213-$NR$22+1)*($NS$22-213+1)/$NU$22,$NN$22/$NT$22)),0)</f>
        <v/>
      </c>
      <c r="HJ22" s="228">
        <f>IF(AND(214&gt;=$NR$22,214&lt;=$NS$22),IF($NP$22="Single_Point",IF(214=$NR$22,$NN$22,0),IF($NP$22="Bell_Curve",$NN$22*(214-$NR$22+1)*($NS$22-214+1)/$NU$22,$NN$22/$NT$22)),0)</f>
        <v/>
      </c>
      <c r="HK22" s="228">
        <f>IF(AND(215&gt;=$NR$22,215&lt;=$NS$22),IF($NP$22="Single_Point",IF(215=$NR$22,$NN$22,0),IF($NP$22="Bell_Curve",$NN$22*(215-$NR$22+1)*($NS$22-215+1)/$NU$22,$NN$22/$NT$22)),0)</f>
        <v/>
      </c>
      <c r="HL22" s="228">
        <f>IF(AND(216&gt;=$NR$22,216&lt;=$NS$22),IF($NP$22="Single_Point",IF(216=$NR$22,$NN$22,0),IF($NP$22="Bell_Curve",$NN$22*(216-$NR$22+1)*($NS$22-216+1)/$NU$22,$NN$22/$NT$22)),0)</f>
        <v/>
      </c>
      <c r="HM22" s="228">
        <f>IF(AND(217&gt;=$NR$22,217&lt;=$NS$22),IF($NP$22="Single_Point",IF(217=$NR$22,$NN$22,0),IF($NP$22="Bell_Curve",$NN$22*(217-$NR$22+1)*($NS$22-217+1)/$NU$22,$NN$22/$NT$22)),0)</f>
        <v/>
      </c>
      <c r="HN22" s="228">
        <f>IF(AND(218&gt;=$NR$22,218&lt;=$NS$22),IF($NP$22="Single_Point",IF(218=$NR$22,$NN$22,0),IF($NP$22="Bell_Curve",$NN$22*(218-$NR$22+1)*($NS$22-218+1)/$NU$22,$NN$22/$NT$22)),0)</f>
        <v/>
      </c>
      <c r="HO22" s="228">
        <f>IF(AND(219&gt;=$NR$22,219&lt;=$NS$22),IF($NP$22="Single_Point",IF(219=$NR$22,$NN$22,0),IF($NP$22="Bell_Curve",$NN$22*(219-$NR$22+1)*($NS$22-219+1)/$NU$22,$NN$22/$NT$22)),0)</f>
        <v/>
      </c>
      <c r="HP22" s="228">
        <f>IF(AND(220&gt;=$NR$22,220&lt;=$NS$22),IF($NP$22="Single_Point",IF(220=$NR$22,$NN$22,0),IF($NP$22="Bell_Curve",$NN$22*(220-$NR$22+1)*($NS$22-220+1)/$NU$22,$NN$22/$NT$22)),0)</f>
        <v/>
      </c>
      <c r="HQ22" s="228">
        <f>IF(AND(221&gt;=$NR$22,221&lt;=$NS$22),IF($NP$22="Single_Point",IF(221=$NR$22,$NN$22,0),IF($NP$22="Bell_Curve",$NN$22*(221-$NR$22+1)*($NS$22-221+1)/$NU$22,$NN$22/$NT$22)),0)</f>
        <v/>
      </c>
      <c r="HR22" s="228">
        <f>IF(AND(222&gt;=$NR$22,222&lt;=$NS$22),IF($NP$22="Single_Point",IF(222=$NR$22,$NN$22,0),IF($NP$22="Bell_Curve",$NN$22*(222-$NR$22+1)*($NS$22-222+1)/$NU$22,$NN$22/$NT$22)),0)</f>
        <v/>
      </c>
      <c r="HS22" s="228">
        <f>IF(AND(223&gt;=$NR$22,223&lt;=$NS$22),IF($NP$22="Single_Point",IF(223=$NR$22,$NN$22,0),IF($NP$22="Bell_Curve",$NN$22*(223-$NR$22+1)*($NS$22-223+1)/$NU$22,$NN$22/$NT$22)),0)</f>
        <v/>
      </c>
      <c r="HT22" s="228">
        <f>IF(AND(224&gt;=$NR$22,224&lt;=$NS$22),IF($NP$22="Single_Point",IF(224=$NR$22,$NN$22,0),IF($NP$22="Bell_Curve",$NN$22*(224-$NR$22+1)*($NS$22-224+1)/$NU$22,$NN$22/$NT$22)),0)</f>
        <v/>
      </c>
      <c r="HU22" s="228">
        <f>IF(AND(225&gt;=$NR$22,225&lt;=$NS$22),IF($NP$22="Single_Point",IF(225=$NR$22,$NN$22,0),IF($NP$22="Bell_Curve",$NN$22*(225-$NR$22+1)*($NS$22-225+1)/$NU$22,$NN$22/$NT$22)),0)</f>
        <v/>
      </c>
      <c r="HV22" s="228">
        <f>IF(AND(226&gt;=$NR$22,226&lt;=$NS$22),IF($NP$22="Single_Point",IF(226=$NR$22,$NN$22,0),IF($NP$22="Bell_Curve",$NN$22*(226-$NR$22+1)*($NS$22-226+1)/$NU$22,$NN$22/$NT$22)),0)</f>
        <v/>
      </c>
      <c r="HW22" s="228">
        <f>IF(AND(227&gt;=$NR$22,227&lt;=$NS$22),IF($NP$22="Single_Point",IF(227=$NR$22,$NN$22,0),IF($NP$22="Bell_Curve",$NN$22*(227-$NR$22+1)*($NS$22-227+1)/$NU$22,$NN$22/$NT$22)),0)</f>
        <v/>
      </c>
      <c r="HX22" s="228">
        <f>IF(AND(228&gt;=$NR$22,228&lt;=$NS$22),IF($NP$22="Single_Point",IF(228=$NR$22,$NN$22,0),IF($NP$22="Bell_Curve",$NN$22*(228-$NR$22+1)*($NS$22-228+1)/$NU$22,$NN$22/$NT$22)),0)</f>
        <v/>
      </c>
      <c r="HY22" s="228">
        <f>IF(AND(229&gt;=$NR$22,229&lt;=$NS$22),IF($NP$22="Single_Point",IF(229=$NR$22,$NN$22,0),IF($NP$22="Bell_Curve",$NN$22*(229-$NR$22+1)*($NS$22-229+1)/$NU$22,$NN$22/$NT$22)),0)</f>
        <v/>
      </c>
      <c r="HZ22" s="228">
        <f>IF(AND(230&gt;=$NR$22,230&lt;=$NS$22),IF($NP$22="Single_Point",IF(230=$NR$22,$NN$22,0),IF($NP$22="Bell_Curve",$NN$22*(230-$NR$22+1)*($NS$22-230+1)/$NU$22,$NN$22/$NT$22)),0)</f>
        <v/>
      </c>
      <c r="IA22" s="228">
        <f>IF(AND(231&gt;=$NR$22,231&lt;=$NS$22),IF($NP$22="Single_Point",IF(231=$NR$22,$NN$22,0),IF($NP$22="Bell_Curve",$NN$22*(231-$NR$22+1)*($NS$22-231+1)/$NU$22,$NN$22/$NT$22)),0)</f>
        <v/>
      </c>
      <c r="IB22" s="228">
        <f>IF(AND(232&gt;=$NR$22,232&lt;=$NS$22),IF($NP$22="Single_Point",IF(232=$NR$22,$NN$22,0),IF($NP$22="Bell_Curve",$NN$22*(232-$NR$22+1)*($NS$22-232+1)/$NU$22,$NN$22/$NT$22)),0)</f>
        <v/>
      </c>
      <c r="IC22" s="228">
        <f>IF(AND(233&gt;=$NR$22,233&lt;=$NS$22),IF($NP$22="Single_Point",IF(233=$NR$22,$NN$22,0),IF($NP$22="Bell_Curve",$NN$22*(233-$NR$22+1)*($NS$22-233+1)/$NU$22,$NN$22/$NT$22)),0)</f>
        <v/>
      </c>
      <c r="ID22" s="228">
        <f>IF(AND(234&gt;=$NR$22,234&lt;=$NS$22),IF($NP$22="Single_Point",IF(234=$NR$22,$NN$22,0),IF($NP$22="Bell_Curve",$NN$22*(234-$NR$22+1)*($NS$22-234+1)/$NU$22,$NN$22/$NT$22)),0)</f>
        <v/>
      </c>
      <c r="IE22" s="228">
        <f>IF(AND(235&gt;=$NR$22,235&lt;=$NS$22),IF($NP$22="Single_Point",IF(235=$NR$22,$NN$22,0),IF($NP$22="Bell_Curve",$NN$22*(235-$NR$22+1)*($NS$22-235+1)/$NU$22,$NN$22/$NT$22)),0)</f>
        <v/>
      </c>
      <c r="IF22" s="228">
        <f>IF(AND(236&gt;=$NR$22,236&lt;=$NS$22),IF($NP$22="Single_Point",IF(236=$NR$22,$NN$22,0),IF($NP$22="Bell_Curve",$NN$22*(236-$NR$22+1)*($NS$22-236+1)/$NU$22,$NN$22/$NT$22)),0)</f>
        <v/>
      </c>
      <c r="IG22" s="228">
        <f>IF(AND(237&gt;=$NR$22,237&lt;=$NS$22),IF($NP$22="Single_Point",IF(237=$NR$22,$NN$22,0),IF($NP$22="Bell_Curve",$NN$22*(237-$NR$22+1)*($NS$22-237+1)/$NU$22,$NN$22/$NT$22)),0)</f>
        <v/>
      </c>
      <c r="IH22" s="228">
        <f>IF(AND(238&gt;=$NR$22,238&lt;=$NS$22),IF($NP$22="Single_Point",IF(238=$NR$22,$NN$22,0),IF($NP$22="Bell_Curve",$NN$22*(238-$NR$22+1)*($NS$22-238+1)/$NU$22,$NN$22/$NT$22)),0)</f>
        <v/>
      </c>
      <c r="II22" s="228">
        <f>IF(AND(239&gt;=$NR$22,239&lt;=$NS$22),IF($NP$22="Single_Point",IF(239=$NR$22,$NN$22,0),IF($NP$22="Bell_Curve",$NN$22*(239-$NR$22+1)*($NS$22-239+1)/$NU$22,$NN$22/$NT$22)),0)</f>
        <v/>
      </c>
      <c r="IJ22" s="228">
        <f>IF(AND(240&gt;=$NR$22,240&lt;=$NS$22),IF($NP$22="Single_Point",IF(240=$NR$22,$NN$22,0),IF($NP$22="Bell_Curve",$NN$22*(240-$NR$22+1)*($NS$22-240+1)/$NU$22,$NN$22/$NT$22)),0)</f>
        <v/>
      </c>
      <c r="IK22" s="228">
        <f>IF(AND(241&gt;=$NR$22,241&lt;=$NS$22),IF($NP$22="Single_Point",IF(241=$NR$22,$NN$22,0),IF($NP$22="Bell_Curve",$NN$22*(241-$NR$22+1)*($NS$22-241+1)/$NU$22,$NN$22/$NT$22)),0)</f>
        <v/>
      </c>
      <c r="IL22" s="228">
        <f>IF(AND(242&gt;=$NR$22,242&lt;=$NS$22),IF($NP$22="Single_Point",IF(242=$NR$22,$NN$22,0),IF($NP$22="Bell_Curve",$NN$22*(242-$NR$22+1)*($NS$22-242+1)/$NU$22,$NN$22/$NT$22)),0)</f>
        <v/>
      </c>
      <c r="IM22" s="228">
        <f>IF(AND(243&gt;=$NR$22,243&lt;=$NS$22),IF($NP$22="Single_Point",IF(243=$NR$22,$NN$22,0),IF($NP$22="Bell_Curve",$NN$22*(243-$NR$22+1)*($NS$22-243+1)/$NU$22,$NN$22/$NT$22)),0)</f>
        <v/>
      </c>
      <c r="IN22" s="228">
        <f>IF(AND(244&gt;=$NR$22,244&lt;=$NS$22),IF($NP$22="Single_Point",IF(244=$NR$22,$NN$22,0),IF($NP$22="Bell_Curve",$NN$22*(244-$NR$22+1)*($NS$22-244+1)/$NU$22,$NN$22/$NT$22)),0)</f>
        <v/>
      </c>
      <c r="IO22" s="228">
        <f>IF(AND(245&gt;=$NR$22,245&lt;=$NS$22),IF($NP$22="Single_Point",IF(245=$NR$22,$NN$22,0),IF($NP$22="Bell_Curve",$NN$22*(245-$NR$22+1)*($NS$22-245+1)/$NU$22,$NN$22/$NT$22)),0)</f>
        <v/>
      </c>
      <c r="IP22" s="228">
        <f>IF(AND(246&gt;=$NR$22,246&lt;=$NS$22),IF($NP$22="Single_Point",IF(246=$NR$22,$NN$22,0),IF($NP$22="Bell_Curve",$NN$22*(246-$NR$22+1)*($NS$22-246+1)/$NU$22,$NN$22/$NT$22)),0)</f>
        <v/>
      </c>
      <c r="IQ22" s="228">
        <f>IF(AND(247&gt;=$NR$22,247&lt;=$NS$22),IF($NP$22="Single_Point",IF(247=$NR$22,$NN$22,0),IF($NP$22="Bell_Curve",$NN$22*(247-$NR$22+1)*($NS$22-247+1)/$NU$22,$NN$22/$NT$22)),0)</f>
        <v/>
      </c>
      <c r="IR22" s="228">
        <f>IF(AND(248&gt;=$NR$22,248&lt;=$NS$22),IF($NP$22="Single_Point",IF(248=$NR$22,$NN$22,0),IF($NP$22="Bell_Curve",$NN$22*(248-$NR$22+1)*($NS$22-248+1)/$NU$22,$NN$22/$NT$22)),0)</f>
        <v/>
      </c>
      <c r="IS22" s="228">
        <f>IF(AND(249&gt;=$NR$22,249&lt;=$NS$22),IF($NP$22="Single_Point",IF(249=$NR$22,$NN$22,0),IF($NP$22="Bell_Curve",$NN$22*(249-$NR$22+1)*($NS$22-249+1)/$NU$22,$NN$22/$NT$22)),0)</f>
        <v/>
      </c>
      <c r="IT22" s="228">
        <f>IF(AND(250&gt;=$NR$22,250&lt;=$NS$22),IF($NP$22="Single_Point",IF(250=$NR$22,$NN$22,0),IF($NP$22="Bell_Curve",$NN$22*(250-$NR$22+1)*($NS$22-250+1)/$NU$22,$NN$22/$NT$22)),0)</f>
        <v/>
      </c>
      <c r="IU22" s="228">
        <f>IF(AND(251&gt;=$NR$22,251&lt;=$NS$22),IF($NP$22="Single_Point",IF(251=$NR$22,$NN$22,0),IF($NP$22="Bell_Curve",$NN$22*(251-$NR$22+1)*($NS$22-251+1)/$NU$22,$NN$22/$NT$22)),0)</f>
        <v/>
      </c>
      <c r="IV22" s="228">
        <f>IF(AND(252&gt;=$NR$22,252&lt;=$NS$22),IF($NP$22="Single_Point",IF(252=$NR$22,$NN$22,0),IF($NP$22="Bell_Curve",$NN$22*(252-$NR$22+1)*($NS$22-252+1)/$NU$22,$NN$22/$NT$22)),0)</f>
        <v/>
      </c>
      <c r="IW22" s="228">
        <f>IF(AND(253&gt;=$NR$22,253&lt;=$NS$22),IF($NP$22="Single_Point",IF(253=$NR$22,$NN$22,0),IF($NP$22="Bell_Curve",$NN$22*(253-$NR$22+1)*($NS$22-253+1)/$NU$22,$NN$22/$NT$22)),0)</f>
        <v/>
      </c>
      <c r="IX22" s="228">
        <f>IF(AND(254&gt;=$NR$22,254&lt;=$NS$22),IF($NP$22="Single_Point",IF(254=$NR$22,$NN$22,0),IF($NP$22="Bell_Curve",$NN$22*(254-$NR$22+1)*($NS$22-254+1)/$NU$22,$NN$22/$NT$22)),0)</f>
        <v/>
      </c>
      <c r="IY22" s="228">
        <f>IF(AND(255&gt;=$NR$22,255&lt;=$NS$22),IF($NP$22="Single_Point",IF(255=$NR$22,$NN$22,0),IF($NP$22="Bell_Curve",$NN$22*(255-$NR$22+1)*($NS$22-255+1)/$NU$22,$NN$22/$NT$22)),0)</f>
        <v/>
      </c>
      <c r="IZ22" s="228">
        <f>IF(AND(256&gt;=$NR$22,256&lt;=$NS$22),IF($NP$22="Single_Point",IF(256=$NR$22,$NN$22,0),IF($NP$22="Bell_Curve",$NN$22*(256-$NR$22+1)*($NS$22-256+1)/$NU$22,$NN$22/$NT$22)),0)</f>
        <v/>
      </c>
      <c r="JA22" s="228">
        <f>IF(AND(257&gt;=$NR$22,257&lt;=$NS$22),IF($NP$22="Single_Point",IF(257=$NR$22,$NN$22,0),IF($NP$22="Bell_Curve",$NN$22*(257-$NR$22+1)*($NS$22-257+1)/$NU$22,$NN$22/$NT$22)),0)</f>
        <v/>
      </c>
      <c r="JB22" s="228">
        <f>IF(AND(258&gt;=$NR$22,258&lt;=$NS$22),IF($NP$22="Single_Point",IF(258=$NR$22,$NN$22,0),IF($NP$22="Bell_Curve",$NN$22*(258-$NR$22+1)*($NS$22-258+1)/$NU$22,$NN$22/$NT$22)),0)</f>
        <v/>
      </c>
      <c r="JC22" s="228">
        <f>IF(AND(259&gt;=$NR$22,259&lt;=$NS$22),IF($NP$22="Single_Point",IF(259=$NR$22,$NN$22,0),IF($NP$22="Bell_Curve",$NN$22*(259-$NR$22+1)*($NS$22-259+1)/$NU$22,$NN$22/$NT$22)),0)</f>
        <v/>
      </c>
      <c r="JD22" s="228">
        <f>IF(AND(260&gt;=$NR$22,260&lt;=$NS$22),IF($NP$22="Single_Point",IF(260=$NR$22,$NN$22,0),IF($NP$22="Bell_Curve",$NN$22*(260-$NR$22+1)*($NS$22-260+1)/$NU$22,$NN$22/$NT$22)),0)</f>
        <v/>
      </c>
      <c r="JE22" s="228">
        <f>IF(AND(261&gt;=$NR$22,261&lt;=$NS$22),IF($NP$22="Single_Point",IF(261=$NR$22,$NN$22,0),IF($NP$22="Bell_Curve",$NN$22*(261-$NR$22+1)*($NS$22-261+1)/$NU$22,$NN$22/$NT$22)),0)</f>
        <v/>
      </c>
      <c r="JF22" s="228">
        <f>IF(AND(262&gt;=$NR$22,262&lt;=$NS$22),IF($NP$22="Single_Point",IF(262=$NR$22,$NN$22,0),IF($NP$22="Bell_Curve",$NN$22*(262-$NR$22+1)*($NS$22-262+1)/$NU$22,$NN$22/$NT$22)),0)</f>
        <v/>
      </c>
      <c r="JG22" s="228">
        <f>IF(AND(263&gt;=$NR$22,263&lt;=$NS$22),IF($NP$22="Single_Point",IF(263=$NR$22,$NN$22,0),IF($NP$22="Bell_Curve",$NN$22*(263-$NR$22+1)*($NS$22-263+1)/$NU$22,$NN$22/$NT$22)),0)</f>
        <v/>
      </c>
      <c r="JH22" s="228">
        <f>IF(AND(264&gt;=$NR$22,264&lt;=$NS$22),IF($NP$22="Single_Point",IF(264=$NR$22,$NN$22,0),IF($NP$22="Bell_Curve",$NN$22*(264-$NR$22+1)*($NS$22-264+1)/$NU$22,$NN$22/$NT$22)),0)</f>
        <v/>
      </c>
      <c r="JI22" s="228">
        <f>IF(AND(265&gt;=$NR$22,265&lt;=$NS$22),IF($NP$22="Single_Point",IF(265=$NR$22,$NN$22,0),IF($NP$22="Bell_Curve",$NN$22*(265-$NR$22+1)*($NS$22-265+1)/$NU$22,$NN$22/$NT$22)),0)</f>
        <v/>
      </c>
      <c r="JJ22" s="228">
        <f>IF(AND(266&gt;=$NR$22,266&lt;=$NS$22),IF($NP$22="Single_Point",IF(266=$NR$22,$NN$22,0),IF($NP$22="Bell_Curve",$NN$22*(266-$NR$22+1)*($NS$22-266+1)/$NU$22,$NN$22/$NT$22)),0)</f>
        <v/>
      </c>
      <c r="JK22" s="228">
        <f>IF(AND(267&gt;=$NR$22,267&lt;=$NS$22),IF($NP$22="Single_Point",IF(267=$NR$22,$NN$22,0),IF($NP$22="Bell_Curve",$NN$22*(267-$NR$22+1)*($NS$22-267+1)/$NU$22,$NN$22/$NT$22)),0)</f>
        <v/>
      </c>
      <c r="JL22" s="228">
        <f>IF(AND(268&gt;=$NR$22,268&lt;=$NS$22),IF($NP$22="Single_Point",IF(268=$NR$22,$NN$22,0),IF($NP$22="Bell_Curve",$NN$22*(268-$NR$22+1)*($NS$22-268+1)/$NU$22,$NN$22/$NT$22)),0)</f>
        <v/>
      </c>
      <c r="JM22" s="228">
        <f>IF(AND(269&gt;=$NR$22,269&lt;=$NS$22),IF($NP$22="Single_Point",IF(269=$NR$22,$NN$22,0),IF($NP$22="Bell_Curve",$NN$22*(269-$NR$22+1)*($NS$22-269+1)/$NU$22,$NN$22/$NT$22)),0)</f>
        <v/>
      </c>
      <c r="JN22" s="228">
        <f>IF(AND(270&gt;=$NR$22,270&lt;=$NS$22),IF($NP$22="Single_Point",IF(270=$NR$22,$NN$22,0),IF($NP$22="Bell_Curve",$NN$22*(270-$NR$22+1)*($NS$22-270+1)/$NU$22,$NN$22/$NT$22)),0)</f>
        <v/>
      </c>
      <c r="JO22" s="228">
        <f>IF(AND(271&gt;=$NR$22,271&lt;=$NS$22),IF($NP$22="Single_Point",IF(271=$NR$22,$NN$22,0),IF($NP$22="Bell_Curve",$NN$22*(271-$NR$22+1)*($NS$22-271+1)/$NU$22,$NN$22/$NT$22)),0)</f>
        <v/>
      </c>
      <c r="JP22" s="228">
        <f>IF(AND(272&gt;=$NR$22,272&lt;=$NS$22),IF($NP$22="Single_Point",IF(272=$NR$22,$NN$22,0),IF($NP$22="Bell_Curve",$NN$22*(272-$NR$22+1)*($NS$22-272+1)/$NU$22,$NN$22/$NT$22)),0)</f>
        <v/>
      </c>
      <c r="JQ22" s="228">
        <f>IF(AND(273&gt;=$NR$22,273&lt;=$NS$22),IF($NP$22="Single_Point",IF(273=$NR$22,$NN$22,0),IF($NP$22="Bell_Curve",$NN$22*(273-$NR$22+1)*($NS$22-273+1)/$NU$22,$NN$22/$NT$22)),0)</f>
        <v/>
      </c>
      <c r="JR22" s="228">
        <f>IF(AND(274&gt;=$NR$22,274&lt;=$NS$22),IF($NP$22="Single_Point",IF(274=$NR$22,$NN$22,0),IF($NP$22="Bell_Curve",$NN$22*(274-$NR$22+1)*($NS$22-274+1)/$NU$22,$NN$22/$NT$22)),0)</f>
        <v/>
      </c>
      <c r="JS22" s="228">
        <f>IF(AND(275&gt;=$NR$22,275&lt;=$NS$22),IF($NP$22="Single_Point",IF(275=$NR$22,$NN$22,0),IF($NP$22="Bell_Curve",$NN$22*(275-$NR$22+1)*($NS$22-275+1)/$NU$22,$NN$22/$NT$22)),0)</f>
        <v/>
      </c>
      <c r="JT22" s="228">
        <f>IF(AND(276&gt;=$NR$22,276&lt;=$NS$22),IF($NP$22="Single_Point",IF(276=$NR$22,$NN$22,0),IF($NP$22="Bell_Curve",$NN$22*(276-$NR$22+1)*($NS$22-276+1)/$NU$22,$NN$22/$NT$22)),0)</f>
        <v/>
      </c>
      <c r="JU22" s="228">
        <f>IF(AND(277&gt;=$NR$22,277&lt;=$NS$22),IF($NP$22="Single_Point",IF(277=$NR$22,$NN$22,0),IF($NP$22="Bell_Curve",$NN$22*(277-$NR$22+1)*($NS$22-277+1)/$NU$22,$NN$22/$NT$22)),0)</f>
        <v/>
      </c>
      <c r="JV22" s="228">
        <f>IF(AND(278&gt;=$NR$22,278&lt;=$NS$22),IF($NP$22="Single_Point",IF(278=$NR$22,$NN$22,0),IF($NP$22="Bell_Curve",$NN$22*(278-$NR$22+1)*($NS$22-278+1)/$NU$22,$NN$22/$NT$22)),0)</f>
        <v/>
      </c>
      <c r="JW22" s="228">
        <f>IF(AND(279&gt;=$NR$22,279&lt;=$NS$22),IF($NP$22="Single_Point",IF(279=$NR$22,$NN$22,0),IF($NP$22="Bell_Curve",$NN$22*(279-$NR$22+1)*($NS$22-279+1)/$NU$22,$NN$22/$NT$22)),0)</f>
        <v/>
      </c>
      <c r="JX22" s="228">
        <f>IF(AND(280&gt;=$NR$22,280&lt;=$NS$22),IF($NP$22="Single_Point",IF(280=$NR$22,$NN$22,0),IF($NP$22="Bell_Curve",$NN$22*(280-$NR$22+1)*($NS$22-280+1)/$NU$22,$NN$22/$NT$22)),0)</f>
        <v/>
      </c>
      <c r="JY22" s="228">
        <f>IF(AND(281&gt;=$NR$22,281&lt;=$NS$22),IF($NP$22="Single_Point",IF(281=$NR$22,$NN$22,0),IF($NP$22="Bell_Curve",$NN$22*(281-$NR$22+1)*($NS$22-281+1)/$NU$22,$NN$22/$NT$22)),0)</f>
        <v/>
      </c>
      <c r="JZ22" s="228">
        <f>IF(AND(282&gt;=$NR$22,282&lt;=$NS$22),IF($NP$22="Single_Point",IF(282=$NR$22,$NN$22,0),IF($NP$22="Bell_Curve",$NN$22*(282-$NR$22+1)*($NS$22-282+1)/$NU$22,$NN$22/$NT$22)),0)</f>
        <v/>
      </c>
      <c r="KA22" s="228">
        <f>IF(AND(283&gt;=$NR$22,283&lt;=$NS$22),IF($NP$22="Single_Point",IF(283=$NR$22,$NN$22,0),IF($NP$22="Bell_Curve",$NN$22*(283-$NR$22+1)*($NS$22-283+1)/$NU$22,$NN$22/$NT$22)),0)</f>
        <v/>
      </c>
      <c r="KB22" s="228">
        <f>IF(AND(284&gt;=$NR$22,284&lt;=$NS$22),IF($NP$22="Single_Point",IF(284=$NR$22,$NN$22,0),IF($NP$22="Bell_Curve",$NN$22*(284-$NR$22+1)*($NS$22-284+1)/$NU$22,$NN$22/$NT$22)),0)</f>
        <v/>
      </c>
      <c r="KC22" s="228">
        <f>IF(AND(285&gt;=$NR$22,285&lt;=$NS$22),IF($NP$22="Single_Point",IF(285=$NR$22,$NN$22,0),IF($NP$22="Bell_Curve",$NN$22*(285-$NR$22+1)*($NS$22-285+1)/$NU$22,$NN$22/$NT$22)),0)</f>
        <v/>
      </c>
      <c r="KD22" s="228">
        <f>IF(AND(286&gt;=$NR$22,286&lt;=$NS$22),IF($NP$22="Single_Point",IF(286=$NR$22,$NN$22,0),IF($NP$22="Bell_Curve",$NN$22*(286-$NR$22+1)*($NS$22-286+1)/$NU$22,$NN$22/$NT$22)),0)</f>
        <v/>
      </c>
      <c r="KE22" s="228">
        <f>IF(AND(287&gt;=$NR$22,287&lt;=$NS$22),IF($NP$22="Single_Point",IF(287=$NR$22,$NN$22,0),IF($NP$22="Bell_Curve",$NN$22*(287-$NR$22+1)*($NS$22-287+1)/$NU$22,$NN$22/$NT$22)),0)</f>
        <v/>
      </c>
      <c r="KF22" s="228">
        <f>IF(AND(288&gt;=$NR$22,288&lt;=$NS$22),IF($NP$22="Single_Point",IF(288=$NR$22,$NN$22,0),IF($NP$22="Bell_Curve",$NN$22*(288-$NR$22+1)*($NS$22-288+1)/$NU$22,$NN$22/$NT$22)),0)</f>
        <v/>
      </c>
      <c r="KG22" s="228">
        <f>IF(AND(289&gt;=$NR$22,289&lt;=$NS$22),IF($NP$22="Single_Point",IF(289=$NR$22,$NN$22,0),IF($NP$22="Bell_Curve",$NN$22*(289-$NR$22+1)*($NS$22-289+1)/$NU$22,$NN$22/$NT$22)),0)</f>
        <v/>
      </c>
      <c r="KH22" s="228">
        <f>IF(AND(290&gt;=$NR$22,290&lt;=$NS$22),IF($NP$22="Single_Point",IF(290=$NR$22,$NN$22,0),IF($NP$22="Bell_Curve",$NN$22*(290-$NR$22+1)*($NS$22-290+1)/$NU$22,$NN$22/$NT$22)),0)</f>
        <v/>
      </c>
      <c r="KI22" s="228">
        <f>IF(AND(291&gt;=$NR$22,291&lt;=$NS$22),IF($NP$22="Single_Point",IF(291=$NR$22,$NN$22,0),IF($NP$22="Bell_Curve",$NN$22*(291-$NR$22+1)*($NS$22-291+1)/$NU$22,$NN$22/$NT$22)),0)</f>
        <v/>
      </c>
      <c r="KJ22" s="228">
        <f>IF(AND(292&gt;=$NR$22,292&lt;=$NS$22),IF($NP$22="Single_Point",IF(292=$NR$22,$NN$22,0),IF($NP$22="Bell_Curve",$NN$22*(292-$NR$22+1)*($NS$22-292+1)/$NU$22,$NN$22/$NT$22)),0)</f>
        <v/>
      </c>
      <c r="KK22" s="228">
        <f>IF(AND(293&gt;=$NR$22,293&lt;=$NS$22),IF($NP$22="Single_Point",IF(293=$NR$22,$NN$22,0),IF($NP$22="Bell_Curve",$NN$22*(293-$NR$22+1)*($NS$22-293+1)/$NU$22,$NN$22/$NT$22)),0)</f>
        <v/>
      </c>
      <c r="KL22" s="228">
        <f>IF(AND(294&gt;=$NR$22,294&lt;=$NS$22),IF($NP$22="Single_Point",IF(294=$NR$22,$NN$22,0),IF($NP$22="Bell_Curve",$NN$22*(294-$NR$22+1)*($NS$22-294+1)/$NU$22,$NN$22/$NT$22)),0)</f>
        <v/>
      </c>
      <c r="KM22" s="228">
        <f>IF(AND(295&gt;=$NR$22,295&lt;=$NS$22),IF($NP$22="Single_Point",IF(295=$NR$22,$NN$22,0),IF($NP$22="Bell_Curve",$NN$22*(295-$NR$22+1)*($NS$22-295+1)/$NU$22,$NN$22/$NT$22)),0)</f>
        <v/>
      </c>
      <c r="KN22" s="228">
        <f>IF(AND(296&gt;=$NR$22,296&lt;=$NS$22),IF($NP$22="Single_Point",IF(296=$NR$22,$NN$22,0),IF($NP$22="Bell_Curve",$NN$22*(296-$NR$22+1)*($NS$22-296+1)/$NU$22,$NN$22/$NT$22)),0)</f>
        <v/>
      </c>
      <c r="KO22" s="228">
        <f>IF(AND(297&gt;=$NR$22,297&lt;=$NS$22),IF($NP$22="Single_Point",IF(297=$NR$22,$NN$22,0),IF($NP$22="Bell_Curve",$NN$22*(297-$NR$22+1)*($NS$22-297+1)/$NU$22,$NN$22/$NT$22)),0)</f>
        <v/>
      </c>
      <c r="KP22" s="228">
        <f>IF(AND(298&gt;=$NR$22,298&lt;=$NS$22),IF($NP$22="Single_Point",IF(298=$NR$22,$NN$22,0),IF($NP$22="Bell_Curve",$NN$22*(298-$NR$22+1)*($NS$22-298+1)/$NU$22,$NN$22/$NT$22)),0)</f>
        <v/>
      </c>
      <c r="KQ22" s="228">
        <f>IF(AND(299&gt;=$NR$22,299&lt;=$NS$22),IF($NP$22="Single_Point",IF(299=$NR$22,$NN$22,0),IF($NP$22="Bell_Curve",$NN$22*(299-$NR$22+1)*($NS$22-299+1)/$NU$22,$NN$22/$NT$22)),0)</f>
        <v/>
      </c>
      <c r="KR22" s="228">
        <f>IF(AND(300&gt;=$NR$22,300&lt;=$NS$22),IF($NP$22="Single_Point",IF(300=$NR$22,$NN$22,0),IF($NP$22="Bell_Curve",$NN$22*(300-$NR$22+1)*($NS$22-300+1)/$NU$22,$NN$22/$NT$22)),0)</f>
        <v/>
      </c>
      <c r="KS22" s="228">
        <f>IF(AND(301&gt;=$NR$22,301&lt;=$NS$22),IF($NP$22="Single_Point",IF(301=$NR$22,$NN$22,0),IF($NP$22="Bell_Curve",$NN$22*(301-$NR$22+1)*($NS$22-301+1)/$NU$22,$NN$22/$NT$22)),0)</f>
        <v/>
      </c>
      <c r="KT22" s="228">
        <f>IF(AND(302&gt;=$NR$22,302&lt;=$NS$22),IF($NP$22="Single_Point",IF(302=$NR$22,$NN$22,0),IF($NP$22="Bell_Curve",$NN$22*(302-$NR$22+1)*($NS$22-302+1)/$NU$22,$NN$22/$NT$22)),0)</f>
        <v/>
      </c>
      <c r="KU22" s="228">
        <f>IF(AND(303&gt;=$NR$22,303&lt;=$NS$22),IF($NP$22="Single_Point",IF(303=$NR$22,$NN$22,0),IF($NP$22="Bell_Curve",$NN$22*(303-$NR$22+1)*($NS$22-303+1)/$NU$22,$NN$22/$NT$22)),0)</f>
        <v/>
      </c>
      <c r="KV22" s="228">
        <f>IF(AND(304&gt;=$NR$22,304&lt;=$NS$22),IF($NP$22="Single_Point",IF(304=$NR$22,$NN$22,0),IF($NP$22="Bell_Curve",$NN$22*(304-$NR$22+1)*($NS$22-304+1)/$NU$22,$NN$22/$NT$22)),0)</f>
        <v/>
      </c>
      <c r="KW22" s="228">
        <f>IF(AND(305&gt;=$NR$22,305&lt;=$NS$22),IF($NP$22="Single_Point",IF(305=$NR$22,$NN$22,0),IF($NP$22="Bell_Curve",$NN$22*(305-$NR$22+1)*($NS$22-305+1)/$NU$22,$NN$22/$NT$22)),0)</f>
        <v/>
      </c>
      <c r="KX22" s="228">
        <f>IF(AND(306&gt;=$NR$22,306&lt;=$NS$22),IF($NP$22="Single_Point",IF(306=$NR$22,$NN$22,0),IF($NP$22="Bell_Curve",$NN$22*(306-$NR$22+1)*($NS$22-306+1)/$NU$22,$NN$22/$NT$22)),0)</f>
        <v/>
      </c>
      <c r="KY22" s="228">
        <f>IF(AND(307&gt;=$NR$22,307&lt;=$NS$22),IF($NP$22="Single_Point",IF(307=$NR$22,$NN$22,0),IF($NP$22="Bell_Curve",$NN$22*(307-$NR$22+1)*($NS$22-307+1)/$NU$22,$NN$22/$NT$22)),0)</f>
        <v/>
      </c>
      <c r="KZ22" s="228">
        <f>IF(AND(308&gt;=$NR$22,308&lt;=$NS$22),IF($NP$22="Single_Point",IF(308=$NR$22,$NN$22,0),IF($NP$22="Bell_Curve",$NN$22*(308-$NR$22+1)*($NS$22-308+1)/$NU$22,$NN$22/$NT$22)),0)</f>
        <v/>
      </c>
      <c r="LA22" s="228">
        <f>IF(AND(309&gt;=$NR$22,309&lt;=$NS$22),IF($NP$22="Single_Point",IF(309=$NR$22,$NN$22,0),IF($NP$22="Bell_Curve",$NN$22*(309-$NR$22+1)*($NS$22-309+1)/$NU$22,$NN$22/$NT$22)),0)</f>
        <v/>
      </c>
      <c r="LB22" s="228">
        <f>IF(AND(310&gt;=$NR$22,310&lt;=$NS$22),IF($NP$22="Single_Point",IF(310=$NR$22,$NN$22,0),IF($NP$22="Bell_Curve",$NN$22*(310-$NR$22+1)*($NS$22-310+1)/$NU$22,$NN$22/$NT$22)),0)</f>
        <v/>
      </c>
      <c r="LC22" s="228">
        <f>IF(AND(311&gt;=$NR$22,311&lt;=$NS$22),IF($NP$22="Single_Point",IF(311=$NR$22,$NN$22,0),IF($NP$22="Bell_Curve",$NN$22*(311-$NR$22+1)*($NS$22-311+1)/$NU$22,$NN$22/$NT$22)),0)</f>
        <v/>
      </c>
      <c r="LD22" s="228">
        <f>IF(AND(312&gt;=$NR$22,312&lt;=$NS$22),IF($NP$22="Single_Point",IF(312=$NR$22,$NN$22,0),IF($NP$22="Bell_Curve",$NN$22*(312-$NR$22+1)*($NS$22-312+1)/$NU$22,$NN$22/$NT$22)),0)</f>
        <v/>
      </c>
      <c r="LE22" s="228">
        <f>IF(AND(313&gt;=$NR$22,313&lt;=$NS$22),IF($NP$22="Single_Point",IF(313=$NR$22,$NN$22,0),IF($NP$22="Bell_Curve",$NN$22*(313-$NR$22+1)*($NS$22-313+1)/$NU$22,$NN$22/$NT$22)),0)</f>
        <v/>
      </c>
      <c r="LF22" s="228">
        <f>IF(AND(314&gt;=$NR$22,314&lt;=$NS$22),IF($NP$22="Single_Point",IF(314=$NR$22,$NN$22,0),IF($NP$22="Bell_Curve",$NN$22*(314-$NR$22+1)*($NS$22-314+1)/$NU$22,$NN$22/$NT$22)),0)</f>
        <v/>
      </c>
      <c r="LG22" s="228">
        <f>IF(AND(315&gt;=$NR$22,315&lt;=$NS$22),IF($NP$22="Single_Point",IF(315=$NR$22,$NN$22,0),IF($NP$22="Bell_Curve",$NN$22*(315-$NR$22+1)*($NS$22-315+1)/$NU$22,$NN$22/$NT$22)),0)</f>
        <v/>
      </c>
      <c r="LH22" s="228">
        <f>IF(AND(316&gt;=$NR$22,316&lt;=$NS$22),IF($NP$22="Single_Point",IF(316=$NR$22,$NN$22,0),IF($NP$22="Bell_Curve",$NN$22*(316-$NR$22+1)*($NS$22-316+1)/$NU$22,$NN$22/$NT$22)),0)</f>
        <v/>
      </c>
      <c r="LI22" s="228">
        <f>IF(AND(317&gt;=$NR$22,317&lt;=$NS$22),IF($NP$22="Single_Point",IF(317=$NR$22,$NN$22,0),IF($NP$22="Bell_Curve",$NN$22*(317-$NR$22+1)*($NS$22-317+1)/$NU$22,$NN$22/$NT$22)),0)</f>
        <v/>
      </c>
      <c r="LJ22" s="228">
        <f>IF(AND(318&gt;=$NR$22,318&lt;=$NS$22),IF($NP$22="Single_Point",IF(318=$NR$22,$NN$22,0),IF($NP$22="Bell_Curve",$NN$22*(318-$NR$22+1)*($NS$22-318+1)/$NU$22,$NN$22/$NT$22)),0)</f>
        <v/>
      </c>
      <c r="LK22" s="228">
        <f>IF(AND(319&gt;=$NR$22,319&lt;=$NS$22),IF($NP$22="Single_Point",IF(319=$NR$22,$NN$22,0),IF($NP$22="Bell_Curve",$NN$22*(319-$NR$22+1)*($NS$22-319+1)/$NU$22,$NN$22/$NT$22)),0)</f>
        <v/>
      </c>
      <c r="LL22" s="228">
        <f>IF(AND(320&gt;=$NR$22,320&lt;=$NS$22),IF($NP$22="Single_Point",IF(320=$NR$22,$NN$22,0),IF($NP$22="Bell_Curve",$NN$22*(320-$NR$22+1)*($NS$22-320+1)/$NU$22,$NN$22/$NT$22)),0)</f>
        <v/>
      </c>
      <c r="LM22" s="228">
        <f>IF(AND(321&gt;=$NR$22,321&lt;=$NS$22),IF($NP$22="Single_Point",IF(321=$NR$22,$NN$22,0),IF($NP$22="Bell_Curve",$NN$22*(321-$NR$22+1)*($NS$22-321+1)/$NU$22,$NN$22/$NT$22)),0)</f>
        <v/>
      </c>
      <c r="LN22" s="228">
        <f>IF(AND(322&gt;=$NR$22,322&lt;=$NS$22),IF($NP$22="Single_Point",IF(322=$NR$22,$NN$22,0),IF($NP$22="Bell_Curve",$NN$22*(322-$NR$22+1)*($NS$22-322+1)/$NU$22,$NN$22/$NT$22)),0)</f>
        <v/>
      </c>
      <c r="LO22" s="228">
        <f>IF(AND(323&gt;=$NR$22,323&lt;=$NS$22),IF($NP$22="Single_Point",IF(323=$NR$22,$NN$22,0),IF($NP$22="Bell_Curve",$NN$22*(323-$NR$22+1)*($NS$22-323+1)/$NU$22,$NN$22/$NT$22)),0)</f>
        <v/>
      </c>
      <c r="LP22" s="228">
        <f>IF(AND(324&gt;=$NR$22,324&lt;=$NS$22),IF($NP$22="Single_Point",IF(324=$NR$22,$NN$22,0),IF($NP$22="Bell_Curve",$NN$22*(324-$NR$22+1)*($NS$22-324+1)/$NU$22,$NN$22/$NT$22)),0)</f>
        <v/>
      </c>
      <c r="LQ22" s="228">
        <f>IF(AND(325&gt;=$NR$22,325&lt;=$NS$22),IF($NP$22="Single_Point",IF(325=$NR$22,$NN$22,0),IF($NP$22="Bell_Curve",$NN$22*(325-$NR$22+1)*($NS$22-325+1)/$NU$22,$NN$22/$NT$22)),0)</f>
        <v/>
      </c>
      <c r="LR22" s="228">
        <f>IF(AND(326&gt;=$NR$22,326&lt;=$NS$22),IF($NP$22="Single_Point",IF(326=$NR$22,$NN$22,0),IF($NP$22="Bell_Curve",$NN$22*(326-$NR$22+1)*($NS$22-326+1)/$NU$22,$NN$22/$NT$22)),0)</f>
        <v/>
      </c>
      <c r="LS22" s="228">
        <f>IF(AND(327&gt;=$NR$22,327&lt;=$NS$22),IF($NP$22="Single_Point",IF(327=$NR$22,$NN$22,0),IF($NP$22="Bell_Curve",$NN$22*(327-$NR$22+1)*($NS$22-327+1)/$NU$22,$NN$22/$NT$22)),0)</f>
        <v/>
      </c>
      <c r="LT22" s="228">
        <f>IF(AND(328&gt;=$NR$22,328&lt;=$NS$22),IF($NP$22="Single_Point",IF(328=$NR$22,$NN$22,0),IF($NP$22="Bell_Curve",$NN$22*(328-$NR$22+1)*($NS$22-328+1)/$NU$22,$NN$22/$NT$22)),0)</f>
        <v/>
      </c>
      <c r="LU22" s="228">
        <f>IF(AND(329&gt;=$NR$22,329&lt;=$NS$22),IF($NP$22="Single_Point",IF(329=$NR$22,$NN$22,0),IF($NP$22="Bell_Curve",$NN$22*(329-$NR$22+1)*($NS$22-329+1)/$NU$22,$NN$22/$NT$22)),0)</f>
        <v/>
      </c>
      <c r="LV22" s="228">
        <f>IF(AND(330&gt;=$NR$22,330&lt;=$NS$22),IF($NP$22="Single_Point",IF(330=$NR$22,$NN$22,0),IF($NP$22="Bell_Curve",$NN$22*(330-$NR$22+1)*($NS$22-330+1)/$NU$22,$NN$22/$NT$22)),0)</f>
        <v/>
      </c>
      <c r="LW22" s="228">
        <f>IF(AND(331&gt;=$NR$22,331&lt;=$NS$22),IF($NP$22="Single_Point",IF(331=$NR$22,$NN$22,0),IF($NP$22="Bell_Curve",$NN$22*(331-$NR$22+1)*($NS$22-331+1)/$NU$22,$NN$22/$NT$22)),0)</f>
        <v/>
      </c>
      <c r="LX22" s="228">
        <f>IF(AND(332&gt;=$NR$22,332&lt;=$NS$22),IF($NP$22="Single_Point",IF(332=$NR$22,$NN$22,0),IF($NP$22="Bell_Curve",$NN$22*(332-$NR$22+1)*($NS$22-332+1)/$NU$22,$NN$22/$NT$22)),0)</f>
        <v/>
      </c>
      <c r="LY22" s="228">
        <f>IF(AND(333&gt;=$NR$22,333&lt;=$NS$22),IF($NP$22="Single_Point",IF(333=$NR$22,$NN$22,0),IF($NP$22="Bell_Curve",$NN$22*(333-$NR$22+1)*($NS$22-333+1)/$NU$22,$NN$22/$NT$22)),0)</f>
        <v/>
      </c>
      <c r="LZ22" s="228">
        <f>IF(AND(334&gt;=$NR$22,334&lt;=$NS$22),IF($NP$22="Single_Point",IF(334=$NR$22,$NN$22,0),IF($NP$22="Bell_Curve",$NN$22*(334-$NR$22+1)*($NS$22-334+1)/$NU$22,$NN$22/$NT$22)),0)</f>
        <v/>
      </c>
      <c r="MA22" s="228">
        <f>IF(AND(335&gt;=$NR$22,335&lt;=$NS$22),IF($NP$22="Single_Point",IF(335=$NR$22,$NN$22,0),IF($NP$22="Bell_Curve",$NN$22*(335-$NR$22+1)*($NS$22-335+1)/$NU$22,$NN$22/$NT$22)),0)</f>
        <v/>
      </c>
      <c r="MB22" s="228">
        <f>IF(AND(336&gt;=$NR$22,336&lt;=$NS$22),IF($NP$22="Single_Point",IF(336=$NR$22,$NN$22,0),IF($NP$22="Bell_Curve",$NN$22*(336-$NR$22+1)*($NS$22-336+1)/$NU$22,$NN$22/$NT$22)),0)</f>
        <v/>
      </c>
      <c r="MC22" s="228">
        <f>IF(AND(337&gt;=$NR$22,337&lt;=$NS$22),IF($NP$22="Single_Point",IF(337=$NR$22,$NN$22,0),IF($NP$22="Bell_Curve",$NN$22*(337-$NR$22+1)*($NS$22-337+1)/$NU$22,$NN$22/$NT$22)),0)</f>
        <v/>
      </c>
      <c r="MD22" s="228">
        <f>IF(AND(338&gt;=$NR$22,338&lt;=$NS$22),IF($NP$22="Single_Point",IF(338=$NR$22,$NN$22,0),IF($NP$22="Bell_Curve",$NN$22*(338-$NR$22+1)*($NS$22-338+1)/$NU$22,$NN$22/$NT$22)),0)</f>
        <v/>
      </c>
      <c r="ME22" s="228">
        <f>IF(AND(339&gt;=$NR$22,339&lt;=$NS$22),IF($NP$22="Single_Point",IF(339=$NR$22,$NN$22,0),IF($NP$22="Bell_Curve",$NN$22*(339-$NR$22+1)*($NS$22-339+1)/$NU$22,$NN$22/$NT$22)),0)</f>
        <v/>
      </c>
      <c r="MF22" s="228">
        <f>IF(AND(340&gt;=$NR$22,340&lt;=$NS$22),IF($NP$22="Single_Point",IF(340=$NR$22,$NN$22,0),IF($NP$22="Bell_Curve",$NN$22*(340-$NR$22+1)*($NS$22-340+1)/$NU$22,$NN$22/$NT$22)),0)</f>
        <v/>
      </c>
      <c r="MG22" s="228">
        <f>IF(AND(341&gt;=$NR$22,341&lt;=$NS$22),IF($NP$22="Single_Point",IF(341=$NR$22,$NN$22,0),IF($NP$22="Bell_Curve",$NN$22*(341-$NR$22+1)*($NS$22-341+1)/$NU$22,$NN$22/$NT$22)),0)</f>
        <v/>
      </c>
      <c r="MH22" s="228">
        <f>IF(AND(342&gt;=$NR$22,342&lt;=$NS$22),IF($NP$22="Single_Point",IF(342=$NR$22,$NN$22,0),IF($NP$22="Bell_Curve",$NN$22*(342-$NR$22+1)*($NS$22-342+1)/$NU$22,$NN$22/$NT$22)),0)</f>
        <v/>
      </c>
      <c r="MI22" s="228">
        <f>IF(AND(343&gt;=$NR$22,343&lt;=$NS$22),IF($NP$22="Single_Point",IF(343=$NR$22,$NN$22,0),IF($NP$22="Bell_Curve",$NN$22*(343-$NR$22+1)*($NS$22-343+1)/$NU$22,$NN$22/$NT$22)),0)</f>
        <v/>
      </c>
      <c r="MJ22" s="228">
        <f>IF(AND(344&gt;=$NR$22,344&lt;=$NS$22),IF($NP$22="Single_Point",IF(344=$NR$22,$NN$22,0),IF($NP$22="Bell_Curve",$NN$22*(344-$NR$22+1)*($NS$22-344+1)/$NU$22,$NN$22/$NT$22)),0)</f>
        <v/>
      </c>
      <c r="MK22" s="228">
        <f>IF(AND(345&gt;=$NR$22,345&lt;=$NS$22),IF($NP$22="Single_Point",IF(345=$NR$22,$NN$22,0),IF($NP$22="Bell_Curve",$NN$22*(345-$NR$22+1)*($NS$22-345+1)/$NU$22,$NN$22/$NT$22)),0)</f>
        <v/>
      </c>
      <c r="ML22" s="228">
        <f>IF(AND(346&gt;=$NR$22,346&lt;=$NS$22),IF($NP$22="Single_Point",IF(346=$NR$22,$NN$22,0),IF($NP$22="Bell_Curve",$NN$22*(346-$NR$22+1)*($NS$22-346+1)/$NU$22,$NN$22/$NT$22)),0)</f>
        <v/>
      </c>
      <c r="MM22" s="228">
        <f>IF(AND(347&gt;=$NR$22,347&lt;=$NS$22),IF($NP$22="Single_Point",IF(347=$NR$22,$NN$22,0),IF($NP$22="Bell_Curve",$NN$22*(347-$NR$22+1)*($NS$22-347+1)/$NU$22,$NN$22/$NT$22)),0)</f>
        <v/>
      </c>
      <c r="MN22" s="228">
        <f>IF(AND(348&gt;=$NR$22,348&lt;=$NS$22),IF($NP$22="Single_Point",IF(348=$NR$22,$NN$22,0),IF($NP$22="Bell_Curve",$NN$22*(348-$NR$22+1)*($NS$22-348+1)/$NU$22,$NN$22/$NT$22)),0)</f>
        <v/>
      </c>
      <c r="MO22" s="228">
        <f>IF(AND(349&gt;=$NR$22,349&lt;=$NS$22),IF($NP$22="Single_Point",IF(349=$NR$22,$NN$22,0),IF($NP$22="Bell_Curve",$NN$22*(349-$NR$22+1)*($NS$22-349+1)/$NU$22,$NN$22/$NT$22)),0)</f>
        <v/>
      </c>
      <c r="MP22" s="228">
        <f>IF(AND(350&gt;=$NR$22,350&lt;=$NS$22),IF($NP$22="Single_Point",IF(350=$NR$22,$NN$22,0),IF($NP$22="Bell_Curve",$NN$22*(350-$NR$22+1)*($NS$22-350+1)/$NU$22,$NN$22/$NT$22)),0)</f>
        <v/>
      </c>
      <c r="MQ22" s="228">
        <f>IF(AND(351&gt;=$NR$22,351&lt;=$NS$22),IF($NP$22="Single_Point",IF(351=$NR$22,$NN$22,0),IF($NP$22="Bell_Curve",$NN$22*(351-$NR$22+1)*($NS$22-351+1)/$NU$22,$NN$22/$NT$22)),0)</f>
        <v/>
      </c>
      <c r="MR22" s="228">
        <f>IF(AND(352&gt;=$NR$22,352&lt;=$NS$22),IF($NP$22="Single_Point",IF(352=$NR$22,$NN$22,0),IF($NP$22="Bell_Curve",$NN$22*(352-$NR$22+1)*($NS$22-352+1)/$NU$22,$NN$22/$NT$22)),0)</f>
        <v/>
      </c>
      <c r="MS22" s="228">
        <f>IF(AND(353&gt;=$NR$22,353&lt;=$NS$22),IF($NP$22="Single_Point",IF(353=$NR$22,$NN$22,0),IF($NP$22="Bell_Curve",$NN$22*(353-$NR$22+1)*($NS$22-353+1)/$NU$22,$NN$22/$NT$22)),0)</f>
        <v/>
      </c>
      <c r="MT22" s="228">
        <f>IF(AND(354&gt;=$NR$22,354&lt;=$NS$22),IF($NP$22="Single_Point",IF(354=$NR$22,$NN$22,0),IF($NP$22="Bell_Curve",$NN$22*(354-$NR$22+1)*($NS$22-354+1)/$NU$22,$NN$22/$NT$22)),0)</f>
        <v/>
      </c>
      <c r="MU22" s="228">
        <f>IF(AND(355&gt;=$NR$22,355&lt;=$NS$22),IF($NP$22="Single_Point",IF(355=$NR$22,$NN$22,0),IF($NP$22="Bell_Curve",$NN$22*(355-$NR$22+1)*($NS$22-355+1)/$NU$22,$NN$22/$NT$22)),0)</f>
        <v/>
      </c>
      <c r="MV22" s="228">
        <f>IF(AND(356&gt;=$NR$22,356&lt;=$NS$22),IF($NP$22="Single_Point",IF(356=$NR$22,$NN$22,0),IF($NP$22="Bell_Curve",$NN$22*(356-$NR$22+1)*($NS$22-356+1)/$NU$22,$NN$22/$NT$22)),0)</f>
        <v/>
      </c>
      <c r="MW22" s="228">
        <f>IF(AND(357&gt;=$NR$22,357&lt;=$NS$22),IF($NP$22="Single_Point",IF(357=$NR$22,$NN$22,0),IF($NP$22="Bell_Curve",$NN$22*(357-$NR$22+1)*($NS$22-357+1)/$NU$22,$NN$22/$NT$22)),0)</f>
        <v/>
      </c>
      <c r="MX22" s="228">
        <f>IF(AND(358&gt;=$NR$22,358&lt;=$NS$22),IF($NP$22="Single_Point",IF(358=$NR$22,$NN$22,0),IF($NP$22="Bell_Curve",$NN$22*(358-$NR$22+1)*($NS$22-358+1)/$NU$22,$NN$22/$NT$22)),0)</f>
        <v/>
      </c>
      <c r="MY22" s="228">
        <f>IF(AND(359&gt;=$NR$22,359&lt;=$NS$22),IF($NP$22="Single_Point",IF(359=$NR$22,$NN$22,0),IF($NP$22="Bell_Curve",$NN$22*(359-$NR$22+1)*($NS$22-359+1)/$NU$22,$NN$22/$NT$22)),0)</f>
        <v/>
      </c>
      <c r="MZ22" s="228">
        <f>IF(AND(360&gt;=$NR$22,360&lt;=$NS$22),IF($NP$22="Single_Point",IF(360=$NR$22,$NN$22,0),IF($NP$22="Bell_Curve",$NN$22*(360-$NR$22+1)*($NS$22-360+1)/$NU$22,$NN$22/$NT$22)),0)</f>
        <v/>
      </c>
      <c r="NA22" s="228">
        <f>IF(AND(361&gt;=$NR$22,361&lt;=$NS$22),IF($NP$22="Single_Point",IF(361=$NR$22,$NN$22,0),IF($NP$22="Bell_Curve",$NN$22*(361-$NR$22+1)*($NS$22-361+1)/$NU$22,$NN$22/$NT$22)),0)</f>
        <v/>
      </c>
      <c r="NB22" s="228">
        <f>IF(AND(362&gt;=$NR$22,362&lt;=$NS$22),IF($NP$22="Single_Point",IF(362=$NR$22,$NN$22,0),IF($NP$22="Bell_Curve",$NN$22*(362-$NR$22+1)*($NS$22-362+1)/$NU$22,$NN$22/$NT$22)),0)</f>
        <v/>
      </c>
      <c r="NC22" s="228">
        <f>IF(AND(363&gt;=$NR$22,363&lt;=$NS$22),IF($NP$22="Single_Point",IF(363=$NR$22,$NN$22,0),IF($NP$22="Bell_Curve",$NN$22*(363-$NR$22+1)*($NS$22-363+1)/$NU$22,$NN$22/$NT$22)),0)</f>
        <v/>
      </c>
      <c r="ND22" s="228">
        <f>IF(AND(364&gt;=$NR$22,364&lt;=$NS$22),IF($NP$22="Single_Point",IF(364=$NR$22,$NN$22,0),IF($NP$22="Bell_Curve",$NN$22*(364-$NR$22+1)*($NS$22-364+1)/$NU$22,$NN$22/$NT$22)),0)</f>
        <v/>
      </c>
      <c r="NE22" s="228">
        <f>IF(AND(365&gt;=$NR$22,365&lt;=$NS$22),IF($NP$22="Single_Point",IF(365=$NR$22,$NN$22,0),IF($NP$22="Bell_Curve",$NN$22*(365-$NR$22+1)*($NS$22-365+1)/$NU$22,$NN$22/$NT$22)),0)</f>
        <v/>
      </c>
      <c r="NF22" s="228">
        <f>IF(AND(366&gt;=$NR$22,366&lt;=$NS$22),IF($NP$22="Single_Point",IF(366=$NR$22,$NN$22,0),IF($NP$22="Bell_Curve",$NN$22*(366-$NR$22+1)*($NS$22-366+1)/$NU$22,$NN$22/$NT$22)),0)</f>
        <v/>
      </c>
      <c r="NG22" s="228">
        <f>IF(AND(367&gt;=$NR$22,367&lt;=$NS$22),IF($NP$22="Single_Point",IF(367=$NR$22,$NN$22,0),IF($NP$22="Bell_Curve",$NN$22*(367-$NR$22+1)*($NS$22-367+1)/$NU$22,$NN$22/$NT$22)),0)</f>
        <v/>
      </c>
      <c r="NH22" s="228">
        <f>IF(AND(368&gt;=$NR$22,368&lt;=$NS$22),IF($NP$22="Single_Point",IF(368=$NR$22,$NN$22,0),IF($NP$22="Bell_Curve",$NN$22*(368-$NR$22+1)*($NS$22-368+1)/$NU$22,$NN$22/$NT$22)),0)</f>
        <v/>
      </c>
      <c r="NI22" s="228">
        <f>IF(AND(369&gt;=$NR$22,369&lt;=$NS$22),IF($NP$22="Single_Point",IF(369=$NR$22,$NN$22,0),IF($NP$22="Bell_Curve",$NN$22*(369-$NR$22+1)*($NS$22-369+1)/$NU$22,$NN$22/$NT$22)),0)</f>
        <v/>
      </c>
      <c r="NJ22" s="228">
        <f>IF(AND(370&gt;=$NR$22,370&lt;=$NS$22),IF($NP$22="Single_Point",IF(370=$NR$22,$NN$22,0),IF($NP$22="Bell_Curve",$NN$22*(370-$NR$22+1)*($NS$22-370+1)/$NU$22,$NN$22/$NT$22)),0)</f>
        <v/>
      </c>
      <c r="NK22" s="228">
        <f>IF(AND(371&gt;=$NR$22,371&lt;=$NS$22),IF($NP$22="Single_Point",IF(371=$NR$22,$NN$22,0),IF($NP$22="Bell_Curve",$NN$22*(371-$NR$22+1)*($NS$22-371+1)/$NU$22,$NN$22/$NT$22)),0)</f>
        <v/>
      </c>
      <c r="NL22" s="247">
        <f>IF(AND(372&gt;=$NR$22,372&lt;=$NS$22),IF($NP$22="Single_Point",IF(372=$NR$22,$NN$22,0),IF($NP$22="Bell_Curve",$NN$22*(372-$NR$22+1)*($NS$22-372+1)/$NU$22,$NN$22/$NT$22)),0)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36" t="inlineStr">
        <is>
          <t>Other Soft Cost 3 - Testing</t>
        </is>
      </c>
      <c r="D23" s="246">
        <f>SUM(E23:NL23)</f>
        <v/>
      </c>
      <c r="E23" s="228">
        <f>IF(AND(1&gt;=$NR$23,1&lt;=$NS$23),IF($NP$23="Single_Point",IF(1=$NR$23,$NN$23,0),IF($NP$23="Bell_Curve",$NN$23*(1-$NR$23+1)*($NS$23-1+1)/$NU$23,$NN$23/$NT$23)),0)</f>
        <v/>
      </c>
      <c r="F23" s="228">
        <f>IF(AND(2&gt;=$NR$23,2&lt;=$NS$23),IF($NP$23="Single_Point",IF(2=$NR$23,$NN$23,0),IF($NP$23="Bell_Curve",$NN$23*(2-$NR$23+1)*($NS$23-2+1)/$NU$23,$NN$23/$NT$23)),0)</f>
        <v/>
      </c>
      <c r="G23" s="228">
        <f>IF(AND(3&gt;=$NR$23,3&lt;=$NS$23),IF($NP$23="Single_Point",IF(3=$NR$23,$NN$23,0),IF($NP$23="Bell_Curve",$NN$23*(3-$NR$23+1)*($NS$23-3+1)/$NU$23,$NN$23/$NT$23)),0)</f>
        <v/>
      </c>
      <c r="H23" s="228">
        <f>IF(AND(4&gt;=$NR$23,4&lt;=$NS$23),IF($NP$23="Single_Point",IF(4=$NR$23,$NN$23,0),IF($NP$23="Bell_Curve",$NN$23*(4-$NR$23+1)*($NS$23-4+1)/$NU$23,$NN$23/$NT$23)),0)</f>
        <v/>
      </c>
      <c r="I23" s="228">
        <f>IF(AND(5&gt;=$NR$23,5&lt;=$NS$23),IF($NP$23="Single_Point",IF(5=$NR$23,$NN$23,0),IF($NP$23="Bell_Curve",$NN$23*(5-$NR$23+1)*($NS$23-5+1)/$NU$23,$NN$23/$NT$23)),0)</f>
        <v/>
      </c>
      <c r="J23" s="228">
        <f>IF(AND(6&gt;=$NR$23,6&lt;=$NS$23),IF($NP$23="Single_Point",IF(6=$NR$23,$NN$23,0),IF($NP$23="Bell_Curve",$NN$23*(6-$NR$23+1)*($NS$23-6+1)/$NU$23,$NN$23/$NT$23)),0)</f>
        <v/>
      </c>
      <c r="K23" s="228">
        <f>IF(AND(7&gt;=$NR$23,7&lt;=$NS$23),IF($NP$23="Single_Point",IF(7=$NR$23,$NN$23,0),IF($NP$23="Bell_Curve",$NN$23*(7-$NR$23+1)*($NS$23-7+1)/$NU$23,$NN$23/$NT$23)),0)</f>
        <v/>
      </c>
      <c r="L23" s="228">
        <f>IF(AND(8&gt;=$NR$23,8&lt;=$NS$23),IF($NP$23="Single_Point",IF(8=$NR$23,$NN$23,0),IF($NP$23="Bell_Curve",$NN$23*(8-$NR$23+1)*($NS$23-8+1)/$NU$23,$NN$23/$NT$23)),0)</f>
        <v/>
      </c>
      <c r="M23" s="228">
        <f>IF(AND(9&gt;=$NR$23,9&lt;=$NS$23),IF($NP$23="Single_Point",IF(9=$NR$23,$NN$23,0),IF($NP$23="Bell_Curve",$NN$23*(9-$NR$23+1)*($NS$23-9+1)/$NU$23,$NN$23/$NT$23)),0)</f>
        <v/>
      </c>
      <c r="N23" s="228">
        <f>IF(AND(10&gt;=$NR$23,10&lt;=$NS$23),IF($NP$23="Single_Point",IF(10=$NR$23,$NN$23,0),IF($NP$23="Bell_Curve",$NN$23*(10-$NR$23+1)*($NS$23-10+1)/$NU$23,$NN$23/$NT$23)),0)</f>
        <v/>
      </c>
      <c r="O23" s="228">
        <f>IF(AND(11&gt;=$NR$23,11&lt;=$NS$23),IF($NP$23="Single_Point",IF(11=$NR$23,$NN$23,0),IF($NP$23="Bell_Curve",$NN$23*(11-$NR$23+1)*($NS$23-11+1)/$NU$23,$NN$23/$NT$23)),0)</f>
        <v/>
      </c>
      <c r="P23" s="228">
        <f>IF(AND(12&gt;=$NR$23,12&lt;=$NS$23),IF($NP$23="Single_Point",IF(12=$NR$23,$NN$23,0),IF($NP$23="Bell_Curve",$NN$23*(12-$NR$23+1)*($NS$23-12+1)/$NU$23,$NN$23/$NT$23)),0)</f>
        <v/>
      </c>
      <c r="Q23" s="228">
        <f>IF(AND(13&gt;=$NR$23,13&lt;=$NS$23),IF($NP$23="Single_Point",IF(13=$NR$23,$NN$23,0),IF($NP$23="Bell_Curve",$NN$23*(13-$NR$23+1)*($NS$23-13+1)/$NU$23,$NN$23/$NT$23)),0)</f>
        <v/>
      </c>
      <c r="R23" s="228">
        <f>IF(AND(14&gt;=$NR$23,14&lt;=$NS$23),IF($NP$23="Single_Point",IF(14=$NR$23,$NN$23,0),IF($NP$23="Bell_Curve",$NN$23*(14-$NR$23+1)*($NS$23-14+1)/$NU$23,$NN$23/$NT$23)),0)</f>
        <v/>
      </c>
      <c r="S23" s="228">
        <f>IF(AND(15&gt;=$NR$23,15&lt;=$NS$23),IF($NP$23="Single_Point",IF(15=$NR$23,$NN$23,0),IF($NP$23="Bell_Curve",$NN$23*(15-$NR$23+1)*($NS$23-15+1)/$NU$23,$NN$23/$NT$23)),0)</f>
        <v/>
      </c>
      <c r="T23" s="228">
        <f>IF(AND(16&gt;=$NR$23,16&lt;=$NS$23),IF($NP$23="Single_Point",IF(16=$NR$23,$NN$23,0),IF($NP$23="Bell_Curve",$NN$23*(16-$NR$23+1)*($NS$23-16+1)/$NU$23,$NN$23/$NT$23)),0)</f>
        <v/>
      </c>
      <c r="U23" s="228">
        <f>IF(AND(17&gt;=$NR$23,17&lt;=$NS$23),IF($NP$23="Single_Point",IF(17=$NR$23,$NN$23,0),IF($NP$23="Bell_Curve",$NN$23*(17-$NR$23+1)*($NS$23-17+1)/$NU$23,$NN$23/$NT$23)),0)</f>
        <v/>
      </c>
      <c r="V23" s="228">
        <f>IF(AND(18&gt;=$NR$23,18&lt;=$NS$23),IF($NP$23="Single_Point",IF(18=$NR$23,$NN$23,0),IF($NP$23="Bell_Curve",$NN$23*(18-$NR$23+1)*($NS$23-18+1)/$NU$23,$NN$23/$NT$23)),0)</f>
        <v/>
      </c>
      <c r="W23" s="228">
        <f>IF(AND(19&gt;=$NR$23,19&lt;=$NS$23),IF($NP$23="Single_Point",IF(19=$NR$23,$NN$23,0),IF($NP$23="Bell_Curve",$NN$23*(19-$NR$23+1)*($NS$23-19+1)/$NU$23,$NN$23/$NT$23)),0)</f>
        <v/>
      </c>
      <c r="X23" s="228">
        <f>IF(AND(20&gt;=$NR$23,20&lt;=$NS$23),IF($NP$23="Single_Point",IF(20=$NR$23,$NN$23,0),IF($NP$23="Bell_Curve",$NN$23*(20-$NR$23+1)*($NS$23-20+1)/$NU$23,$NN$23/$NT$23)),0)</f>
        <v/>
      </c>
      <c r="Y23" s="228">
        <f>IF(AND(21&gt;=$NR$23,21&lt;=$NS$23),IF($NP$23="Single_Point",IF(21=$NR$23,$NN$23,0),IF($NP$23="Bell_Curve",$NN$23*(21-$NR$23+1)*($NS$23-21+1)/$NU$23,$NN$23/$NT$23)),0)</f>
        <v/>
      </c>
      <c r="Z23" s="228">
        <f>IF(AND(22&gt;=$NR$23,22&lt;=$NS$23),IF($NP$23="Single_Point",IF(22=$NR$23,$NN$23,0),IF($NP$23="Bell_Curve",$NN$23*(22-$NR$23+1)*($NS$23-22+1)/$NU$23,$NN$23/$NT$23)),0)</f>
        <v/>
      </c>
      <c r="AA23" s="228">
        <f>IF(AND(23&gt;=$NR$23,23&lt;=$NS$23),IF($NP$23="Single_Point",IF(23=$NR$23,$NN$23,0),IF($NP$23="Bell_Curve",$NN$23*(23-$NR$23+1)*($NS$23-23+1)/$NU$23,$NN$23/$NT$23)),0)</f>
        <v/>
      </c>
      <c r="AB23" s="228">
        <f>IF(AND(24&gt;=$NR$23,24&lt;=$NS$23),IF($NP$23="Single_Point",IF(24=$NR$23,$NN$23,0),IF($NP$23="Bell_Curve",$NN$23*(24-$NR$23+1)*($NS$23-24+1)/$NU$23,$NN$23/$NT$23)),0)</f>
        <v/>
      </c>
      <c r="AC23" s="228">
        <f>IF(AND(25&gt;=$NR$23,25&lt;=$NS$23),IF($NP$23="Single_Point",IF(25=$NR$23,$NN$23,0),IF($NP$23="Bell_Curve",$NN$23*(25-$NR$23+1)*($NS$23-25+1)/$NU$23,$NN$23/$NT$23)),0)</f>
        <v/>
      </c>
      <c r="AD23" s="228">
        <f>IF(AND(26&gt;=$NR$23,26&lt;=$NS$23),IF($NP$23="Single_Point",IF(26=$NR$23,$NN$23,0),IF($NP$23="Bell_Curve",$NN$23*(26-$NR$23+1)*($NS$23-26+1)/$NU$23,$NN$23/$NT$23)),0)</f>
        <v/>
      </c>
      <c r="AE23" s="228">
        <f>IF(AND(27&gt;=$NR$23,27&lt;=$NS$23),IF($NP$23="Single_Point",IF(27=$NR$23,$NN$23,0),IF($NP$23="Bell_Curve",$NN$23*(27-$NR$23+1)*($NS$23-27+1)/$NU$23,$NN$23/$NT$23)),0)</f>
        <v/>
      </c>
      <c r="AF23" s="228">
        <f>IF(AND(28&gt;=$NR$23,28&lt;=$NS$23),IF($NP$23="Single_Point",IF(28=$NR$23,$NN$23,0),IF($NP$23="Bell_Curve",$NN$23*(28-$NR$23+1)*($NS$23-28+1)/$NU$23,$NN$23/$NT$23)),0)</f>
        <v/>
      </c>
      <c r="AG23" s="228">
        <f>IF(AND(29&gt;=$NR$23,29&lt;=$NS$23),IF($NP$23="Single_Point",IF(29=$NR$23,$NN$23,0),IF($NP$23="Bell_Curve",$NN$23*(29-$NR$23+1)*($NS$23-29+1)/$NU$23,$NN$23/$NT$23)),0)</f>
        <v/>
      </c>
      <c r="AH23" s="228">
        <f>IF(AND(30&gt;=$NR$23,30&lt;=$NS$23),IF($NP$23="Single_Point",IF(30=$NR$23,$NN$23,0),IF($NP$23="Bell_Curve",$NN$23*(30-$NR$23+1)*($NS$23-30+1)/$NU$23,$NN$23/$NT$23)),0)</f>
        <v/>
      </c>
      <c r="AI23" s="228">
        <f>IF(AND(31&gt;=$NR$23,31&lt;=$NS$23),IF($NP$23="Single_Point",IF(31=$NR$23,$NN$23,0),IF($NP$23="Bell_Curve",$NN$23*(31-$NR$23+1)*($NS$23-31+1)/$NU$23,$NN$23/$NT$23)),0)</f>
        <v/>
      </c>
      <c r="AJ23" s="228">
        <f>IF(AND(32&gt;=$NR$23,32&lt;=$NS$23),IF($NP$23="Single_Point",IF(32=$NR$23,$NN$23,0),IF($NP$23="Bell_Curve",$NN$23*(32-$NR$23+1)*($NS$23-32+1)/$NU$23,$NN$23/$NT$23)),0)</f>
        <v/>
      </c>
      <c r="AK23" s="228">
        <f>IF(AND(33&gt;=$NR$23,33&lt;=$NS$23),IF($NP$23="Single_Point",IF(33=$NR$23,$NN$23,0),IF($NP$23="Bell_Curve",$NN$23*(33-$NR$23+1)*($NS$23-33+1)/$NU$23,$NN$23/$NT$23)),0)</f>
        <v/>
      </c>
      <c r="AL23" s="228">
        <f>IF(AND(34&gt;=$NR$23,34&lt;=$NS$23),IF($NP$23="Single_Point",IF(34=$NR$23,$NN$23,0),IF($NP$23="Bell_Curve",$NN$23*(34-$NR$23+1)*($NS$23-34+1)/$NU$23,$NN$23/$NT$23)),0)</f>
        <v/>
      </c>
      <c r="AM23" s="228">
        <f>IF(AND(35&gt;=$NR$23,35&lt;=$NS$23),IF($NP$23="Single_Point",IF(35=$NR$23,$NN$23,0),IF($NP$23="Bell_Curve",$NN$23*(35-$NR$23+1)*($NS$23-35+1)/$NU$23,$NN$23/$NT$23)),0)</f>
        <v/>
      </c>
      <c r="AN23" s="228">
        <f>IF(AND(36&gt;=$NR$23,36&lt;=$NS$23),IF($NP$23="Single_Point",IF(36=$NR$23,$NN$23,0),IF($NP$23="Bell_Curve",$NN$23*(36-$NR$23+1)*($NS$23-36+1)/$NU$23,$NN$23/$NT$23)),0)</f>
        <v/>
      </c>
      <c r="AO23" s="228">
        <f>IF(AND(37&gt;=$NR$23,37&lt;=$NS$23),IF($NP$23="Single_Point",IF(37=$NR$23,$NN$23,0),IF($NP$23="Bell_Curve",$NN$23*(37-$NR$23+1)*($NS$23-37+1)/$NU$23,$NN$23/$NT$23)),0)</f>
        <v/>
      </c>
      <c r="AP23" s="228">
        <f>IF(AND(38&gt;=$NR$23,38&lt;=$NS$23),IF($NP$23="Single_Point",IF(38=$NR$23,$NN$23,0),IF($NP$23="Bell_Curve",$NN$23*(38-$NR$23+1)*($NS$23-38+1)/$NU$23,$NN$23/$NT$23)),0)</f>
        <v/>
      </c>
      <c r="AQ23" s="228">
        <f>IF(AND(39&gt;=$NR$23,39&lt;=$NS$23),IF($NP$23="Single_Point",IF(39=$NR$23,$NN$23,0),IF($NP$23="Bell_Curve",$NN$23*(39-$NR$23+1)*($NS$23-39+1)/$NU$23,$NN$23/$NT$23)),0)</f>
        <v/>
      </c>
      <c r="AR23" s="228">
        <f>IF(AND(40&gt;=$NR$23,40&lt;=$NS$23),IF($NP$23="Single_Point",IF(40=$NR$23,$NN$23,0),IF($NP$23="Bell_Curve",$NN$23*(40-$NR$23+1)*($NS$23-40+1)/$NU$23,$NN$23/$NT$23)),0)</f>
        <v/>
      </c>
      <c r="AS23" s="228">
        <f>IF(AND(41&gt;=$NR$23,41&lt;=$NS$23),IF($NP$23="Single_Point",IF(41=$NR$23,$NN$23,0),IF($NP$23="Bell_Curve",$NN$23*(41-$NR$23+1)*($NS$23-41+1)/$NU$23,$NN$23/$NT$23)),0)</f>
        <v/>
      </c>
      <c r="AT23" s="228">
        <f>IF(AND(42&gt;=$NR$23,42&lt;=$NS$23),IF($NP$23="Single_Point",IF(42=$NR$23,$NN$23,0),IF($NP$23="Bell_Curve",$NN$23*(42-$NR$23+1)*($NS$23-42+1)/$NU$23,$NN$23/$NT$23)),0)</f>
        <v/>
      </c>
      <c r="AU23" s="228">
        <f>IF(AND(43&gt;=$NR$23,43&lt;=$NS$23),IF($NP$23="Single_Point",IF(43=$NR$23,$NN$23,0),IF($NP$23="Bell_Curve",$NN$23*(43-$NR$23+1)*($NS$23-43+1)/$NU$23,$NN$23/$NT$23)),0)</f>
        <v/>
      </c>
      <c r="AV23" s="228">
        <f>IF(AND(44&gt;=$NR$23,44&lt;=$NS$23),IF($NP$23="Single_Point",IF(44=$NR$23,$NN$23,0),IF($NP$23="Bell_Curve",$NN$23*(44-$NR$23+1)*($NS$23-44+1)/$NU$23,$NN$23/$NT$23)),0)</f>
        <v/>
      </c>
      <c r="AW23" s="228">
        <f>IF(AND(45&gt;=$NR$23,45&lt;=$NS$23),IF($NP$23="Single_Point",IF(45=$NR$23,$NN$23,0),IF($NP$23="Bell_Curve",$NN$23*(45-$NR$23+1)*($NS$23-45+1)/$NU$23,$NN$23/$NT$23)),0)</f>
        <v/>
      </c>
      <c r="AX23" s="228">
        <f>IF(AND(46&gt;=$NR$23,46&lt;=$NS$23),IF($NP$23="Single_Point",IF(46=$NR$23,$NN$23,0),IF($NP$23="Bell_Curve",$NN$23*(46-$NR$23+1)*($NS$23-46+1)/$NU$23,$NN$23/$NT$23)),0)</f>
        <v/>
      </c>
      <c r="AY23" s="228">
        <f>IF(AND(47&gt;=$NR$23,47&lt;=$NS$23),IF($NP$23="Single_Point",IF(47=$NR$23,$NN$23,0),IF($NP$23="Bell_Curve",$NN$23*(47-$NR$23+1)*($NS$23-47+1)/$NU$23,$NN$23/$NT$23)),0)</f>
        <v/>
      </c>
      <c r="AZ23" s="228">
        <f>IF(AND(48&gt;=$NR$23,48&lt;=$NS$23),IF($NP$23="Single_Point",IF(48=$NR$23,$NN$23,0),IF($NP$23="Bell_Curve",$NN$23*(48-$NR$23+1)*($NS$23-48+1)/$NU$23,$NN$23/$NT$23)),0)</f>
        <v/>
      </c>
      <c r="BA23" s="228">
        <f>IF(AND(49&gt;=$NR$23,49&lt;=$NS$23),IF($NP$23="Single_Point",IF(49=$NR$23,$NN$23,0),IF($NP$23="Bell_Curve",$NN$23*(49-$NR$23+1)*($NS$23-49+1)/$NU$23,$NN$23/$NT$23)),0)</f>
        <v/>
      </c>
      <c r="BB23" s="228">
        <f>IF(AND(50&gt;=$NR$23,50&lt;=$NS$23),IF($NP$23="Single_Point",IF(50=$NR$23,$NN$23,0),IF($NP$23="Bell_Curve",$NN$23*(50-$NR$23+1)*($NS$23-50+1)/$NU$23,$NN$23/$NT$23)),0)</f>
        <v/>
      </c>
      <c r="BC23" s="228">
        <f>IF(AND(51&gt;=$NR$23,51&lt;=$NS$23),IF($NP$23="Single_Point",IF(51=$NR$23,$NN$23,0),IF($NP$23="Bell_Curve",$NN$23*(51-$NR$23+1)*($NS$23-51+1)/$NU$23,$NN$23/$NT$23)),0)</f>
        <v/>
      </c>
      <c r="BD23" s="228">
        <f>IF(AND(52&gt;=$NR$23,52&lt;=$NS$23),IF($NP$23="Single_Point",IF(52=$NR$23,$NN$23,0),IF($NP$23="Bell_Curve",$NN$23*(52-$NR$23+1)*($NS$23-52+1)/$NU$23,$NN$23/$NT$23)),0)</f>
        <v/>
      </c>
      <c r="BE23" s="228">
        <f>IF(AND(53&gt;=$NR$23,53&lt;=$NS$23),IF($NP$23="Single_Point",IF(53=$NR$23,$NN$23,0),IF($NP$23="Bell_Curve",$NN$23*(53-$NR$23+1)*($NS$23-53+1)/$NU$23,$NN$23/$NT$23)),0)</f>
        <v/>
      </c>
      <c r="BF23" s="228">
        <f>IF(AND(54&gt;=$NR$23,54&lt;=$NS$23),IF($NP$23="Single_Point",IF(54=$NR$23,$NN$23,0),IF($NP$23="Bell_Curve",$NN$23*(54-$NR$23+1)*($NS$23-54+1)/$NU$23,$NN$23/$NT$23)),0)</f>
        <v/>
      </c>
      <c r="BG23" s="228">
        <f>IF(AND(55&gt;=$NR$23,55&lt;=$NS$23),IF($NP$23="Single_Point",IF(55=$NR$23,$NN$23,0),IF($NP$23="Bell_Curve",$NN$23*(55-$NR$23+1)*($NS$23-55+1)/$NU$23,$NN$23/$NT$23)),0)</f>
        <v/>
      </c>
      <c r="BH23" s="228">
        <f>IF(AND(56&gt;=$NR$23,56&lt;=$NS$23),IF($NP$23="Single_Point",IF(56=$NR$23,$NN$23,0),IF($NP$23="Bell_Curve",$NN$23*(56-$NR$23+1)*($NS$23-56+1)/$NU$23,$NN$23/$NT$23)),0)</f>
        <v/>
      </c>
      <c r="BI23" s="228">
        <f>IF(AND(57&gt;=$NR$23,57&lt;=$NS$23),IF($NP$23="Single_Point",IF(57=$NR$23,$NN$23,0),IF($NP$23="Bell_Curve",$NN$23*(57-$NR$23+1)*($NS$23-57+1)/$NU$23,$NN$23/$NT$23)),0)</f>
        <v/>
      </c>
      <c r="BJ23" s="228">
        <f>IF(AND(58&gt;=$NR$23,58&lt;=$NS$23),IF($NP$23="Single_Point",IF(58=$NR$23,$NN$23,0),IF($NP$23="Bell_Curve",$NN$23*(58-$NR$23+1)*($NS$23-58+1)/$NU$23,$NN$23/$NT$23)),0)</f>
        <v/>
      </c>
      <c r="BK23" s="228">
        <f>IF(AND(59&gt;=$NR$23,59&lt;=$NS$23),IF($NP$23="Single_Point",IF(59=$NR$23,$NN$23,0),IF($NP$23="Bell_Curve",$NN$23*(59-$NR$23+1)*($NS$23-59+1)/$NU$23,$NN$23/$NT$23)),0)</f>
        <v/>
      </c>
      <c r="BL23" s="228">
        <f>IF(AND(60&gt;=$NR$23,60&lt;=$NS$23),IF($NP$23="Single_Point",IF(60=$NR$23,$NN$23,0),IF($NP$23="Bell_Curve",$NN$23*(60-$NR$23+1)*($NS$23-60+1)/$NU$23,$NN$23/$NT$23)),0)</f>
        <v/>
      </c>
      <c r="BM23" s="228">
        <f>IF(AND(61&gt;=$NR$23,61&lt;=$NS$23),IF($NP$23="Single_Point",IF(61=$NR$23,$NN$23,0),IF($NP$23="Bell_Curve",$NN$23*(61-$NR$23+1)*($NS$23-61+1)/$NU$23,$NN$23/$NT$23)),0)</f>
        <v/>
      </c>
      <c r="BN23" s="228">
        <f>IF(AND(62&gt;=$NR$23,62&lt;=$NS$23),IF($NP$23="Single_Point",IF(62=$NR$23,$NN$23,0),IF($NP$23="Bell_Curve",$NN$23*(62-$NR$23+1)*($NS$23-62+1)/$NU$23,$NN$23/$NT$23)),0)</f>
        <v/>
      </c>
      <c r="BO23" s="228">
        <f>IF(AND(63&gt;=$NR$23,63&lt;=$NS$23),IF($NP$23="Single_Point",IF(63=$NR$23,$NN$23,0),IF($NP$23="Bell_Curve",$NN$23*(63-$NR$23+1)*($NS$23-63+1)/$NU$23,$NN$23/$NT$23)),0)</f>
        <v/>
      </c>
      <c r="BP23" s="228">
        <f>IF(AND(64&gt;=$NR$23,64&lt;=$NS$23),IF($NP$23="Single_Point",IF(64=$NR$23,$NN$23,0),IF($NP$23="Bell_Curve",$NN$23*(64-$NR$23+1)*($NS$23-64+1)/$NU$23,$NN$23/$NT$23)),0)</f>
        <v/>
      </c>
      <c r="BQ23" s="228">
        <f>IF(AND(65&gt;=$NR$23,65&lt;=$NS$23),IF($NP$23="Single_Point",IF(65=$NR$23,$NN$23,0),IF($NP$23="Bell_Curve",$NN$23*(65-$NR$23+1)*($NS$23-65+1)/$NU$23,$NN$23/$NT$23)),0)</f>
        <v/>
      </c>
      <c r="BR23" s="228">
        <f>IF(AND(66&gt;=$NR$23,66&lt;=$NS$23),IF($NP$23="Single_Point",IF(66=$NR$23,$NN$23,0),IF($NP$23="Bell_Curve",$NN$23*(66-$NR$23+1)*($NS$23-66+1)/$NU$23,$NN$23/$NT$23)),0)</f>
        <v/>
      </c>
      <c r="BS23" s="228">
        <f>IF(AND(67&gt;=$NR$23,67&lt;=$NS$23),IF($NP$23="Single_Point",IF(67=$NR$23,$NN$23,0),IF($NP$23="Bell_Curve",$NN$23*(67-$NR$23+1)*($NS$23-67+1)/$NU$23,$NN$23/$NT$23)),0)</f>
        <v/>
      </c>
      <c r="BT23" s="228">
        <f>IF(AND(68&gt;=$NR$23,68&lt;=$NS$23),IF($NP$23="Single_Point",IF(68=$NR$23,$NN$23,0),IF($NP$23="Bell_Curve",$NN$23*(68-$NR$23+1)*($NS$23-68+1)/$NU$23,$NN$23/$NT$23)),0)</f>
        <v/>
      </c>
      <c r="BU23" s="228">
        <f>IF(AND(69&gt;=$NR$23,69&lt;=$NS$23),IF($NP$23="Single_Point",IF(69=$NR$23,$NN$23,0),IF($NP$23="Bell_Curve",$NN$23*(69-$NR$23+1)*($NS$23-69+1)/$NU$23,$NN$23/$NT$23)),0)</f>
        <v/>
      </c>
      <c r="BV23" s="228">
        <f>IF(AND(70&gt;=$NR$23,70&lt;=$NS$23),IF($NP$23="Single_Point",IF(70=$NR$23,$NN$23,0),IF($NP$23="Bell_Curve",$NN$23*(70-$NR$23+1)*($NS$23-70+1)/$NU$23,$NN$23/$NT$23)),0)</f>
        <v/>
      </c>
      <c r="BW23" s="228">
        <f>IF(AND(71&gt;=$NR$23,71&lt;=$NS$23),IF($NP$23="Single_Point",IF(71=$NR$23,$NN$23,0),IF($NP$23="Bell_Curve",$NN$23*(71-$NR$23+1)*($NS$23-71+1)/$NU$23,$NN$23/$NT$23)),0)</f>
        <v/>
      </c>
      <c r="BX23" s="228">
        <f>IF(AND(72&gt;=$NR$23,72&lt;=$NS$23),IF($NP$23="Single_Point",IF(72=$NR$23,$NN$23,0),IF($NP$23="Bell_Curve",$NN$23*(72-$NR$23+1)*($NS$23-72+1)/$NU$23,$NN$23/$NT$23)),0)</f>
        <v/>
      </c>
      <c r="BY23" s="228">
        <f>IF(AND(73&gt;=$NR$23,73&lt;=$NS$23),IF($NP$23="Single_Point",IF(73=$NR$23,$NN$23,0),IF($NP$23="Bell_Curve",$NN$23*(73-$NR$23+1)*($NS$23-73+1)/$NU$23,$NN$23/$NT$23)),0)</f>
        <v/>
      </c>
      <c r="BZ23" s="228">
        <f>IF(AND(74&gt;=$NR$23,74&lt;=$NS$23),IF($NP$23="Single_Point",IF(74=$NR$23,$NN$23,0),IF($NP$23="Bell_Curve",$NN$23*(74-$NR$23+1)*($NS$23-74+1)/$NU$23,$NN$23/$NT$23)),0)</f>
        <v/>
      </c>
      <c r="CA23" s="228">
        <f>IF(AND(75&gt;=$NR$23,75&lt;=$NS$23),IF($NP$23="Single_Point",IF(75=$NR$23,$NN$23,0),IF($NP$23="Bell_Curve",$NN$23*(75-$NR$23+1)*($NS$23-75+1)/$NU$23,$NN$23/$NT$23)),0)</f>
        <v/>
      </c>
      <c r="CB23" s="228">
        <f>IF(AND(76&gt;=$NR$23,76&lt;=$NS$23),IF($NP$23="Single_Point",IF(76=$NR$23,$NN$23,0),IF($NP$23="Bell_Curve",$NN$23*(76-$NR$23+1)*($NS$23-76+1)/$NU$23,$NN$23/$NT$23)),0)</f>
        <v/>
      </c>
      <c r="CC23" s="228">
        <f>IF(AND(77&gt;=$NR$23,77&lt;=$NS$23),IF($NP$23="Single_Point",IF(77=$NR$23,$NN$23,0),IF($NP$23="Bell_Curve",$NN$23*(77-$NR$23+1)*($NS$23-77+1)/$NU$23,$NN$23/$NT$23)),0)</f>
        <v/>
      </c>
      <c r="CD23" s="228">
        <f>IF(AND(78&gt;=$NR$23,78&lt;=$NS$23),IF($NP$23="Single_Point",IF(78=$NR$23,$NN$23,0),IF($NP$23="Bell_Curve",$NN$23*(78-$NR$23+1)*($NS$23-78+1)/$NU$23,$NN$23/$NT$23)),0)</f>
        <v/>
      </c>
      <c r="CE23" s="228">
        <f>IF(AND(79&gt;=$NR$23,79&lt;=$NS$23),IF($NP$23="Single_Point",IF(79=$NR$23,$NN$23,0),IF($NP$23="Bell_Curve",$NN$23*(79-$NR$23+1)*($NS$23-79+1)/$NU$23,$NN$23/$NT$23)),0)</f>
        <v/>
      </c>
      <c r="CF23" s="228">
        <f>IF(AND(80&gt;=$NR$23,80&lt;=$NS$23),IF($NP$23="Single_Point",IF(80=$NR$23,$NN$23,0),IF($NP$23="Bell_Curve",$NN$23*(80-$NR$23+1)*($NS$23-80+1)/$NU$23,$NN$23/$NT$23)),0)</f>
        <v/>
      </c>
      <c r="CG23" s="228">
        <f>IF(AND(81&gt;=$NR$23,81&lt;=$NS$23),IF($NP$23="Single_Point",IF(81=$NR$23,$NN$23,0),IF($NP$23="Bell_Curve",$NN$23*(81-$NR$23+1)*($NS$23-81+1)/$NU$23,$NN$23/$NT$23)),0)</f>
        <v/>
      </c>
      <c r="CH23" s="228">
        <f>IF(AND(82&gt;=$NR$23,82&lt;=$NS$23),IF($NP$23="Single_Point",IF(82=$NR$23,$NN$23,0),IF($NP$23="Bell_Curve",$NN$23*(82-$NR$23+1)*($NS$23-82+1)/$NU$23,$NN$23/$NT$23)),0)</f>
        <v/>
      </c>
      <c r="CI23" s="228">
        <f>IF(AND(83&gt;=$NR$23,83&lt;=$NS$23),IF($NP$23="Single_Point",IF(83=$NR$23,$NN$23,0),IF($NP$23="Bell_Curve",$NN$23*(83-$NR$23+1)*($NS$23-83+1)/$NU$23,$NN$23/$NT$23)),0)</f>
        <v/>
      </c>
      <c r="CJ23" s="228">
        <f>IF(AND(84&gt;=$NR$23,84&lt;=$NS$23),IF($NP$23="Single_Point",IF(84=$NR$23,$NN$23,0),IF($NP$23="Bell_Curve",$NN$23*(84-$NR$23+1)*($NS$23-84+1)/$NU$23,$NN$23/$NT$23)),0)</f>
        <v/>
      </c>
      <c r="CK23" s="228">
        <f>IF(AND(85&gt;=$NR$23,85&lt;=$NS$23),IF($NP$23="Single_Point",IF(85=$NR$23,$NN$23,0),IF($NP$23="Bell_Curve",$NN$23*(85-$NR$23+1)*($NS$23-85+1)/$NU$23,$NN$23/$NT$23)),0)</f>
        <v/>
      </c>
      <c r="CL23" s="228">
        <f>IF(AND(86&gt;=$NR$23,86&lt;=$NS$23),IF($NP$23="Single_Point",IF(86=$NR$23,$NN$23,0),IF($NP$23="Bell_Curve",$NN$23*(86-$NR$23+1)*($NS$23-86+1)/$NU$23,$NN$23/$NT$23)),0)</f>
        <v/>
      </c>
      <c r="CM23" s="228">
        <f>IF(AND(87&gt;=$NR$23,87&lt;=$NS$23),IF($NP$23="Single_Point",IF(87=$NR$23,$NN$23,0),IF($NP$23="Bell_Curve",$NN$23*(87-$NR$23+1)*($NS$23-87+1)/$NU$23,$NN$23/$NT$23)),0)</f>
        <v/>
      </c>
      <c r="CN23" s="228">
        <f>IF(AND(88&gt;=$NR$23,88&lt;=$NS$23),IF($NP$23="Single_Point",IF(88=$NR$23,$NN$23,0),IF($NP$23="Bell_Curve",$NN$23*(88-$NR$23+1)*($NS$23-88+1)/$NU$23,$NN$23/$NT$23)),0)</f>
        <v/>
      </c>
      <c r="CO23" s="228">
        <f>IF(AND(89&gt;=$NR$23,89&lt;=$NS$23),IF($NP$23="Single_Point",IF(89=$NR$23,$NN$23,0),IF($NP$23="Bell_Curve",$NN$23*(89-$NR$23+1)*($NS$23-89+1)/$NU$23,$NN$23/$NT$23)),0)</f>
        <v/>
      </c>
      <c r="CP23" s="228">
        <f>IF(AND(90&gt;=$NR$23,90&lt;=$NS$23),IF($NP$23="Single_Point",IF(90=$NR$23,$NN$23,0),IF($NP$23="Bell_Curve",$NN$23*(90-$NR$23+1)*($NS$23-90+1)/$NU$23,$NN$23/$NT$23)),0)</f>
        <v/>
      </c>
      <c r="CQ23" s="228">
        <f>IF(AND(91&gt;=$NR$23,91&lt;=$NS$23),IF($NP$23="Single_Point",IF(91=$NR$23,$NN$23,0),IF($NP$23="Bell_Curve",$NN$23*(91-$NR$23+1)*($NS$23-91+1)/$NU$23,$NN$23/$NT$23)),0)</f>
        <v/>
      </c>
      <c r="CR23" s="228">
        <f>IF(AND(92&gt;=$NR$23,92&lt;=$NS$23),IF($NP$23="Single_Point",IF(92=$NR$23,$NN$23,0),IF($NP$23="Bell_Curve",$NN$23*(92-$NR$23+1)*($NS$23-92+1)/$NU$23,$NN$23/$NT$23)),0)</f>
        <v/>
      </c>
      <c r="CS23" s="228">
        <f>IF(AND(93&gt;=$NR$23,93&lt;=$NS$23),IF($NP$23="Single_Point",IF(93=$NR$23,$NN$23,0),IF($NP$23="Bell_Curve",$NN$23*(93-$NR$23+1)*($NS$23-93+1)/$NU$23,$NN$23/$NT$23)),0)</f>
        <v/>
      </c>
      <c r="CT23" s="228">
        <f>IF(AND(94&gt;=$NR$23,94&lt;=$NS$23),IF($NP$23="Single_Point",IF(94=$NR$23,$NN$23,0),IF($NP$23="Bell_Curve",$NN$23*(94-$NR$23+1)*($NS$23-94+1)/$NU$23,$NN$23/$NT$23)),0)</f>
        <v/>
      </c>
      <c r="CU23" s="228">
        <f>IF(AND(95&gt;=$NR$23,95&lt;=$NS$23),IF($NP$23="Single_Point",IF(95=$NR$23,$NN$23,0),IF($NP$23="Bell_Curve",$NN$23*(95-$NR$23+1)*($NS$23-95+1)/$NU$23,$NN$23/$NT$23)),0)</f>
        <v/>
      </c>
      <c r="CV23" s="228">
        <f>IF(AND(96&gt;=$NR$23,96&lt;=$NS$23),IF($NP$23="Single_Point",IF(96=$NR$23,$NN$23,0),IF($NP$23="Bell_Curve",$NN$23*(96-$NR$23+1)*($NS$23-96+1)/$NU$23,$NN$23/$NT$23)),0)</f>
        <v/>
      </c>
      <c r="CW23" s="228">
        <f>IF(AND(97&gt;=$NR$23,97&lt;=$NS$23),IF($NP$23="Single_Point",IF(97=$NR$23,$NN$23,0),IF($NP$23="Bell_Curve",$NN$23*(97-$NR$23+1)*($NS$23-97+1)/$NU$23,$NN$23/$NT$23)),0)</f>
        <v/>
      </c>
      <c r="CX23" s="228">
        <f>IF(AND(98&gt;=$NR$23,98&lt;=$NS$23),IF($NP$23="Single_Point",IF(98=$NR$23,$NN$23,0),IF($NP$23="Bell_Curve",$NN$23*(98-$NR$23+1)*($NS$23-98+1)/$NU$23,$NN$23/$NT$23)),0)</f>
        <v/>
      </c>
      <c r="CY23" s="228">
        <f>IF(AND(99&gt;=$NR$23,99&lt;=$NS$23),IF($NP$23="Single_Point",IF(99=$NR$23,$NN$23,0),IF($NP$23="Bell_Curve",$NN$23*(99-$NR$23+1)*($NS$23-99+1)/$NU$23,$NN$23/$NT$23)),0)</f>
        <v/>
      </c>
      <c r="CZ23" s="228">
        <f>IF(AND(100&gt;=$NR$23,100&lt;=$NS$23),IF($NP$23="Single_Point",IF(100=$NR$23,$NN$23,0),IF($NP$23="Bell_Curve",$NN$23*(100-$NR$23+1)*($NS$23-100+1)/$NU$23,$NN$23/$NT$23)),0)</f>
        <v/>
      </c>
      <c r="DA23" s="228">
        <f>IF(AND(101&gt;=$NR$23,101&lt;=$NS$23),IF($NP$23="Single_Point",IF(101=$NR$23,$NN$23,0),IF($NP$23="Bell_Curve",$NN$23*(101-$NR$23+1)*($NS$23-101+1)/$NU$23,$NN$23/$NT$23)),0)</f>
        <v/>
      </c>
      <c r="DB23" s="228">
        <f>IF(AND(102&gt;=$NR$23,102&lt;=$NS$23),IF($NP$23="Single_Point",IF(102=$NR$23,$NN$23,0),IF($NP$23="Bell_Curve",$NN$23*(102-$NR$23+1)*($NS$23-102+1)/$NU$23,$NN$23/$NT$23)),0)</f>
        <v/>
      </c>
      <c r="DC23" s="228">
        <f>IF(AND(103&gt;=$NR$23,103&lt;=$NS$23),IF($NP$23="Single_Point",IF(103=$NR$23,$NN$23,0),IF($NP$23="Bell_Curve",$NN$23*(103-$NR$23+1)*($NS$23-103+1)/$NU$23,$NN$23/$NT$23)),0)</f>
        <v/>
      </c>
      <c r="DD23" s="228">
        <f>IF(AND(104&gt;=$NR$23,104&lt;=$NS$23),IF($NP$23="Single_Point",IF(104=$NR$23,$NN$23,0),IF($NP$23="Bell_Curve",$NN$23*(104-$NR$23+1)*($NS$23-104+1)/$NU$23,$NN$23/$NT$23)),0)</f>
        <v/>
      </c>
      <c r="DE23" s="228">
        <f>IF(AND(105&gt;=$NR$23,105&lt;=$NS$23),IF($NP$23="Single_Point",IF(105=$NR$23,$NN$23,0),IF($NP$23="Bell_Curve",$NN$23*(105-$NR$23+1)*($NS$23-105+1)/$NU$23,$NN$23/$NT$23)),0)</f>
        <v/>
      </c>
      <c r="DF23" s="228">
        <f>IF(AND(106&gt;=$NR$23,106&lt;=$NS$23),IF($NP$23="Single_Point",IF(106=$NR$23,$NN$23,0),IF($NP$23="Bell_Curve",$NN$23*(106-$NR$23+1)*($NS$23-106+1)/$NU$23,$NN$23/$NT$23)),0)</f>
        <v/>
      </c>
      <c r="DG23" s="228">
        <f>IF(AND(107&gt;=$NR$23,107&lt;=$NS$23),IF($NP$23="Single_Point",IF(107=$NR$23,$NN$23,0),IF($NP$23="Bell_Curve",$NN$23*(107-$NR$23+1)*($NS$23-107+1)/$NU$23,$NN$23/$NT$23)),0)</f>
        <v/>
      </c>
      <c r="DH23" s="228">
        <f>IF(AND(108&gt;=$NR$23,108&lt;=$NS$23),IF($NP$23="Single_Point",IF(108=$NR$23,$NN$23,0),IF($NP$23="Bell_Curve",$NN$23*(108-$NR$23+1)*($NS$23-108+1)/$NU$23,$NN$23/$NT$23)),0)</f>
        <v/>
      </c>
      <c r="DI23" s="228">
        <f>IF(AND(109&gt;=$NR$23,109&lt;=$NS$23),IF($NP$23="Single_Point",IF(109=$NR$23,$NN$23,0),IF($NP$23="Bell_Curve",$NN$23*(109-$NR$23+1)*($NS$23-109+1)/$NU$23,$NN$23/$NT$23)),0)</f>
        <v/>
      </c>
      <c r="DJ23" s="228">
        <f>IF(AND(110&gt;=$NR$23,110&lt;=$NS$23),IF($NP$23="Single_Point",IF(110=$NR$23,$NN$23,0),IF($NP$23="Bell_Curve",$NN$23*(110-$NR$23+1)*($NS$23-110+1)/$NU$23,$NN$23/$NT$23)),0)</f>
        <v/>
      </c>
      <c r="DK23" s="228">
        <f>IF(AND(111&gt;=$NR$23,111&lt;=$NS$23),IF($NP$23="Single_Point",IF(111=$NR$23,$NN$23,0),IF($NP$23="Bell_Curve",$NN$23*(111-$NR$23+1)*($NS$23-111+1)/$NU$23,$NN$23/$NT$23)),0)</f>
        <v/>
      </c>
      <c r="DL23" s="228">
        <f>IF(AND(112&gt;=$NR$23,112&lt;=$NS$23),IF($NP$23="Single_Point",IF(112=$NR$23,$NN$23,0),IF($NP$23="Bell_Curve",$NN$23*(112-$NR$23+1)*($NS$23-112+1)/$NU$23,$NN$23/$NT$23)),0)</f>
        <v/>
      </c>
      <c r="DM23" s="228">
        <f>IF(AND(113&gt;=$NR$23,113&lt;=$NS$23),IF($NP$23="Single_Point",IF(113=$NR$23,$NN$23,0),IF($NP$23="Bell_Curve",$NN$23*(113-$NR$23+1)*($NS$23-113+1)/$NU$23,$NN$23/$NT$23)),0)</f>
        <v/>
      </c>
      <c r="DN23" s="228">
        <f>IF(AND(114&gt;=$NR$23,114&lt;=$NS$23),IF($NP$23="Single_Point",IF(114=$NR$23,$NN$23,0),IF($NP$23="Bell_Curve",$NN$23*(114-$NR$23+1)*($NS$23-114+1)/$NU$23,$NN$23/$NT$23)),0)</f>
        <v/>
      </c>
      <c r="DO23" s="228">
        <f>IF(AND(115&gt;=$NR$23,115&lt;=$NS$23),IF($NP$23="Single_Point",IF(115=$NR$23,$NN$23,0),IF($NP$23="Bell_Curve",$NN$23*(115-$NR$23+1)*($NS$23-115+1)/$NU$23,$NN$23/$NT$23)),0)</f>
        <v/>
      </c>
      <c r="DP23" s="228">
        <f>IF(AND(116&gt;=$NR$23,116&lt;=$NS$23),IF($NP$23="Single_Point",IF(116=$NR$23,$NN$23,0),IF($NP$23="Bell_Curve",$NN$23*(116-$NR$23+1)*($NS$23-116+1)/$NU$23,$NN$23/$NT$23)),0)</f>
        <v/>
      </c>
      <c r="DQ23" s="228">
        <f>IF(AND(117&gt;=$NR$23,117&lt;=$NS$23),IF($NP$23="Single_Point",IF(117=$NR$23,$NN$23,0),IF($NP$23="Bell_Curve",$NN$23*(117-$NR$23+1)*($NS$23-117+1)/$NU$23,$NN$23/$NT$23)),0)</f>
        <v/>
      </c>
      <c r="DR23" s="228">
        <f>IF(AND(118&gt;=$NR$23,118&lt;=$NS$23),IF($NP$23="Single_Point",IF(118=$NR$23,$NN$23,0),IF($NP$23="Bell_Curve",$NN$23*(118-$NR$23+1)*($NS$23-118+1)/$NU$23,$NN$23/$NT$23)),0)</f>
        <v/>
      </c>
      <c r="DS23" s="228">
        <f>IF(AND(119&gt;=$NR$23,119&lt;=$NS$23),IF($NP$23="Single_Point",IF(119=$NR$23,$NN$23,0),IF($NP$23="Bell_Curve",$NN$23*(119-$NR$23+1)*($NS$23-119+1)/$NU$23,$NN$23/$NT$23)),0)</f>
        <v/>
      </c>
      <c r="DT23" s="228">
        <f>IF(AND(120&gt;=$NR$23,120&lt;=$NS$23),IF($NP$23="Single_Point",IF(120=$NR$23,$NN$23,0),IF($NP$23="Bell_Curve",$NN$23*(120-$NR$23+1)*($NS$23-120+1)/$NU$23,$NN$23/$NT$23)),0)</f>
        <v/>
      </c>
      <c r="DU23" s="228">
        <f>IF(AND(121&gt;=$NR$23,121&lt;=$NS$23),IF($NP$23="Single_Point",IF(121=$NR$23,$NN$23,0),IF($NP$23="Bell_Curve",$NN$23*(121-$NR$23+1)*($NS$23-121+1)/$NU$23,$NN$23/$NT$23)),0)</f>
        <v/>
      </c>
      <c r="DV23" s="228">
        <f>IF(AND(122&gt;=$NR$23,122&lt;=$NS$23),IF($NP$23="Single_Point",IF(122=$NR$23,$NN$23,0),IF($NP$23="Bell_Curve",$NN$23*(122-$NR$23+1)*($NS$23-122+1)/$NU$23,$NN$23/$NT$23)),0)</f>
        <v/>
      </c>
      <c r="DW23" s="228">
        <f>IF(AND(123&gt;=$NR$23,123&lt;=$NS$23),IF($NP$23="Single_Point",IF(123=$NR$23,$NN$23,0),IF($NP$23="Bell_Curve",$NN$23*(123-$NR$23+1)*($NS$23-123+1)/$NU$23,$NN$23/$NT$23)),0)</f>
        <v/>
      </c>
      <c r="DX23" s="228">
        <f>IF(AND(124&gt;=$NR$23,124&lt;=$NS$23),IF($NP$23="Single_Point",IF(124=$NR$23,$NN$23,0),IF($NP$23="Bell_Curve",$NN$23*(124-$NR$23+1)*($NS$23-124+1)/$NU$23,$NN$23/$NT$23)),0)</f>
        <v/>
      </c>
      <c r="DY23" s="228">
        <f>IF(AND(125&gt;=$NR$23,125&lt;=$NS$23),IF($NP$23="Single_Point",IF(125=$NR$23,$NN$23,0),IF($NP$23="Bell_Curve",$NN$23*(125-$NR$23+1)*($NS$23-125+1)/$NU$23,$NN$23/$NT$23)),0)</f>
        <v/>
      </c>
      <c r="DZ23" s="228">
        <f>IF(AND(126&gt;=$NR$23,126&lt;=$NS$23),IF($NP$23="Single_Point",IF(126=$NR$23,$NN$23,0),IF($NP$23="Bell_Curve",$NN$23*(126-$NR$23+1)*($NS$23-126+1)/$NU$23,$NN$23/$NT$23)),0)</f>
        <v/>
      </c>
      <c r="EA23" s="228">
        <f>IF(AND(127&gt;=$NR$23,127&lt;=$NS$23),IF($NP$23="Single_Point",IF(127=$NR$23,$NN$23,0),IF($NP$23="Bell_Curve",$NN$23*(127-$NR$23+1)*($NS$23-127+1)/$NU$23,$NN$23/$NT$23)),0)</f>
        <v/>
      </c>
      <c r="EB23" s="228">
        <f>IF(AND(128&gt;=$NR$23,128&lt;=$NS$23),IF($NP$23="Single_Point",IF(128=$NR$23,$NN$23,0),IF($NP$23="Bell_Curve",$NN$23*(128-$NR$23+1)*($NS$23-128+1)/$NU$23,$NN$23/$NT$23)),0)</f>
        <v/>
      </c>
      <c r="EC23" s="228">
        <f>IF(AND(129&gt;=$NR$23,129&lt;=$NS$23),IF($NP$23="Single_Point",IF(129=$NR$23,$NN$23,0),IF($NP$23="Bell_Curve",$NN$23*(129-$NR$23+1)*($NS$23-129+1)/$NU$23,$NN$23/$NT$23)),0)</f>
        <v/>
      </c>
      <c r="ED23" s="228">
        <f>IF(AND(130&gt;=$NR$23,130&lt;=$NS$23),IF($NP$23="Single_Point",IF(130=$NR$23,$NN$23,0),IF($NP$23="Bell_Curve",$NN$23*(130-$NR$23+1)*($NS$23-130+1)/$NU$23,$NN$23/$NT$23)),0)</f>
        <v/>
      </c>
      <c r="EE23" s="228">
        <f>IF(AND(131&gt;=$NR$23,131&lt;=$NS$23),IF($NP$23="Single_Point",IF(131=$NR$23,$NN$23,0),IF($NP$23="Bell_Curve",$NN$23*(131-$NR$23+1)*($NS$23-131+1)/$NU$23,$NN$23/$NT$23)),0)</f>
        <v/>
      </c>
      <c r="EF23" s="228">
        <f>IF(AND(132&gt;=$NR$23,132&lt;=$NS$23),IF($NP$23="Single_Point",IF(132=$NR$23,$NN$23,0),IF($NP$23="Bell_Curve",$NN$23*(132-$NR$23+1)*($NS$23-132+1)/$NU$23,$NN$23/$NT$23)),0)</f>
        <v/>
      </c>
      <c r="EG23" s="228">
        <f>IF(AND(133&gt;=$NR$23,133&lt;=$NS$23),IF($NP$23="Single_Point",IF(133=$NR$23,$NN$23,0),IF($NP$23="Bell_Curve",$NN$23*(133-$NR$23+1)*($NS$23-133+1)/$NU$23,$NN$23/$NT$23)),0)</f>
        <v/>
      </c>
      <c r="EH23" s="228">
        <f>IF(AND(134&gt;=$NR$23,134&lt;=$NS$23),IF($NP$23="Single_Point",IF(134=$NR$23,$NN$23,0),IF($NP$23="Bell_Curve",$NN$23*(134-$NR$23+1)*($NS$23-134+1)/$NU$23,$NN$23/$NT$23)),0)</f>
        <v/>
      </c>
      <c r="EI23" s="228">
        <f>IF(AND(135&gt;=$NR$23,135&lt;=$NS$23),IF($NP$23="Single_Point",IF(135=$NR$23,$NN$23,0),IF($NP$23="Bell_Curve",$NN$23*(135-$NR$23+1)*($NS$23-135+1)/$NU$23,$NN$23/$NT$23)),0)</f>
        <v/>
      </c>
      <c r="EJ23" s="228">
        <f>IF(AND(136&gt;=$NR$23,136&lt;=$NS$23),IF($NP$23="Single_Point",IF(136=$NR$23,$NN$23,0),IF($NP$23="Bell_Curve",$NN$23*(136-$NR$23+1)*($NS$23-136+1)/$NU$23,$NN$23/$NT$23)),0)</f>
        <v/>
      </c>
      <c r="EK23" s="228">
        <f>IF(AND(137&gt;=$NR$23,137&lt;=$NS$23),IF($NP$23="Single_Point",IF(137=$NR$23,$NN$23,0),IF($NP$23="Bell_Curve",$NN$23*(137-$NR$23+1)*($NS$23-137+1)/$NU$23,$NN$23/$NT$23)),0)</f>
        <v/>
      </c>
      <c r="EL23" s="228">
        <f>IF(AND(138&gt;=$NR$23,138&lt;=$NS$23),IF($NP$23="Single_Point",IF(138=$NR$23,$NN$23,0),IF($NP$23="Bell_Curve",$NN$23*(138-$NR$23+1)*($NS$23-138+1)/$NU$23,$NN$23/$NT$23)),0)</f>
        <v/>
      </c>
      <c r="EM23" s="228">
        <f>IF(AND(139&gt;=$NR$23,139&lt;=$NS$23),IF($NP$23="Single_Point",IF(139=$NR$23,$NN$23,0),IF($NP$23="Bell_Curve",$NN$23*(139-$NR$23+1)*($NS$23-139+1)/$NU$23,$NN$23/$NT$23)),0)</f>
        <v/>
      </c>
      <c r="EN23" s="228">
        <f>IF(AND(140&gt;=$NR$23,140&lt;=$NS$23),IF($NP$23="Single_Point",IF(140=$NR$23,$NN$23,0),IF($NP$23="Bell_Curve",$NN$23*(140-$NR$23+1)*($NS$23-140+1)/$NU$23,$NN$23/$NT$23)),0)</f>
        <v/>
      </c>
      <c r="EO23" s="228">
        <f>IF(AND(141&gt;=$NR$23,141&lt;=$NS$23),IF($NP$23="Single_Point",IF(141=$NR$23,$NN$23,0),IF($NP$23="Bell_Curve",$NN$23*(141-$NR$23+1)*($NS$23-141+1)/$NU$23,$NN$23/$NT$23)),0)</f>
        <v/>
      </c>
      <c r="EP23" s="228">
        <f>IF(AND(142&gt;=$NR$23,142&lt;=$NS$23),IF($NP$23="Single_Point",IF(142=$NR$23,$NN$23,0),IF($NP$23="Bell_Curve",$NN$23*(142-$NR$23+1)*($NS$23-142+1)/$NU$23,$NN$23/$NT$23)),0)</f>
        <v/>
      </c>
      <c r="EQ23" s="228">
        <f>IF(AND(143&gt;=$NR$23,143&lt;=$NS$23),IF($NP$23="Single_Point",IF(143=$NR$23,$NN$23,0),IF($NP$23="Bell_Curve",$NN$23*(143-$NR$23+1)*($NS$23-143+1)/$NU$23,$NN$23/$NT$23)),0)</f>
        <v/>
      </c>
      <c r="ER23" s="228">
        <f>IF(AND(144&gt;=$NR$23,144&lt;=$NS$23),IF($NP$23="Single_Point",IF(144=$NR$23,$NN$23,0),IF($NP$23="Bell_Curve",$NN$23*(144-$NR$23+1)*($NS$23-144+1)/$NU$23,$NN$23/$NT$23)),0)</f>
        <v/>
      </c>
      <c r="ES23" s="228">
        <f>IF(AND(145&gt;=$NR$23,145&lt;=$NS$23),IF($NP$23="Single_Point",IF(145=$NR$23,$NN$23,0),IF($NP$23="Bell_Curve",$NN$23*(145-$NR$23+1)*($NS$23-145+1)/$NU$23,$NN$23/$NT$23)),0)</f>
        <v/>
      </c>
      <c r="ET23" s="228">
        <f>IF(AND(146&gt;=$NR$23,146&lt;=$NS$23),IF($NP$23="Single_Point",IF(146=$NR$23,$NN$23,0),IF($NP$23="Bell_Curve",$NN$23*(146-$NR$23+1)*($NS$23-146+1)/$NU$23,$NN$23/$NT$23)),0)</f>
        <v/>
      </c>
      <c r="EU23" s="228">
        <f>IF(AND(147&gt;=$NR$23,147&lt;=$NS$23),IF($NP$23="Single_Point",IF(147=$NR$23,$NN$23,0),IF($NP$23="Bell_Curve",$NN$23*(147-$NR$23+1)*($NS$23-147+1)/$NU$23,$NN$23/$NT$23)),0)</f>
        <v/>
      </c>
      <c r="EV23" s="228">
        <f>IF(AND(148&gt;=$NR$23,148&lt;=$NS$23),IF($NP$23="Single_Point",IF(148=$NR$23,$NN$23,0),IF($NP$23="Bell_Curve",$NN$23*(148-$NR$23+1)*($NS$23-148+1)/$NU$23,$NN$23/$NT$23)),0)</f>
        <v/>
      </c>
      <c r="EW23" s="228">
        <f>IF(AND(149&gt;=$NR$23,149&lt;=$NS$23),IF($NP$23="Single_Point",IF(149=$NR$23,$NN$23,0),IF($NP$23="Bell_Curve",$NN$23*(149-$NR$23+1)*($NS$23-149+1)/$NU$23,$NN$23/$NT$23)),0)</f>
        <v/>
      </c>
      <c r="EX23" s="228">
        <f>IF(AND(150&gt;=$NR$23,150&lt;=$NS$23),IF($NP$23="Single_Point",IF(150=$NR$23,$NN$23,0),IF($NP$23="Bell_Curve",$NN$23*(150-$NR$23+1)*($NS$23-150+1)/$NU$23,$NN$23/$NT$23)),0)</f>
        <v/>
      </c>
      <c r="EY23" s="228">
        <f>IF(AND(151&gt;=$NR$23,151&lt;=$NS$23),IF($NP$23="Single_Point",IF(151=$NR$23,$NN$23,0),IF($NP$23="Bell_Curve",$NN$23*(151-$NR$23+1)*($NS$23-151+1)/$NU$23,$NN$23/$NT$23)),0)</f>
        <v/>
      </c>
      <c r="EZ23" s="228">
        <f>IF(AND(152&gt;=$NR$23,152&lt;=$NS$23),IF($NP$23="Single_Point",IF(152=$NR$23,$NN$23,0),IF($NP$23="Bell_Curve",$NN$23*(152-$NR$23+1)*($NS$23-152+1)/$NU$23,$NN$23/$NT$23)),0)</f>
        <v/>
      </c>
      <c r="FA23" s="228">
        <f>IF(AND(153&gt;=$NR$23,153&lt;=$NS$23),IF($NP$23="Single_Point",IF(153=$NR$23,$NN$23,0),IF($NP$23="Bell_Curve",$NN$23*(153-$NR$23+1)*($NS$23-153+1)/$NU$23,$NN$23/$NT$23)),0)</f>
        <v/>
      </c>
      <c r="FB23" s="228">
        <f>IF(AND(154&gt;=$NR$23,154&lt;=$NS$23),IF($NP$23="Single_Point",IF(154=$NR$23,$NN$23,0),IF($NP$23="Bell_Curve",$NN$23*(154-$NR$23+1)*($NS$23-154+1)/$NU$23,$NN$23/$NT$23)),0)</f>
        <v/>
      </c>
      <c r="FC23" s="228">
        <f>IF(AND(155&gt;=$NR$23,155&lt;=$NS$23),IF($NP$23="Single_Point",IF(155=$NR$23,$NN$23,0),IF($NP$23="Bell_Curve",$NN$23*(155-$NR$23+1)*($NS$23-155+1)/$NU$23,$NN$23/$NT$23)),0)</f>
        <v/>
      </c>
      <c r="FD23" s="228">
        <f>IF(AND(156&gt;=$NR$23,156&lt;=$NS$23),IF($NP$23="Single_Point",IF(156=$NR$23,$NN$23,0),IF($NP$23="Bell_Curve",$NN$23*(156-$NR$23+1)*($NS$23-156+1)/$NU$23,$NN$23/$NT$23)),0)</f>
        <v/>
      </c>
      <c r="FE23" s="228">
        <f>IF(AND(157&gt;=$NR$23,157&lt;=$NS$23),IF($NP$23="Single_Point",IF(157=$NR$23,$NN$23,0),IF($NP$23="Bell_Curve",$NN$23*(157-$NR$23+1)*($NS$23-157+1)/$NU$23,$NN$23/$NT$23)),0)</f>
        <v/>
      </c>
      <c r="FF23" s="228">
        <f>IF(AND(158&gt;=$NR$23,158&lt;=$NS$23),IF($NP$23="Single_Point",IF(158=$NR$23,$NN$23,0),IF($NP$23="Bell_Curve",$NN$23*(158-$NR$23+1)*($NS$23-158+1)/$NU$23,$NN$23/$NT$23)),0)</f>
        <v/>
      </c>
      <c r="FG23" s="228">
        <f>IF(AND(159&gt;=$NR$23,159&lt;=$NS$23),IF($NP$23="Single_Point",IF(159=$NR$23,$NN$23,0),IF($NP$23="Bell_Curve",$NN$23*(159-$NR$23+1)*($NS$23-159+1)/$NU$23,$NN$23/$NT$23)),0)</f>
        <v/>
      </c>
      <c r="FH23" s="228">
        <f>IF(AND(160&gt;=$NR$23,160&lt;=$NS$23),IF($NP$23="Single_Point",IF(160=$NR$23,$NN$23,0),IF($NP$23="Bell_Curve",$NN$23*(160-$NR$23+1)*($NS$23-160+1)/$NU$23,$NN$23/$NT$23)),0)</f>
        <v/>
      </c>
      <c r="FI23" s="228">
        <f>IF(AND(161&gt;=$NR$23,161&lt;=$NS$23),IF($NP$23="Single_Point",IF(161=$NR$23,$NN$23,0),IF($NP$23="Bell_Curve",$NN$23*(161-$NR$23+1)*($NS$23-161+1)/$NU$23,$NN$23/$NT$23)),0)</f>
        <v/>
      </c>
      <c r="FJ23" s="228">
        <f>IF(AND(162&gt;=$NR$23,162&lt;=$NS$23),IF($NP$23="Single_Point",IF(162=$NR$23,$NN$23,0),IF($NP$23="Bell_Curve",$NN$23*(162-$NR$23+1)*($NS$23-162+1)/$NU$23,$NN$23/$NT$23)),0)</f>
        <v/>
      </c>
      <c r="FK23" s="228">
        <f>IF(AND(163&gt;=$NR$23,163&lt;=$NS$23),IF($NP$23="Single_Point",IF(163=$NR$23,$NN$23,0),IF($NP$23="Bell_Curve",$NN$23*(163-$NR$23+1)*($NS$23-163+1)/$NU$23,$NN$23/$NT$23)),0)</f>
        <v/>
      </c>
      <c r="FL23" s="228">
        <f>IF(AND(164&gt;=$NR$23,164&lt;=$NS$23),IF($NP$23="Single_Point",IF(164=$NR$23,$NN$23,0),IF($NP$23="Bell_Curve",$NN$23*(164-$NR$23+1)*($NS$23-164+1)/$NU$23,$NN$23/$NT$23)),0)</f>
        <v/>
      </c>
      <c r="FM23" s="228">
        <f>IF(AND(165&gt;=$NR$23,165&lt;=$NS$23),IF($NP$23="Single_Point",IF(165=$NR$23,$NN$23,0),IF($NP$23="Bell_Curve",$NN$23*(165-$NR$23+1)*($NS$23-165+1)/$NU$23,$NN$23/$NT$23)),0)</f>
        <v/>
      </c>
      <c r="FN23" s="228">
        <f>IF(AND(166&gt;=$NR$23,166&lt;=$NS$23),IF($NP$23="Single_Point",IF(166=$NR$23,$NN$23,0),IF($NP$23="Bell_Curve",$NN$23*(166-$NR$23+1)*($NS$23-166+1)/$NU$23,$NN$23/$NT$23)),0)</f>
        <v/>
      </c>
      <c r="FO23" s="228">
        <f>IF(AND(167&gt;=$NR$23,167&lt;=$NS$23),IF($NP$23="Single_Point",IF(167=$NR$23,$NN$23,0),IF($NP$23="Bell_Curve",$NN$23*(167-$NR$23+1)*($NS$23-167+1)/$NU$23,$NN$23/$NT$23)),0)</f>
        <v/>
      </c>
      <c r="FP23" s="228">
        <f>IF(AND(168&gt;=$NR$23,168&lt;=$NS$23),IF($NP$23="Single_Point",IF(168=$NR$23,$NN$23,0),IF($NP$23="Bell_Curve",$NN$23*(168-$NR$23+1)*($NS$23-168+1)/$NU$23,$NN$23/$NT$23)),0)</f>
        <v/>
      </c>
      <c r="FQ23" s="228">
        <f>IF(AND(169&gt;=$NR$23,169&lt;=$NS$23),IF($NP$23="Single_Point",IF(169=$NR$23,$NN$23,0),IF($NP$23="Bell_Curve",$NN$23*(169-$NR$23+1)*($NS$23-169+1)/$NU$23,$NN$23/$NT$23)),0)</f>
        <v/>
      </c>
      <c r="FR23" s="228">
        <f>IF(AND(170&gt;=$NR$23,170&lt;=$NS$23),IF($NP$23="Single_Point",IF(170=$NR$23,$NN$23,0),IF($NP$23="Bell_Curve",$NN$23*(170-$NR$23+1)*($NS$23-170+1)/$NU$23,$NN$23/$NT$23)),0)</f>
        <v/>
      </c>
      <c r="FS23" s="228">
        <f>IF(AND(171&gt;=$NR$23,171&lt;=$NS$23),IF($NP$23="Single_Point",IF(171=$NR$23,$NN$23,0),IF($NP$23="Bell_Curve",$NN$23*(171-$NR$23+1)*($NS$23-171+1)/$NU$23,$NN$23/$NT$23)),0)</f>
        <v/>
      </c>
      <c r="FT23" s="228">
        <f>IF(AND(172&gt;=$NR$23,172&lt;=$NS$23),IF($NP$23="Single_Point",IF(172=$NR$23,$NN$23,0),IF($NP$23="Bell_Curve",$NN$23*(172-$NR$23+1)*($NS$23-172+1)/$NU$23,$NN$23/$NT$23)),0)</f>
        <v/>
      </c>
      <c r="FU23" s="228">
        <f>IF(AND(173&gt;=$NR$23,173&lt;=$NS$23),IF($NP$23="Single_Point",IF(173=$NR$23,$NN$23,0),IF($NP$23="Bell_Curve",$NN$23*(173-$NR$23+1)*($NS$23-173+1)/$NU$23,$NN$23/$NT$23)),0)</f>
        <v/>
      </c>
      <c r="FV23" s="228">
        <f>IF(AND(174&gt;=$NR$23,174&lt;=$NS$23),IF($NP$23="Single_Point",IF(174=$NR$23,$NN$23,0),IF($NP$23="Bell_Curve",$NN$23*(174-$NR$23+1)*($NS$23-174+1)/$NU$23,$NN$23/$NT$23)),0)</f>
        <v/>
      </c>
      <c r="FW23" s="228">
        <f>IF(AND(175&gt;=$NR$23,175&lt;=$NS$23),IF($NP$23="Single_Point",IF(175=$NR$23,$NN$23,0),IF($NP$23="Bell_Curve",$NN$23*(175-$NR$23+1)*($NS$23-175+1)/$NU$23,$NN$23/$NT$23)),0)</f>
        <v/>
      </c>
      <c r="FX23" s="228">
        <f>IF(AND(176&gt;=$NR$23,176&lt;=$NS$23),IF($NP$23="Single_Point",IF(176=$NR$23,$NN$23,0),IF($NP$23="Bell_Curve",$NN$23*(176-$NR$23+1)*($NS$23-176+1)/$NU$23,$NN$23/$NT$23)),0)</f>
        <v/>
      </c>
      <c r="FY23" s="228">
        <f>IF(AND(177&gt;=$NR$23,177&lt;=$NS$23),IF($NP$23="Single_Point",IF(177=$NR$23,$NN$23,0),IF($NP$23="Bell_Curve",$NN$23*(177-$NR$23+1)*($NS$23-177+1)/$NU$23,$NN$23/$NT$23)),0)</f>
        <v/>
      </c>
      <c r="FZ23" s="228">
        <f>IF(AND(178&gt;=$NR$23,178&lt;=$NS$23),IF($NP$23="Single_Point",IF(178=$NR$23,$NN$23,0),IF($NP$23="Bell_Curve",$NN$23*(178-$NR$23+1)*($NS$23-178+1)/$NU$23,$NN$23/$NT$23)),0)</f>
        <v/>
      </c>
      <c r="GA23" s="228">
        <f>IF(AND(179&gt;=$NR$23,179&lt;=$NS$23),IF($NP$23="Single_Point",IF(179=$NR$23,$NN$23,0),IF($NP$23="Bell_Curve",$NN$23*(179-$NR$23+1)*($NS$23-179+1)/$NU$23,$NN$23/$NT$23)),0)</f>
        <v/>
      </c>
      <c r="GB23" s="228">
        <f>IF(AND(180&gt;=$NR$23,180&lt;=$NS$23),IF($NP$23="Single_Point",IF(180=$NR$23,$NN$23,0),IF($NP$23="Bell_Curve",$NN$23*(180-$NR$23+1)*($NS$23-180+1)/$NU$23,$NN$23/$NT$23)),0)</f>
        <v/>
      </c>
      <c r="GC23" s="228">
        <f>IF(AND(181&gt;=$NR$23,181&lt;=$NS$23),IF($NP$23="Single_Point",IF(181=$NR$23,$NN$23,0),IF($NP$23="Bell_Curve",$NN$23*(181-$NR$23+1)*($NS$23-181+1)/$NU$23,$NN$23/$NT$23)),0)</f>
        <v/>
      </c>
      <c r="GD23" s="228">
        <f>IF(AND(182&gt;=$NR$23,182&lt;=$NS$23),IF($NP$23="Single_Point",IF(182=$NR$23,$NN$23,0),IF($NP$23="Bell_Curve",$NN$23*(182-$NR$23+1)*($NS$23-182+1)/$NU$23,$NN$23/$NT$23)),0)</f>
        <v/>
      </c>
      <c r="GE23" s="228">
        <f>IF(AND(183&gt;=$NR$23,183&lt;=$NS$23),IF($NP$23="Single_Point",IF(183=$NR$23,$NN$23,0),IF($NP$23="Bell_Curve",$NN$23*(183-$NR$23+1)*($NS$23-183+1)/$NU$23,$NN$23/$NT$23)),0)</f>
        <v/>
      </c>
      <c r="GF23" s="228">
        <f>IF(AND(184&gt;=$NR$23,184&lt;=$NS$23),IF($NP$23="Single_Point",IF(184=$NR$23,$NN$23,0),IF($NP$23="Bell_Curve",$NN$23*(184-$NR$23+1)*($NS$23-184+1)/$NU$23,$NN$23/$NT$23)),0)</f>
        <v/>
      </c>
      <c r="GG23" s="228">
        <f>IF(AND(185&gt;=$NR$23,185&lt;=$NS$23),IF($NP$23="Single_Point",IF(185=$NR$23,$NN$23,0),IF($NP$23="Bell_Curve",$NN$23*(185-$NR$23+1)*($NS$23-185+1)/$NU$23,$NN$23/$NT$23)),0)</f>
        <v/>
      </c>
      <c r="GH23" s="228">
        <f>IF(AND(186&gt;=$NR$23,186&lt;=$NS$23),IF($NP$23="Single_Point",IF(186=$NR$23,$NN$23,0),IF($NP$23="Bell_Curve",$NN$23*(186-$NR$23+1)*($NS$23-186+1)/$NU$23,$NN$23/$NT$23)),0)</f>
        <v/>
      </c>
      <c r="GI23" s="228">
        <f>IF(AND(187&gt;=$NR$23,187&lt;=$NS$23),IF($NP$23="Single_Point",IF(187=$NR$23,$NN$23,0),IF($NP$23="Bell_Curve",$NN$23*(187-$NR$23+1)*($NS$23-187+1)/$NU$23,$NN$23/$NT$23)),0)</f>
        <v/>
      </c>
      <c r="GJ23" s="228">
        <f>IF(AND(188&gt;=$NR$23,188&lt;=$NS$23),IF($NP$23="Single_Point",IF(188=$NR$23,$NN$23,0),IF($NP$23="Bell_Curve",$NN$23*(188-$NR$23+1)*($NS$23-188+1)/$NU$23,$NN$23/$NT$23)),0)</f>
        <v/>
      </c>
      <c r="GK23" s="228">
        <f>IF(AND(189&gt;=$NR$23,189&lt;=$NS$23),IF($NP$23="Single_Point",IF(189=$NR$23,$NN$23,0),IF($NP$23="Bell_Curve",$NN$23*(189-$NR$23+1)*($NS$23-189+1)/$NU$23,$NN$23/$NT$23)),0)</f>
        <v/>
      </c>
      <c r="GL23" s="228">
        <f>IF(AND(190&gt;=$NR$23,190&lt;=$NS$23),IF($NP$23="Single_Point",IF(190=$NR$23,$NN$23,0),IF($NP$23="Bell_Curve",$NN$23*(190-$NR$23+1)*($NS$23-190+1)/$NU$23,$NN$23/$NT$23)),0)</f>
        <v/>
      </c>
      <c r="GM23" s="228">
        <f>IF(AND(191&gt;=$NR$23,191&lt;=$NS$23),IF($NP$23="Single_Point",IF(191=$NR$23,$NN$23,0),IF($NP$23="Bell_Curve",$NN$23*(191-$NR$23+1)*($NS$23-191+1)/$NU$23,$NN$23/$NT$23)),0)</f>
        <v/>
      </c>
      <c r="GN23" s="228">
        <f>IF(AND(192&gt;=$NR$23,192&lt;=$NS$23),IF($NP$23="Single_Point",IF(192=$NR$23,$NN$23,0),IF($NP$23="Bell_Curve",$NN$23*(192-$NR$23+1)*($NS$23-192+1)/$NU$23,$NN$23/$NT$23)),0)</f>
        <v/>
      </c>
      <c r="GO23" s="228">
        <f>IF(AND(193&gt;=$NR$23,193&lt;=$NS$23),IF($NP$23="Single_Point",IF(193=$NR$23,$NN$23,0),IF($NP$23="Bell_Curve",$NN$23*(193-$NR$23+1)*($NS$23-193+1)/$NU$23,$NN$23/$NT$23)),0)</f>
        <v/>
      </c>
      <c r="GP23" s="228">
        <f>IF(AND(194&gt;=$NR$23,194&lt;=$NS$23),IF($NP$23="Single_Point",IF(194=$NR$23,$NN$23,0),IF($NP$23="Bell_Curve",$NN$23*(194-$NR$23+1)*($NS$23-194+1)/$NU$23,$NN$23/$NT$23)),0)</f>
        <v/>
      </c>
      <c r="GQ23" s="228">
        <f>IF(AND(195&gt;=$NR$23,195&lt;=$NS$23),IF($NP$23="Single_Point",IF(195=$NR$23,$NN$23,0),IF($NP$23="Bell_Curve",$NN$23*(195-$NR$23+1)*($NS$23-195+1)/$NU$23,$NN$23/$NT$23)),0)</f>
        <v/>
      </c>
      <c r="GR23" s="228">
        <f>IF(AND(196&gt;=$NR$23,196&lt;=$NS$23),IF($NP$23="Single_Point",IF(196=$NR$23,$NN$23,0),IF($NP$23="Bell_Curve",$NN$23*(196-$NR$23+1)*($NS$23-196+1)/$NU$23,$NN$23/$NT$23)),0)</f>
        <v/>
      </c>
      <c r="GS23" s="228">
        <f>IF(AND(197&gt;=$NR$23,197&lt;=$NS$23),IF($NP$23="Single_Point",IF(197=$NR$23,$NN$23,0),IF($NP$23="Bell_Curve",$NN$23*(197-$NR$23+1)*($NS$23-197+1)/$NU$23,$NN$23/$NT$23)),0)</f>
        <v/>
      </c>
      <c r="GT23" s="228">
        <f>IF(AND(198&gt;=$NR$23,198&lt;=$NS$23),IF($NP$23="Single_Point",IF(198=$NR$23,$NN$23,0),IF($NP$23="Bell_Curve",$NN$23*(198-$NR$23+1)*($NS$23-198+1)/$NU$23,$NN$23/$NT$23)),0)</f>
        <v/>
      </c>
      <c r="GU23" s="228">
        <f>IF(AND(199&gt;=$NR$23,199&lt;=$NS$23),IF($NP$23="Single_Point",IF(199=$NR$23,$NN$23,0),IF($NP$23="Bell_Curve",$NN$23*(199-$NR$23+1)*($NS$23-199+1)/$NU$23,$NN$23/$NT$23)),0)</f>
        <v/>
      </c>
      <c r="GV23" s="228">
        <f>IF(AND(200&gt;=$NR$23,200&lt;=$NS$23),IF($NP$23="Single_Point",IF(200=$NR$23,$NN$23,0),IF($NP$23="Bell_Curve",$NN$23*(200-$NR$23+1)*($NS$23-200+1)/$NU$23,$NN$23/$NT$23)),0)</f>
        <v/>
      </c>
      <c r="GW23" s="228">
        <f>IF(AND(201&gt;=$NR$23,201&lt;=$NS$23),IF($NP$23="Single_Point",IF(201=$NR$23,$NN$23,0),IF($NP$23="Bell_Curve",$NN$23*(201-$NR$23+1)*($NS$23-201+1)/$NU$23,$NN$23/$NT$23)),0)</f>
        <v/>
      </c>
      <c r="GX23" s="228">
        <f>IF(AND(202&gt;=$NR$23,202&lt;=$NS$23),IF($NP$23="Single_Point",IF(202=$NR$23,$NN$23,0),IF($NP$23="Bell_Curve",$NN$23*(202-$NR$23+1)*($NS$23-202+1)/$NU$23,$NN$23/$NT$23)),0)</f>
        <v/>
      </c>
      <c r="GY23" s="228">
        <f>IF(AND(203&gt;=$NR$23,203&lt;=$NS$23),IF($NP$23="Single_Point",IF(203=$NR$23,$NN$23,0),IF($NP$23="Bell_Curve",$NN$23*(203-$NR$23+1)*($NS$23-203+1)/$NU$23,$NN$23/$NT$23)),0)</f>
        <v/>
      </c>
      <c r="GZ23" s="228">
        <f>IF(AND(204&gt;=$NR$23,204&lt;=$NS$23),IF($NP$23="Single_Point",IF(204=$NR$23,$NN$23,0),IF($NP$23="Bell_Curve",$NN$23*(204-$NR$23+1)*($NS$23-204+1)/$NU$23,$NN$23/$NT$23)),0)</f>
        <v/>
      </c>
      <c r="HA23" s="228">
        <f>IF(AND(205&gt;=$NR$23,205&lt;=$NS$23),IF($NP$23="Single_Point",IF(205=$NR$23,$NN$23,0),IF($NP$23="Bell_Curve",$NN$23*(205-$NR$23+1)*($NS$23-205+1)/$NU$23,$NN$23/$NT$23)),0)</f>
        <v/>
      </c>
      <c r="HB23" s="228">
        <f>IF(AND(206&gt;=$NR$23,206&lt;=$NS$23),IF($NP$23="Single_Point",IF(206=$NR$23,$NN$23,0),IF($NP$23="Bell_Curve",$NN$23*(206-$NR$23+1)*($NS$23-206+1)/$NU$23,$NN$23/$NT$23)),0)</f>
        <v/>
      </c>
      <c r="HC23" s="228">
        <f>IF(AND(207&gt;=$NR$23,207&lt;=$NS$23),IF($NP$23="Single_Point",IF(207=$NR$23,$NN$23,0),IF($NP$23="Bell_Curve",$NN$23*(207-$NR$23+1)*($NS$23-207+1)/$NU$23,$NN$23/$NT$23)),0)</f>
        <v/>
      </c>
      <c r="HD23" s="228">
        <f>IF(AND(208&gt;=$NR$23,208&lt;=$NS$23),IF($NP$23="Single_Point",IF(208=$NR$23,$NN$23,0),IF($NP$23="Bell_Curve",$NN$23*(208-$NR$23+1)*($NS$23-208+1)/$NU$23,$NN$23/$NT$23)),0)</f>
        <v/>
      </c>
      <c r="HE23" s="228">
        <f>IF(AND(209&gt;=$NR$23,209&lt;=$NS$23),IF($NP$23="Single_Point",IF(209=$NR$23,$NN$23,0),IF($NP$23="Bell_Curve",$NN$23*(209-$NR$23+1)*($NS$23-209+1)/$NU$23,$NN$23/$NT$23)),0)</f>
        <v/>
      </c>
      <c r="HF23" s="228">
        <f>IF(AND(210&gt;=$NR$23,210&lt;=$NS$23),IF($NP$23="Single_Point",IF(210=$NR$23,$NN$23,0),IF($NP$23="Bell_Curve",$NN$23*(210-$NR$23+1)*($NS$23-210+1)/$NU$23,$NN$23/$NT$23)),0)</f>
        <v/>
      </c>
      <c r="HG23" s="228">
        <f>IF(AND(211&gt;=$NR$23,211&lt;=$NS$23),IF($NP$23="Single_Point",IF(211=$NR$23,$NN$23,0),IF($NP$23="Bell_Curve",$NN$23*(211-$NR$23+1)*($NS$23-211+1)/$NU$23,$NN$23/$NT$23)),0)</f>
        <v/>
      </c>
      <c r="HH23" s="228">
        <f>IF(AND(212&gt;=$NR$23,212&lt;=$NS$23),IF($NP$23="Single_Point",IF(212=$NR$23,$NN$23,0),IF($NP$23="Bell_Curve",$NN$23*(212-$NR$23+1)*($NS$23-212+1)/$NU$23,$NN$23/$NT$23)),0)</f>
        <v/>
      </c>
      <c r="HI23" s="228">
        <f>IF(AND(213&gt;=$NR$23,213&lt;=$NS$23),IF($NP$23="Single_Point",IF(213=$NR$23,$NN$23,0),IF($NP$23="Bell_Curve",$NN$23*(213-$NR$23+1)*($NS$23-213+1)/$NU$23,$NN$23/$NT$23)),0)</f>
        <v/>
      </c>
      <c r="HJ23" s="228">
        <f>IF(AND(214&gt;=$NR$23,214&lt;=$NS$23),IF($NP$23="Single_Point",IF(214=$NR$23,$NN$23,0),IF($NP$23="Bell_Curve",$NN$23*(214-$NR$23+1)*($NS$23-214+1)/$NU$23,$NN$23/$NT$23)),0)</f>
        <v/>
      </c>
      <c r="HK23" s="228">
        <f>IF(AND(215&gt;=$NR$23,215&lt;=$NS$23),IF($NP$23="Single_Point",IF(215=$NR$23,$NN$23,0),IF($NP$23="Bell_Curve",$NN$23*(215-$NR$23+1)*($NS$23-215+1)/$NU$23,$NN$23/$NT$23)),0)</f>
        <v/>
      </c>
      <c r="HL23" s="228">
        <f>IF(AND(216&gt;=$NR$23,216&lt;=$NS$23),IF($NP$23="Single_Point",IF(216=$NR$23,$NN$23,0),IF($NP$23="Bell_Curve",$NN$23*(216-$NR$23+1)*($NS$23-216+1)/$NU$23,$NN$23/$NT$23)),0)</f>
        <v/>
      </c>
      <c r="HM23" s="228">
        <f>IF(AND(217&gt;=$NR$23,217&lt;=$NS$23),IF($NP$23="Single_Point",IF(217=$NR$23,$NN$23,0),IF($NP$23="Bell_Curve",$NN$23*(217-$NR$23+1)*($NS$23-217+1)/$NU$23,$NN$23/$NT$23)),0)</f>
        <v/>
      </c>
      <c r="HN23" s="228">
        <f>IF(AND(218&gt;=$NR$23,218&lt;=$NS$23),IF($NP$23="Single_Point",IF(218=$NR$23,$NN$23,0),IF($NP$23="Bell_Curve",$NN$23*(218-$NR$23+1)*($NS$23-218+1)/$NU$23,$NN$23/$NT$23)),0)</f>
        <v/>
      </c>
      <c r="HO23" s="228">
        <f>IF(AND(219&gt;=$NR$23,219&lt;=$NS$23),IF($NP$23="Single_Point",IF(219=$NR$23,$NN$23,0),IF($NP$23="Bell_Curve",$NN$23*(219-$NR$23+1)*($NS$23-219+1)/$NU$23,$NN$23/$NT$23)),0)</f>
        <v/>
      </c>
      <c r="HP23" s="228">
        <f>IF(AND(220&gt;=$NR$23,220&lt;=$NS$23),IF($NP$23="Single_Point",IF(220=$NR$23,$NN$23,0),IF($NP$23="Bell_Curve",$NN$23*(220-$NR$23+1)*($NS$23-220+1)/$NU$23,$NN$23/$NT$23)),0)</f>
        <v/>
      </c>
      <c r="HQ23" s="228">
        <f>IF(AND(221&gt;=$NR$23,221&lt;=$NS$23),IF($NP$23="Single_Point",IF(221=$NR$23,$NN$23,0),IF($NP$23="Bell_Curve",$NN$23*(221-$NR$23+1)*($NS$23-221+1)/$NU$23,$NN$23/$NT$23)),0)</f>
        <v/>
      </c>
      <c r="HR23" s="228">
        <f>IF(AND(222&gt;=$NR$23,222&lt;=$NS$23),IF($NP$23="Single_Point",IF(222=$NR$23,$NN$23,0),IF($NP$23="Bell_Curve",$NN$23*(222-$NR$23+1)*($NS$23-222+1)/$NU$23,$NN$23/$NT$23)),0)</f>
        <v/>
      </c>
      <c r="HS23" s="228">
        <f>IF(AND(223&gt;=$NR$23,223&lt;=$NS$23),IF($NP$23="Single_Point",IF(223=$NR$23,$NN$23,0),IF($NP$23="Bell_Curve",$NN$23*(223-$NR$23+1)*($NS$23-223+1)/$NU$23,$NN$23/$NT$23)),0)</f>
        <v/>
      </c>
      <c r="HT23" s="228">
        <f>IF(AND(224&gt;=$NR$23,224&lt;=$NS$23),IF($NP$23="Single_Point",IF(224=$NR$23,$NN$23,0),IF($NP$23="Bell_Curve",$NN$23*(224-$NR$23+1)*($NS$23-224+1)/$NU$23,$NN$23/$NT$23)),0)</f>
        <v/>
      </c>
      <c r="HU23" s="228">
        <f>IF(AND(225&gt;=$NR$23,225&lt;=$NS$23),IF($NP$23="Single_Point",IF(225=$NR$23,$NN$23,0),IF($NP$23="Bell_Curve",$NN$23*(225-$NR$23+1)*($NS$23-225+1)/$NU$23,$NN$23/$NT$23)),0)</f>
        <v/>
      </c>
      <c r="HV23" s="228">
        <f>IF(AND(226&gt;=$NR$23,226&lt;=$NS$23),IF($NP$23="Single_Point",IF(226=$NR$23,$NN$23,0),IF($NP$23="Bell_Curve",$NN$23*(226-$NR$23+1)*($NS$23-226+1)/$NU$23,$NN$23/$NT$23)),0)</f>
        <v/>
      </c>
      <c r="HW23" s="228">
        <f>IF(AND(227&gt;=$NR$23,227&lt;=$NS$23),IF($NP$23="Single_Point",IF(227=$NR$23,$NN$23,0),IF($NP$23="Bell_Curve",$NN$23*(227-$NR$23+1)*($NS$23-227+1)/$NU$23,$NN$23/$NT$23)),0)</f>
        <v/>
      </c>
      <c r="HX23" s="228">
        <f>IF(AND(228&gt;=$NR$23,228&lt;=$NS$23),IF($NP$23="Single_Point",IF(228=$NR$23,$NN$23,0),IF($NP$23="Bell_Curve",$NN$23*(228-$NR$23+1)*($NS$23-228+1)/$NU$23,$NN$23/$NT$23)),0)</f>
        <v/>
      </c>
      <c r="HY23" s="228">
        <f>IF(AND(229&gt;=$NR$23,229&lt;=$NS$23),IF($NP$23="Single_Point",IF(229=$NR$23,$NN$23,0),IF($NP$23="Bell_Curve",$NN$23*(229-$NR$23+1)*($NS$23-229+1)/$NU$23,$NN$23/$NT$23)),0)</f>
        <v/>
      </c>
      <c r="HZ23" s="228">
        <f>IF(AND(230&gt;=$NR$23,230&lt;=$NS$23),IF($NP$23="Single_Point",IF(230=$NR$23,$NN$23,0),IF($NP$23="Bell_Curve",$NN$23*(230-$NR$23+1)*($NS$23-230+1)/$NU$23,$NN$23/$NT$23)),0)</f>
        <v/>
      </c>
      <c r="IA23" s="228">
        <f>IF(AND(231&gt;=$NR$23,231&lt;=$NS$23),IF($NP$23="Single_Point",IF(231=$NR$23,$NN$23,0),IF($NP$23="Bell_Curve",$NN$23*(231-$NR$23+1)*($NS$23-231+1)/$NU$23,$NN$23/$NT$23)),0)</f>
        <v/>
      </c>
      <c r="IB23" s="228">
        <f>IF(AND(232&gt;=$NR$23,232&lt;=$NS$23),IF($NP$23="Single_Point",IF(232=$NR$23,$NN$23,0),IF($NP$23="Bell_Curve",$NN$23*(232-$NR$23+1)*($NS$23-232+1)/$NU$23,$NN$23/$NT$23)),0)</f>
        <v/>
      </c>
      <c r="IC23" s="228">
        <f>IF(AND(233&gt;=$NR$23,233&lt;=$NS$23),IF($NP$23="Single_Point",IF(233=$NR$23,$NN$23,0),IF($NP$23="Bell_Curve",$NN$23*(233-$NR$23+1)*($NS$23-233+1)/$NU$23,$NN$23/$NT$23)),0)</f>
        <v/>
      </c>
      <c r="ID23" s="228">
        <f>IF(AND(234&gt;=$NR$23,234&lt;=$NS$23),IF($NP$23="Single_Point",IF(234=$NR$23,$NN$23,0),IF($NP$23="Bell_Curve",$NN$23*(234-$NR$23+1)*($NS$23-234+1)/$NU$23,$NN$23/$NT$23)),0)</f>
        <v/>
      </c>
      <c r="IE23" s="228">
        <f>IF(AND(235&gt;=$NR$23,235&lt;=$NS$23),IF($NP$23="Single_Point",IF(235=$NR$23,$NN$23,0),IF($NP$23="Bell_Curve",$NN$23*(235-$NR$23+1)*($NS$23-235+1)/$NU$23,$NN$23/$NT$23)),0)</f>
        <v/>
      </c>
      <c r="IF23" s="228">
        <f>IF(AND(236&gt;=$NR$23,236&lt;=$NS$23),IF($NP$23="Single_Point",IF(236=$NR$23,$NN$23,0),IF($NP$23="Bell_Curve",$NN$23*(236-$NR$23+1)*($NS$23-236+1)/$NU$23,$NN$23/$NT$23)),0)</f>
        <v/>
      </c>
      <c r="IG23" s="228">
        <f>IF(AND(237&gt;=$NR$23,237&lt;=$NS$23),IF($NP$23="Single_Point",IF(237=$NR$23,$NN$23,0),IF($NP$23="Bell_Curve",$NN$23*(237-$NR$23+1)*($NS$23-237+1)/$NU$23,$NN$23/$NT$23)),0)</f>
        <v/>
      </c>
      <c r="IH23" s="228">
        <f>IF(AND(238&gt;=$NR$23,238&lt;=$NS$23),IF($NP$23="Single_Point",IF(238=$NR$23,$NN$23,0),IF($NP$23="Bell_Curve",$NN$23*(238-$NR$23+1)*($NS$23-238+1)/$NU$23,$NN$23/$NT$23)),0)</f>
        <v/>
      </c>
      <c r="II23" s="228">
        <f>IF(AND(239&gt;=$NR$23,239&lt;=$NS$23),IF($NP$23="Single_Point",IF(239=$NR$23,$NN$23,0),IF($NP$23="Bell_Curve",$NN$23*(239-$NR$23+1)*($NS$23-239+1)/$NU$23,$NN$23/$NT$23)),0)</f>
        <v/>
      </c>
      <c r="IJ23" s="228">
        <f>IF(AND(240&gt;=$NR$23,240&lt;=$NS$23),IF($NP$23="Single_Point",IF(240=$NR$23,$NN$23,0),IF($NP$23="Bell_Curve",$NN$23*(240-$NR$23+1)*($NS$23-240+1)/$NU$23,$NN$23/$NT$23)),0)</f>
        <v/>
      </c>
      <c r="IK23" s="228">
        <f>IF(AND(241&gt;=$NR$23,241&lt;=$NS$23),IF($NP$23="Single_Point",IF(241=$NR$23,$NN$23,0),IF($NP$23="Bell_Curve",$NN$23*(241-$NR$23+1)*($NS$23-241+1)/$NU$23,$NN$23/$NT$23)),0)</f>
        <v/>
      </c>
      <c r="IL23" s="228">
        <f>IF(AND(242&gt;=$NR$23,242&lt;=$NS$23),IF($NP$23="Single_Point",IF(242=$NR$23,$NN$23,0),IF($NP$23="Bell_Curve",$NN$23*(242-$NR$23+1)*($NS$23-242+1)/$NU$23,$NN$23/$NT$23)),0)</f>
        <v/>
      </c>
      <c r="IM23" s="228">
        <f>IF(AND(243&gt;=$NR$23,243&lt;=$NS$23),IF($NP$23="Single_Point",IF(243=$NR$23,$NN$23,0),IF($NP$23="Bell_Curve",$NN$23*(243-$NR$23+1)*($NS$23-243+1)/$NU$23,$NN$23/$NT$23)),0)</f>
        <v/>
      </c>
      <c r="IN23" s="228">
        <f>IF(AND(244&gt;=$NR$23,244&lt;=$NS$23),IF($NP$23="Single_Point",IF(244=$NR$23,$NN$23,0),IF($NP$23="Bell_Curve",$NN$23*(244-$NR$23+1)*($NS$23-244+1)/$NU$23,$NN$23/$NT$23)),0)</f>
        <v/>
      </c>
      <c r="IO23" s="228">
        <f>IF(AND(245&gt;=$NR$23,245&lt;=$NS$23),IF($NP$23="Single_Point",IF(245=$NR$23,$NN$23,0),IF($NP$23="Bell_Curve",$NN$23*(245-$NR$23+1)*($NS$23-245+1)/$NU$23,$NN$23/$NT$23)),0)</f>
        <v/>
      </c>
      <c r="IP23" s="228">
        <f>IF(AND(246&gt;=$NR$23,246&lt;=$NS$23),IF($NP$23="Single_Point",IF(246=$NR$23,$NN$23,0),IF($NP$23="Bell_Curve",$NN$23*(246-$NR$23+1)*($NS$23-246+1)/$NU$23,$NN$23/$NT$23)),0)</f>
        <v/>
      </c>
      <c r="IQ23" s="228">
        <f>IF(AND(247&gt;=$NR$23,247&lt;=$NS$23),IF($NP$23="Single_Point",IF(247=$NR$23,$NN$23,0),IF($NP$23="Bell_Curve",$NN$23*(247-$NR$23+1)*($NS$23-247+1)/$NU$23,$NN$23/$NT$23)),0)</f>
        <v/>
      </c>
      <c r="IR23" s="228">
        <f>IF(AND(248&gt;=$NR$23,248&lt;=$NS$23),IF($NP$23="Single_Point",IF(248=$NR$23,$NN$23,0),IF($NP$23="Bell_Curve",$NN$23*(248-$NR$23+1)*($NS$23-248+1)/$NU$23,$NN$23/$NT$23)),0)</f>
        <v/>
      </c>
      <c r="IS23" s="228">
        <f>IF(AND(249&gt;=$NR$23,249&lt;=$NS$23),IF($NP$23="Single_Point",IF(249=$NR$23,$NN$23,0),IF($NP$23="Bell_Curve",$NN$23*(249-$NR$23+1)*($NS$23-249+1)/$NU$23,$NN$23/$NT$23)),0)</f>
        <v/>
      </c>
      <c r="IT23" s="228">
        <f>IF(AND(250&gt;=$NR$23,250&lt;=$NS$23),IF($NP$23="Single_Point",IF(250=$NR$23,$NN$23,0),IF($NP$23="Bell_Curve",$NN$23*(250-$NR$23+1)*($NS$23-250+1)/$NU$23,$NN$23/$NT$23)),0)</f>
        <v/>
      </c>
      <c r="IU23" s="228">
        <f>IF(AND(251&gt;=$NR$23,251&lt;=$NS$23),IF($NP$23="Single_Point",IF(251=$NR$23,$NN$23,0),IF($NP$23="Bell_Curve",$NN$23*(251-$NR$23+1)*($NS$23-251+1)/$NU$23,$NN$23/$NT$23)),0)</f>
        <v/>
      </c>
      <c r="IV23" s="228">
        <f>IF(AND(252&gt;=$NR$23,252&lt;=$NS$23),IF($NP$23="Single_Point",IF(252=$NR$23,$NN$23,0),IF($NP$23="Bell_Curve",$NN$23*(252-$NR$23+1)*($NS$23-252+1)/$NU$23,$NN$23/$NT$23)),0)</f>
        <v/>
      </c>
      <c r="IW23" s="228">
        <f>IF(AND(253&gt;=$NR$23,253&lt;=$NS$23),IF($NP$23="Single_Point",IF(253=$NR$23,$NN$23,0),IF($NP$23="Bell_Curve",$NN$23*(253-$NR$23+1)*($NS$23-253+1)/$NU$23,$NN$23/$NT$23)),0)</f>
        <v/>
      </c>
      <c r="IX23" s="228">
        <f>IF(AND(254&gt;=$NR$23,254&lt;=$NS$23),IF($NP$23="Single_Point",IF(254=$NR$23,$NN$23,0),IF($NP$23="Bell_Curve",$NN$23*(254-$NR$23+1)*($NS$23-254+1)/$NU$23,$NN$23/$NT$23)),0)</f>
        <v/>
      </c>
      <c r="IY23" s="228">
        <f>IF(AND(255&gt;=$NR$23,255&lt;=$NS$23),IF($NP$23="Single_Point",IF(255=$NR$23,$NN$23,0),IF($NP$23="Bell_Curve",$NN$23*(255-$NR$23+1)*($NS$23-255+1)/$NU$23,$NN$23/$NT$23)),0)</f>
        <v/>
      </c>
      <c r="IZ23" s="228">
        <f>IF(AND(256&gt;=$NR$23,256&lt;=$NS$23),IF($NP$23="Single_Point",IF(256=$NR$23,$NN$23,0),IF($NP$23="Bell_Curve",$NN$23*(256-$NR$23+1)*($NS$23-256+1)/$NU$23,$NN$23/$NT$23)),0)</f>
        <v/>
      </c>
      <c r="JA23" s="228">
        <f>IF(AND(257&gt;=$NR$23,257&lt;=$NS$23),IF($NP$23="Single_Point",IF(257=$NR$23,$NN$23,0),IF($NP$23="Bell_Curve",$NN$23*(257-$NR$23+1)*($NS$23-257+1)/$NU$23,$NN$23/$NT$23)),0)</f>
        <v/>
      </c>
      <c r="JB23" s="228">
        <f>IF(AND(258&gt;=$NR$23,258&lt;=$NS$23),IF($NP$23="Single_Point",IF(258=$NR$23,$NN$23,0),IF($NP$23="Bell_Curve",$NN$23*(258-$NR$23+1)*($NS$23-258+1)/$NU$23,$NN$23/$NT$23)),0)</f>
        <v/>
      </c>
      <c r="JC23" s="228">
        <f>IF(AND(259&gt;=$NR$23,259&lt;=$NS$23),IF($NP$23="Single_Point",IF(259=$NR$23,$NN$23,0),IF($NP$23="Bell_Curve",$NN$23*(259-$NR$23+1)*($NS$23-259+1)/$NU$23,$NN$23/$NT$23)),0)</f>
        <v/>
      </c>
      <c r="JD23" s="228">
        <f>IF(AND(260&gt;=$NR$23,260&lt;=$NS$23),IF($NP$23="Single_Point",IF(260=$NR$23,$NN$23,0),IF($NP$23="Bell_Curve",$NN$23*(260-$NR$23+1)*($NS$23-260+1)/$NU$23,$NN$23/$NT$23)),0)</f>
        <v/>
      </c>
      <c r="JE23" s="228">
        <f>IF(AND(261&gt;=$NR$23,261&lt;=$NS$23),IF($NP$23="Single_Point",IF(261=$NR$23,$NN$23,0),IF($NP$23="Bell_Curve",$NN$23*(261-$NR$23+1)*($NS$23-261+1)/$NU$23,$NN$23/$NT$23)),0)</f>
        <v/>
      </c>
      <c r="JF23" s="228">
        <f>IF(AND(262&gt;=$NR$23,262&lt;=$NS$23),IF($NP$23="Single_Point",IF(262=$NR$23,$NN$23,0),IF($NP$23="Bell_Curve",$NN$23*(262-$NR$23+1)*($NS$23-262+1)/$NU$23,$NN$23/$NT$23)),0)</f>
        <v/>
      </c>
      <c r="JG23" s="228">
        <f>IF(AND(263&gt;=$NR$23,263&lt;=$NS$23),IF($NP$23="Single_Point",IF(263=$NR$23,$NN$23,0),IF($NP$23="Bell_Curve",$NN$23*(263-$NR$23+1)*($NS$23-263+1)/$NU$23,$NN$23/$NT$23)),0)</f>
        <v/>
      </c>
      <c r="JH23" s="228">
        <f>IF(AND(264&gt;=$NR$23,264&lt;=$NS$23),IF($NP$23="Single_Point",IF(264=$NR$23,$NN$23,0),IF($NP$23="Bell_Curve",$NN$23*(264-$NR$23+1)*($NS$23-264+1)/$NU$23,$NN$23/$NT$23)),0)</f>
        <v/>
      </c>
      <c r="JI23" s="228">
        <f>IF(AND(265&gt;=$NR$23,265&lt;=$NS$23),IF($NP$23="Single_Point",IF(265=$NR$23,$NN$23,0),IF($NP$23="Bell_Curve",$NN$23*(265-$NR$23+1)*($NS$23-265+1)/$NU$23,$NN$23/$NT$23)),0)</f>
        <v/>
      </c>
      <c r="JJ23" s="228">
        <f>IF(AND(266&gt;=$NR$23,266&lt;=$NS$23),IF($NP$23="Single_Point",IF(266=$NR$23,$NN$23,0),IF($NP$23="Bell_Curve",$NN$23*(266-$NR$23+1)*($NS$23-266+1)/$NU$23,$NN$23/$NT$23)),0)</f>
        <v/>
      </c>
      <c r="JK23" s="228">
        <f>IF(AND(267&gt;=$NR$23,267&lt;=$NS$23),IF($NP$23="Single_Point",IF(267=$NR$23,$NN$23,0),IF($NP$23="Bell_Curve",$NN$23*(267-$NR$23+1)*($NS$23-267+1)/$NU$23,$NN$23/$NT$23)),0)</f>
        <v/>
      </c>
      <c r="JL23" s="228">
        <f>IF(AND(268&gt;=$NR$23,268&lt;=$NS$23),IF($NP$23="Single_Point",IF(268=$NR$23,$NN$23,0),IF($NP$23="Bell_Curve",$NN$23*(268-$NR$23+1)*($NS$23-268+1)/$NU$23,$NN$23/$NT$23)),0)</f>
        <v/>
      </c>
      <c r="JM23" s="228">
        <f>IF(AND(269&gt;=$NR$23,269&lt;=$NS$23),IF($NP$23="Single_Point",IF(269=$NR$23,$NN$23,0),IF($NP$23="Bell_Curve",$NN$23*(269-$NR$23+1)*($NS$23-269+1)/$NU$23,$NN$23/$NT$23)),0)</f>
        <v/>
      </c>
      <c r="JN23" s="228">
        <f>IF(AND(270&gt;=$NR$23,270&lt;=$NS$23),IF($NP$23="Single_Point",IF(270=$NR$23,$NN$23,0),IF($NP$23="Bell_Curve",$NN$23*(270-$NR$23+1)*($NS$23-270+1)/$NU$23,$NN$23/$NT$23)),0)</f>
        <v/>
      </c>
      <c r="JO23" s="228">
        <f>IF(AND(271&gt;=$NR$23,271&lt;=$NS$23),IF($NP$23="Single_Point",IF(271=$NR$23,$NN$23,0),IF($NP$23="Bell_Curve",$NN$23*(271-$NR$23+1)*($NS$23-271+1)/$NU$23,$NN$23/$NT$23)),0)</f>
        <v/>
      </c>
      <c r="JP23" s="228">
        <f>IF(AND(272&gt;=$NR$23,272&lt;=$NS$23),IF($NP$23="Single_Point",IF(272=$NR$23,$NN$23,0),IF($NP$23="Bell_Curve",$NN$23*(272-$NR$23+1)*($NS$23-272+1)/$NU$23,$NN$23/$NT$23)),0)</f>
        <v/>
      </c>
      <c r="JQ23" s="228">
        <f>IF(AND(273&gt;=$NR$23,273&lt;=$NS$23),IF($NP$23="Single_Point",IF(273=$NR$23,$NN$23,0),IF($NP$23="Bell_Curve",$NN$23*(273-$NR$23+1)*($NS$23-273+1)/$NU$23,$NN$23/$NT$23)),0)</f>
        <v/>
      </c>
      <c r="JR23" s="228">
        <f>IF(AND(274&gt;=$NR$23,274&lt;=$NS$23),IF($NP$23="Single_Point",IF(274=$NR$23,$NN$23,0),IF($NP$23="Bell_Curve",$NN$23*(274-$NR$23+1)*($NS$23-274+1)/$NU$23,$NN$23/$NT$23)),0)</f>
        <v/>
      </c>
      <c r="JS23" s="228">
        <f>IF(AND(275&gt;=$NR$23,275&lt;=$NS$23),IF($NP$23="Single_Point",IF(275=$NR$23,$NN$23,0),IF($NP$23="Bell_Curve",$NN$23*(275-$NR$23+1)*($NS$23-275+1)/$NU$23,$NN$23/$NT$23)),0)</f>
        <v/>
      </c>
      <c r="JT23" s="228">
        <f>IF(AND(276&gt;=$NR$23,276&lt;=$NS$23),IF($NP$23="Single_Point",IF(276=$NR$23,$NN$23,0),IF($NP$23="Bell_Curve",$NN$23*(276-$NR$23+1)*($NS$23-276+1)/$NU$23,$NN$23/$NT$23)),0)</f>
        <v/>
      </c>
      <c r="JU23" s="228">
        <f>IF(AND(277&gt;=$NR$23,277&lt;=$NS$23),IF($NP$23="Single_Point",IF(277=$NR$23,$NN$23,0),IF($NP$23="Bell_Curve",$NN$23*(277-$NR$23+1)*($NS$23-277+1)/$NU$23,$NN$23/$NT$23)),0)</f>
        <v/>
      </c>
      <c r="JV23" s="228">
        <f>IF(AND(278&gt;=$NR$23,278&lt;=$NS$23),IF($NP$23="Single_Point",IF(278=$NR$23,$NN$23,0),IF($NP$23="Bell_Curve",$NN$23*(278-$NR$23+1)*($NS$23-278+1)/$NU$23,$NN$23/$NT$23)),0)</f>
        <v/>
      </c>
      <c r="JW23" s="228">
        <f>IF(AND(279&gt;=$NR$23,279&lt;=$NS$23),IF($NP$23="Single_Point",IF(279=$NR$23,$NN$23,0),IF($NP$23="Bell_Curve",$NN$23*(279-$NR$23+1)*($NS$23-279+1)/$NU$23,$NN$23/$NT$23)),0)</f>
        <v/>
      </c>
      <c r="JX23" s="228">
        <f>IF(AND(280&gt;=$NR$23,280&lt;=$NS$23),IF($NP$23="Single_Point",IF(280=$NR$23,$NN$23,0),IF($NP$23="Bell_Curve",$NN$23*(280-$NR$23+1)*($NS$23-280+1)/$NU$23,$NN$23/$NT$23)),0)</f>
        <v/>
      </c>
      <c r="JY23" s="228">
        <f>IF(AND(281&gt;=$NR$23,281&lt;=$NS$23),IF($NP$23="Single_Point",IF(281=$NR$23,$NN$23,0),IF($NP$23="Bell_Curve",$NN$23*(281-$NR$23+1)*($NS$23-281+1)/$NU$23,$NN$23/$NT$23)),0)</f>
        <v/>
      </c>
      <c r="JZ23" s="228">
        <f>IF(AND(282&gt;=$NR$23,282&lt;=$NS$23),IF($NP$23="Single_Point",IF(282=$NR$23,$NN$23,0),IF($NP$23="Bell_Curve",$NN$23*(282-$NR$23+1)*($NS$23-282+1)/$NU$23,$NN$23/$NT$23)),0)</f>
        <v/>
      </c>
      <c r="KA23" s="228">
        <f>IF(AND(283&gt;=$NR$23,283&lt;=$NS$23),IF($NP$23="Single_Point",IF(283=$NR$23,$NN$23,0),IF($NP$23="Bell_Curve",$NN$23*(283-$NR$23+1)*($NS$23-283+1)/$NU$23,$NN$23/$NT$23)),0)</f>
        <v/>
      </c>
      <c r="KB23" s="228">
        <f>IF(AND(284&gt;=$NR$23,284&lt;=$NS$23),IF($NP$23="Single_Point",IF(284=$NR$23,$NN$23,0),IF($NP$23="Bell_Curve",$NN$23*(284-$NR$23+1)*($NS$23-284+1)/$NU$23,$NN$23/$NT$23)),0)</f>
        <v/>
      </c>
      <c r="KC23" s="228">
        <f>IF(AND(285&gt;=$NR$23,285&lt;=$NS$23),IF($NP$23="Single_Point",IF(285=$NR$23,$NN$23,0),IF($NP$23="Bell_Curve",$NN$23*(285-$NR$23+1)*($NS$23-285+1)/$NU$23,$NN$23/$NT$23)),0)</f>
        <v/>
      </c>
      <c r="KD23" s="228">
        <f>IF(AND(286&gt;=$NR$23,286&lt;=$NS$23),IF($NP$23="Single_Point",IF(286=$NR$23,$NN$23,0),IF($NP$23="Bell_Curve",$NN$23*(286-$NR$23+1)*($NS$23-286+1)/$NU$23,$NN$23/$NT$23)),0)</f>
        <v/>
      </c>
      <c r="KE23" s="228">
        <f>IF(AND(287&gt;=$NR$23,287&lt;=$NS$23),IF($NP$23="Single_Point",IF(287=$NR$23,$NN$23,0),IF($NP$23="Bell_Curve",$NN$23*(287-$NR$23+1)*($NS$23-287+1)/$NU$23,$NN$23/$NT$23)),0)</f>
        <v/>
      </c>
      <c r="KF23" s="228">
        <f>IF(AND(288&gt;=$NR$23,288&lt;=$NS$23),IF($NP$23="Single_Point",IF(288=$NR$23,$NN$23,0),IF($NP$23="Bell_Curve",$NN$23*(288-$NR$23+1)*($NS$23-288+1)/$NU$23,$NN$23/$NT$23)),0)</f>
        <v/>
      </c>
      <c r="KG23" s="228">
        <f>IF(AND(289&gt;=$NR$23,289&lt;=$NS$23),IF($NP$23="Single_Point",IF(289=$NR$23,$NN$23,0),IF($NP$23="Bell_Curve",$NN$23*(289-$NR$23+1)*($NS$23-289+1)/$NU$23,$NN$23/$NT$23)),0)</f>
        <v/>
      </c>
      <c r="KH23" s="228">
        <f>IF(AND(290&gt;=$NR$23,290&lt;=$NS$23),IF($NP$23="Single_Point",IF(290=$NR$23,$NN$23,0),IF($NP$23="Bell_Curve",$NN$23*(290-$NR$23+1)*($NS$23-290+1)/$NU$23,$NN$23/$NT$23)),0)</f>
        <v/>
      </c>
      <c r="KI23" s="228">
        <f>IF(AND(291&gt;=$NR$23,291&lt;=$NS$23),IF($NP$23="Single_Point",IF(291=$NR$23,$NN$23,0),IF($NP$23="Bell_Curve",$NN$23*(291-$NR$23+1)*($NS$23-291+1)/$NU$23,$NN$23/$NT$23)),0)</f>
        <v/>
      </c>
      <c r="KJ23" s="228">
        <f>IF(AND(292&gt;=$NR$23,292&lt;=$NS$23),IF($NP$23="Single_Point",IF(292=$NR$23,$NN$23,0),IF($NP$23="Bell_Curve",$NN$23*(292-$NR$23+1)*($NS$23-292+1)/$NU$23,$NN$23/$NT$23)),0)</f>
        <v/>
      </c>
      <c r="KK23" s="228">
        <f>IF(AND(293&gt;=$NR$23,293&lt;=$NS$23),IF($NP$23="Single_Point",IF(293=$NR$23,$NN$23,0),IF($NP$23="Bell_Curve",$NN$23*(293-$NR$23+1)*($NS$23-293+1)/$NU$23,$NN$23/$NT$23)),0)</f>
        <v/>
      </c>
      <c r="KL23" s="228">
        <f>IF(AND(294&gt;=$NR$23,294&lt;=$NS$23),IF($NP$23="Single_Point",IF(294=$NR$23,$NN$23,0),IF($NP$23="Bell_Curve",$NN$23*(294-$NR$23+1)*($NS$23-294+1)/$NU$23,$NN$23/$NT$23)),0)</f>
        <v/>
      </c>
      <c r="KM23" s="228">
        <f>IF(AND(295&gt;=$NR$23,295&lt;=$NS$23),IF($NP$23="Single_Point",IF(295=$NR$23,$NN$23,0),IF($NP$23="Bell_Curve",$NN$23*(295-$NR$23+1)*($NS$23-295+1)/$NU$23,$NN$23/$NT$23)),0)</f>
        <v/>
      </c>
      <c r="KN23" s="228">
        <f>IF(AND(296&gt;=$NR$23,296&lt;=$NS$23),IF($NP$23="Single_Point",IF(296=$NR$23,$NN$23,0),IF($NP$23="Bell_Curve",$NN$23*(296-$NR$23+1)*($NS$23-296+1)/$NU$23,$NN$23/$NT$23)),0)</f>
        <v/>
      </c>
      <c r="KO23" s="228">
        <f>IF(AND(297&gt;=$NR$23,297&lt;=$NS$23),IF($NP$23="Single_Point",IF(297=$NR$23,$NN$23,0),IF($NP$23="Bell_Curve",$NN$23*(297-$NR$23+1)*($NS$23-297+1)/$NU$23,$NN$23/$NT$23)),0)</f>
        <v/>
      </c>
      <c r="KP23" s="228">
        <f>IF(AND(298&gt;=$NR$23,298&lt;=$NS$23),IF($NP$23="Single_Point",IF(298=$NR$23,$NN$23,0),IF($NP$23="Bell_Curve",$NN$23*(298-$NR$23+1)*($NS$23-298+1)/$NU$23,$NN$23/$NT$23)),0)</f>
        <v/>
      </c>
      <c r="KQ23" s="228">
        <f>IF(AND(299&gt;=$NR$23,299&lt;=$NS$23),IF($NP$23="Single_Point",IF(299=$NR$23,$NN$23,0),IF($NP$23="Bell_Curve",$NN$23*(299-$NR$23+1)*($NS$23-299+1)/$NU$23,$NN$23/$NT$23)),0)</f>
        <v/>
      </c>
      <c r="KR23" s="228">
        <f>IF(AND(300&gt;=$NR$23,300&lt;=$NS$23),IF($NP$23="Single_Point",IF(300=$NR$23,$NN$23,0),IF($NP$23="Bell_Curve",$NN$23*(300-$NR$23+1)*($NS$23-300+1)/$NU$23,$NN$23/$NT$23)),0)</f>
        <v/>
      </c>
      <c r="KS23" s="228">
        <f>IF(AND(301&gt;=$NR$23,301&lt;=$NS$23),IF($NP$23="Single_Point",IF(301=$NR$23,$NN$23,0),IF($NP$23="Bell_Curve",$NN$23*(301-$NR$23+1)*($NS$23-301+1)/$NU$23,$NN$23/$NT$23)),0)</f>
        <v/>
      </c>
      <c r="KT23" s="228">
        <f>IF(AND(302&gt;=$NR$23,302&lt;=$NS$23),IF($NP$23="Single_Point",IF(302=$NR$23,$NN$23,0),IF($NP$23="Bell_Curve",$NN$23*(302-$NR$23+1)*($NS$23-302+1)/$NU$23,$NN$23/$NT$23)),0)</f>
        <v/>
      </c>
      <c r="KU23" s="228">
        <f>IF(AND(303&gt;=$NR$23,303&lt;=$NS$23),IF($NP$23="Single_Point",IF(303=$NR$23,$NN$23,0),IF($NP$23="Bell_Curve",$NN$23*(303-$NR$23+1)*($NS$23-303+1)/$NU$23,$NN$23/$NT$23)),0)</f>
        <v/>
      </c>
      <c r="KV23" s="228">
        <f>IF(AND(304&gt;=$NR$23,304&lt;=$NS$23),IF($NP$23="Single_Point",IF(304=$NR$23,$NN$23,0),IF($NP$23="Bell_Curve",$NN$23*(304-$NR$23+1)*($NS$23-304+1)/$NU$23,$NN$23/$NT$23)),0)</f>
        <v/>
      </c>
      <c r="KW23" s="228">
        <f>IF(AND(305&gt;=$NR$23,305&lt;=$NS$23),IF($NP$23="Single_Point",IF(305=$NR$23,$NN$23,0),IF($NP$23="Bell_Curve",$NN$23*(305-$NR$23+1)*($NS$23-305+1)/$NU$23,$NN$23/$NT$23)),0)</f>
        <v/>
      </c>
      <c r="KX23" s="228">
        <f>IF(AND(306&gt;=$NR$23,306&lt;=$NS$23),IF($NP$23="Single_Point",IF(306=$NR$23,$NN$23,0),IF($NP$23="Bell_Curve",$NN$23*(306-$NR$23+1)*($NS$23-306+1)/$NU$23,$NN$23/$NT$23)),0)</f>
        <v/>
      </c>
      <c r="KY23" s="228">
        <f>IF(AND(307&gt;=$NR$23,307&lt;=$NS$23),IF($NP$23="Single_Point",IF(307=$NR$23,$NN$23,0),IF($NP$23="Bell_Curve",$NN$23*(307-$NR$23+1)*($NS$23-307+1)/$NU$23,$NN$23/$NT$23)),0)</f>
        <v/>
      </c>
      <c r="KZ23" s="228">
        <f>IF(AND(308&gt;=$NR$23,308&lt;=$NS$23),IF($NP$23="Single_Point",IF(308=$NR$23,$NN$23,0),IF($NP$23="Bell_Curve",$NN$23*(308-$NR$23+1)*($NS$23-308+1)/$NU$23,$NN$23/$NT$23)),0)</f>
        <v/>
      </c>
      <c r="LA23" s="228">
        <f>IF(AND(309&gt;=$NR$23,309&lt;=$NS$23),IF($NP$23="Single_Point",IF(309=$NR$23,$NN$23,0),IF($NP$23="Bell_Curve",$NN$23*(309-$NR$23+1)*($NS$23-309+1)/$NU$23,$NN$23/$NT$23)),0)</f>
        <v/>
      </c>
      <c r="LB23" s="228">
        <f>IF(AND(310&gt;=$NR$23,310&lt;=$NS$23),IF($NP$23="Single_Point",IF(310=$NR$23,$NN$23,0),IF($NP$23="Bell_Curve",$NN$23*(310-$NR$23+1)*($NS$23-310+1)/$NU$23,$NN$23/$NT$23)),0)</f>
        <v/>
      </c>
      <c r="LC23" s="228">
        <f>IF(AND(311&gt;=$NR$23,311&lt;=$NS$23),IF($NP$23="Single_Point",IF(311=$NR$23,$NN$23,0),IF($NP$23="Bell_Curve",$NN$23*(311-$NR$23+1)*($NS$23-311+1)/$NU$23,$NN$23/$NT$23)),0)</f>
        <v/>
      </c>
      <c r="LD23" s="228">
        <f>IF(AND(312&gt;=$NR$23,312&lt;=$NS$23),IF($NP$23="Single_Point",IF(312=$NR$23,$NN$23,0),IF($NP$23="Bell_Curve",$NN$23*(312-$NR$23+1)*($NS$23-312+1)/$NU$23,$NN$23/$NT$23)),0)</f>
        <v/>
      </c>
      <c r="LE23" s="228">
        <f>IF(AND(313&gt;=$NR$23,313&lt;=$NS$23),IF($NP$23="Single_Point",IF(313=$NR$23,$NN$23,0),IF($NP$23="Bell_Curve",$NN$23*(313-$NR$23+1)*($NS$23-313+1)/$NU$23,$NN$23/$NT$23)),0)</f>
        <v/>
      </c>
      <c r="LF23" s="228">
        <f>IF(AND(314&gt;=$NR$23,314&lt;=$NS$23),IF($NP$23="Single_Point",IF(314=$NR$23,$NN$23,0),IF($NP$23="Bell_Curve",$NN$23*(314-$NR$23+1)*($NS$23-314+1)/$NU$23,$NN$23/$NT$23)),0)</f>
        <v/>
      </c>
      <c r="LG23" s="228">
        <f>IF(AND(315&gt;=$NR$23,315&lt;=$NS$23),IF($NP$23="Single_Point",IF(315=$NR$23,$NN$23,0),IF($NP$23="Bell_Curve",$NN$23*(315-$NR$23+1)*($NS$23-315+1)/$NU$23,$NN$23/$NT$23)),0)</f>
        <v/>
      </c>
      <c r="LH23" s="228">
        <f>IF(AND(316&gt;=$NR$23,316&lt;=$NS$23),IF($NP$23="Single_Point",IF(316=$NR$23,$NN$23,0),IF($NP$23="Bell_Curve",$NN$23*(316-$NR$23+1)*($NS$23-316+1)/$NU$23,$NN$23/$NT$23)),0)</f>
        <v/>
      </c>
      <c r="LI23" s="228">
        <f>IF(AND(317&gt;=$NR$23,317&lt;=$NS$23),IF($NP$23="Single_Point",IF(317=$NR$23,$NN$23,0),IF($NP$23="Bell_Curve",$NN$23*(317-$NR$23+1)*($NS$23-317+1)/$NU$23,$NN$23/$NT$23)),0)</f>
        <v/>
      </c>
      <c r="LJ23" s="228">
        <f>IF(AND(318&gt;=$NR$23,318&lt;=$NS$23),IF($NP$23="Single_Point",IF(318=$NR$23,$NN$23,0),IF($NP$23="Bell_Curve",$NN$23*(318-$NR$23+1)*($NS$23-318+1)/$NU$23,$NN$23/$NT$23)),0)</f>
        <v/>
      </c>
      <c r="LK23" s="228">
        <f>IF(AND(319&gt;=$NR$23,319&lt;=$NS$23),IF($NP$23="Single_Point",IF(319=$NR$23,$NN$23,0),IF($NP$23="Bell_Curve",$NN$23*(319-$NR$23+1)*($NS$23-319+1)/$NU$23,$NN$23/$NT$23)),0)</f>
        <v/>
      </c>
      <c r="LL23" s="228">
        <f>IF(AND(320&gt;=$NR$23,320&lt;=$NS$23),IF($NP$23="Single_Point",IF(320=$NR$23,$NN$23,0),IF($NP$23="Bell_Curve",$NN$23*(320-$NR$23+1)*($NS$23-320+1)/$NU$23,$NN$23/$NT$23)),0)</f>
        <v/>
      </c>
      <c r="LM23" s="228">
        <f>IF(AND(321&gt;=$NR$23,321&lt;=$NS$23),IF($NP$23="Single_Point",IF(321=$NR$23,$NN$23,0),IF($NP$23="Bell_Curve",$NN$23*(321-$NR$23+1)*($NS$23-321+1)/$NU$23,$NN$23/$NT$23)),0)</f>
        <v/>
      </c>
      <c r="LN23" s="228">
        <f>IF(AND(322&gt;=$NR$23,322&lt;=$NS$23),IF($NP$23="Single_Point",IF(322=$NR$23,$NN$23,0),IF($NP$23="Bell_Curve",$NN$23*(322-$NR$23+1)*($NS$23-322+1)/$NU$23,$NN$23/$NT$23)),0)</f>
        <v/>
      </c>
      <c r="LO23" s="228">
        <f>IF(AND(323&gt;=$NR$23,323&lt;=$NS$23),IF($NP$23="Single_Point",IF(323=$NR$23,$NN$23,0),IF($NP$23="Bell_Curve",$NN$23*(323-$NR$23+1)*($NS$23-323+1)/$NU$23,$NN$23/$NT$23)),0)</f>
        <v/>
      </c>
      <c r="LP23" s="228">
        <f>IF(AND(324&gt;=$NR$23,324&lt;=$NS$23),IF($NP$23="Single_Point",IF(324=$NR$23,$NN$23,0),IF($NP$23="Bell_Curve",$NN$23*(324-$NR$23+1)*($NS$23-324+1)/$NU$23,$NN$23/$NT$23)),0)</f>
        <v/>
      </c>
      <c r="LQ23" s="228">
        <f>IF(AND(325&gt;=$NR$23,325&lt;=$NS$23),IF($NP$23="Single_Point",IF(325=$NR$23,$NN$23,0),IF($NP$23="Bell_Curve",$NN$23*(325-$NR$23+1)*($NS$23-325+1)/$NU$23,$NN$23/$NT$23)),0)</f>
        <v/>
      </c>
      <c r="LR23" s="228">
        <f>IF(AND(326&gt;=$NR$23,326&lt;=$NS$23),IF($NP$23="Single_Point",IF(326=$NR$23,$NN$23,0),IF($NP$23="Bell_Curve",$NN$23*(326-$NR$23+1)*($NS$23-326+1)/$NU$23,$NN$23/$NT$23)),0)</f>
        <v/>
      </c>
      <c r="LS23" s="228">
        <f>IF(AND(327&gt;=$NR$23,327&lt;=$NS$23),IF($NP$23="Single_Point",IF(327=$NR$23,$NN$23,0),IF($NP$23="Bell_Curve",$NN$23*(327-$NR$23+1)*($NS$23-327+1)/$NU$23,$NN$23/$NT$23)),0)</f>
        <v/>
      </c>
      <c r="LT23" s="228">
        <f>IF(AND(328&gt;=$NR$23,328&lt;=$NS$23),IF($NP$23="Single_Point",IF(328=$NR$23,$NN$23,0),IF($NP$23="Bell_Curve",$NN$23*(328-$NR$23+1)*($NS$23-328+1)/$NU$23,$NN$23/$NT$23)),0)</f>
        <v/>
      </c>
      <c r="LU23" s="228">
        <f>IF(AND(329&gt;=$NR$23,329&lt;=$NS$23),IF($NP$23="Single_Point",IF(329=$NR$23,$NN$23,0),IF($NP$23="Bell_Curve",$NN$23*(329-$NR$23+1)*($NS$23-329+1)/$NU$23,$NN$23/$NT$23)),0)</f>
        <v/>
      </c>
      <c r="LV23" s="228">
        <f>IF(AND(330&gt;=$NR$23,330&lt;=$NS$23),IF($NP$23="Single_Point",IF(330=$NR$23,$NN$23,0),IF($NP$23="Bell_Curve",$NN$23*(330-$NR$23+1)*($NS$23-330+1)/$NU$23,$NN$23/$NT$23)),0)</f>
        <v/>
      </c>
      <c r="LW23" s="228">
        <f>IF(AND(331&gt;=$NR$23,331&lt;=$NS$23),IF($NP$23="Single_Point",IF(331=$NR$23,$NN$23,0),IF($NP$23="Bell_Curve",$NN$23*(331-$NR$23+1)*($NS$23-331+1)/$NU$23,$NN$23/$NT$23)),0)</f>
        <v/>
      </c>
      <c r="LX23" s="228">
        <f>IF(AND(332&gt;=$NR$23,332&lt;=$NS$23),IF($NP$23="Single_Point",IF(332=$NR$23,$NN$23,0),IF($NP$23="Bell_Curve",$NN$23*(332-$NR$23+1)*($NS$23-332+1)/$NU$23,$NN$23/$NT$23)),0)</f>
        <v/>
      </c>
      <c r="LY23" s="228">
        <f>IF(AND(333&gt;=$NR$23,333&lt;=$NS$23),IF($NP$23="Single_Point",IF(333=$NR$23,$NN$23,0),IF($NP$23="Bell_Curve",$NN$23*(333-$NR$23+1)*($NS$23-333+1)/$NU$23,$NN$23/$NT$23)),0)</f>
        <v/>
      </c>
      <c r="LZ23" s="228">
        <f>IF(AND(334&gt;=$NR$23,334&lt;=$NS$23),IF($NP$23="Single_Point",IF(334=$NR$23,$NN$23,0),IF($NP$23="Bell_Curve",$NN$23*(334-$NR$23+1)*($NS$23-334+1)/$NU$23,$NN$23/$NT$23)),0)</f>
        <v/>
      </c>
      <c r="MA23" s="228">
        <f>IF(AND(335&gt;=$NR$23,335&lt;=$NS$23),IF($NP$23="Single_Point",IF(335=$NR$23,$NN$23,0),IF($NP$23="Bell_Curve",$NN$23*(335-$NR$23+1)*($NS$23-335+1)/$NU$23,$NN$23/$NT$23)),0)</f>
        <v/>
      </c>
      <c r="MB23" s="228">
        <f>IF(AND(336&gt;=$NR$23,336&lt;=$NS$23),IF($NP$23="Single_Point",IF(336=$NR$23,$NN$23,0),IF($NP$23="Bell_Curve",$NN$23*(336-$NR$23+1)*($NS$23-336+1)/$NU$23,$NN$23/$NT$23)),0)</f>
        <v/>
      </c>
      <c r="MC23" s="228">
        <f>IF(AND(337&gt;=$NR$23,337&lt;=$NS$23),IF($NP$23="Single_Point",IF(337=$NR$23,$NN$23,0),IF($NP$23="Bell_Curve",$NN$23*(337-$NR$23+1)*($NS$23-337+1)/$NU$23,$NN$23/$NT$23)),0)</f>
        <v/>
      </c>
      <c r="MD23" s="228">
        <f>IF(AND(338&gt;=$NR$23,338&lt;=$NS$23),IF($NP$23="Single_Point",IF(338=$NR$23,$NN$23,0),IF($NP$23="Bell_Curve",$NN$23*(338-$NR$23+1)*($NS$23-338+1)/$NU$23,$NN$23/$NT$23)),0)</f>
        <v/>
      </c>
      <c r="ME23" s="228">
        <f>IF(AND(339&gt;=$NR$23,339&lt;=$NS$23),IF($NP$23="Single_Point",IF(339=$NR$23,$NN$23,0),IF($NP$23="Bell_Curve",$NN$23*(339-$NR$23+1)*($NS$23-339+1)/$NU$23,$NN$23/$NT$23)),0)</f>
        <v/>
      </c>
      <c r="MF23" s="228">
        <f>IF(AND(340&gt;=$NR$23,340&lt;=$NS$23),IF($NP$23="Single_Point",IF(340=$NR$23,$NN$23,0),IF($NP$23="Bell_Curve",$NN$23*(340-$NR$23+1)*($NS$23-340+1)/$NU$23,$NN$23/$NT$23)),0)</f>
        <v/>
      </c>
      <c r="MG23" s="228">
        <f>IF(AND(341&gt;=$NR$23,341&lt;=$NS$23),IF($NP$23="Single_Point",IF(341=$NR$23,$NN$23,0),IF($NP$23="Bell_Curve",$NN$23*(341-$NR$23+1)*($NS$23-341+1)/$NU$23,$NN$23/$NT$23)),0)</f>
        <v/>
      </c>
      <c r="MH23" s="228">
        <f>IF(AND(342&gt;=$NR$23,342&lt;=$NS$23),IF($NP$23="Single_Point",IF(342=$NR$23,$NN$23,0),IF($NP$23="Bell_Curve",$NN$23*(342-$NR$23+1)*($NS$23-342+1)/$NU$23,$NN$23/$NT$23)),0)</f>
        <v/>
      </c>
      <c r="MI23" s="228">
        <f>IF(AND(343&gt;=$NR$23,343&lt;=$NS$23),IF($NP$23="Single_Point",IF(343=$NR$23,$NN$23,0),IF($NP$23="Bell_Curve",$NN$23*(343-$NR$23+1)*($NS$23-343+1)/$NU$23,$NN$23/$NT$23)),0)</f>
        <v/>
      </c>
      <c r="MJ23" s="228">
        <f>IF(AND(344&gt;=$NR$23,344&lt;=$NS$23),IF($NP$23="Single_Point",IF(344=$NR$23,$NN$23,0),IF($NP$23="Bell_Curve",$NN$23*(344-$NR$23+1)*($NS$23-344+1)/$NU$23,$NN$23/$NT$23)),0)</f>
        <v/>
      </c>
      <c r="MK23" s="228">
        <f>IF(AND(345&gt;=$NR$23,345&lt;=$NS$23),IF($NP$23="Single_Point",IF(345=$NR$23,$NN$23,0),IF($NP$23="Bell_Curve",$NN$23*(345-$NR$23+1)*($NS$23-345+1)/$NU$23,$NN$23/$NT$23)),0)</f>
        <v/>
      </c>
      <c r="ML23" s="228">
        <f>IF(AND(346&gt;=$NR$23,346&lt;=$NS$23),IF($NP$23="Single_Point",IF(346=$NR$23,$NN$23,0),IF($NP$23="Bell_Curve",$NN$23*(346-$NR$23+1)*($NS$23-346+1)/$NU$23,$NN$23/$NT$23)),0)</f>
        <v/>
      </c>
      <c r="MM23" s="228">
        <f>IF(AND(347&gt;=$NR$23,347&lt;=$NS$23),IF($NP$23="Single_Point",IF(347=$NR$23,$NN$23,0),IF($NP$23="Bell_Curve",$NN$23*(347-$NR$23+1)*($NS$23-347+1)/$NU$23,$NN$23/$NT$23)),0)</f>
        <v/>
      </c>
      <c r="MN23" s="228">
        <f>IF(AND(348&gt;=$NR$23,348&lt;=$NS$23),IF($NP$23="Single_Point",IF(348=$NR$23,$NN$23,0),IF($NP$23="Bell_Curve",$NN$23*(348-$NR$23+1)*($NS$23-348+1)/$NU$23,$NN$23/$NT$23)),0)</f>
        <v/>
      </c>
      <c r="MO23" s="228">
        <f>IF(AND(349&gt;=$NR$23,349&lt;=$NS$23),IF($NP$23="Single_Point",IF(349=$NR$23,$NN$23,0),IF($NP$23="Bell_Curve",$NN$23*(349-$NR$23+1)*($NS$23-349+1)/$NU$23,$NN$23/$NT$23)),0)</f>
        <v/>
      </c>
      <c r="MP23" s="228">
        <f>IF(AND(350&gt;=$NR$23,350&lt;=$NS$23),IF($NP$23="Single_Point",IF(350=$NR$23,$NN$23,0),IF($NP$23="Bell_Curve",$NN$23*(350-$NR$23+1)*($NS$23-350+1)/$NU$23,$NN$23/$NT$23)),0)</f>
        <v/>
      </c>
      <c r="MQ23" s="228">
        <f>IF(AND(351&gt;=$NR$23,351&lt;=$NS$23),IF($NP$23="Single_Point",IF(351=$NR$23,$NN$23,0),IF($NP$23="Bell_Curve",$NN$23*(351-$NR$23+1)*($NS$23-351+1)/$NU$23,$NN$23/$NT$23)),0)</f>
        <v/>
      </c>
      <c r="MR23" s="228">
        <f>IF(AND(352&gt;=$NR$23,352&lt;=$NS$23),IF($NP$23="Single_Point",IF(352=$NR$23,$NN$23,0),IF($NP$23="Bell_Curve",$NN$23*(352-$NR$23+1)*($NS$23-352+1)/$NU$23,$NN$23/$NT$23)),0)</f>
        <v/>
      </c>
      <c r="MS23" s="228">
        <f>IF(AND(353&gt;=$NR$23,353&lt;=$NS$23),IF($NP$23="Single_Point",IF(353=$NR$23,$NN$23,0),IF($NP$23="Bell_Curve",$NN$23*(353-$NR$23+1)*($NS$23-353+1)/$NU$23,$NN$23/$NT$23)),0)</f>
        <v/>
      </c>
      <c r="MT23" s="228">
        <f>IF(AND(354&gt;=$NR$23,354&lt;=$NS$23),IF($NP$23="Single_Point",IF(354=$NR$23,$NN$23,0),IF($NP$23="Bell_Curve",$NN$23*(354-$NR$23+1)*($NS$23-354+1)/$NU$23,$NN$23/$NT$23)),0)</f>
        <v/>
      </c>
      <c r="MU23" s="228">
        <f>IF(AND(355&gt;=$NR$23,355&lt;=$NS$23),IF($NP$23="Single_Point",IF(355=$NR$23,$NN$23,0),IF($NP$23="Bell_Curve",$NN$23*(355-$NR$23+1)*($NS$23-355+1)/$NU$23,$NN$23/$NT$23)),0)</f>
        <v/>
      </c>
      <c r="MV23" s="228">
        <f>IF(AND(356&gt;=$NR$23,356&lt;=$NS$23),IF($NP$23="Single_Point",IF(356=$NR$23,$NN$23,0),IF($NP$23="Bell_Curve",$NN$23*(356-$NR$23+1)*($NS$23-356+1)/$NU$23,$NN$23/$NT$23)),0)</f>
        <v/>
      </c>
      <c r="MW23" s="228">
        <f>IF(AND(357&gt;=$NR$23,357&lt;=$NS$23),IF($NP$23="Single_Point",IF(357=$NR$23,$NN$23,0),IF($NP$23="Bell_Curve",$NN$23*(357-$NR$23+1)*($NS$23-357+1)/$NU$23,$NN$23/$NT$23)),0)</f>
        <v/>
      </c>
      <c r="MX23" s="228">
        <f>IF(AND(358&gt;=$NR$23,358&lt;=$NS$23),IF($NP$23="Single_Point",IF(358=$NR$23,$NN$23,0),IF($NP$23="Bell_Curve",$NN$23*(358-$NR$23+1)*($NS$23-358+1)/$NU$23,$NN$23/$NT$23)),0)</f>
        <v/>
      </c>
      <c r="MY23" s="228">
        <f>IF(AND(359&gt;=$NR$23,359&lt;=$NS$23),IF($NP$23="Single_Point",IF(359=$NR$23,$NN$23,0),IF($NP$23="Bell_Curve",$NN$23*(359-$NR$23+1)*($NS$23-359+1)/$NU$23,$NN$23/$NT$23)),0)</f>
        <v/>
      </c>
      <c r="MZ23" s="228">
        <f>IF(AND(360&gt;=$NR$23,360&lt;=$NS$23),IF($NP$23="Single_Point",IF(360=$NR$23,$NN$23,0),IF($NP$23="Bell_Curve",$NN$23*(360-$NR$23+1)*($NS$23-360+1)/$NU$23,$NN$23/$NT$23)),0)</f>
        <v/>
      </c>
      <c r="NA23" s="228">
        <f>IF(AND(361&gt;=$NR$23,361&lt;=$NS$23),IF($NP$23="Single_Point",IF(361=$NR$23,$NN$23,0),IF($NP$23="Bell_Curve",$NN$23*(361-$NR$23+1)*($NS$23-361+1)/$NU$23,$NN$23/$NT$23)),0)</f>
        <v/>
      </c>
      <c r="NB23" s="228">
        <f>IF(AND(362&gt;=$NR$23,362&lt;=$NS$23),IF($NP$23="Single_Point",IF(362=$NR$23,$NN$23,0),IF($NP$23="Bell_Curve",$NN$23*(362-$NR$23+1)*($NS$23-362+1)/$NU$23,$NN$23/$NT$23)),0)</f>
        <v/>
      </c>
      <c r="NC23" s="228">
        <f>IF(AND(363&gt;=$NR$23,363&lt;=$NS$23),IF($NP$23="Single_Point",IF(363=$NR$23,$NN$23,0),IF($NP$23="Bell_Curve",$NN$23*(363-$NR$23+1)*($NS$23-363+1)/$NU$23,$NN$23/$NT$23)),0)</f>
        <v/>
      </c>
      <c r="ND23" s="228">
        <f>IF(AND(364&gt;=$NR$23,364&lt;=$NS$23),IF($NP$23="Single_Point",IF(364=$NR$23,$NN$23,0),IF($NP$23="Bell_Curve",$NN$23*(364-$NR$23+1)*($NS$23-364+1)/$NU$23,$NN$23/$NT$23)),0)</f>
        <v/>
      </c>
      <c r="NE23" s="228">
        <f>IF(AND(365&gt;=$NR$23,365&lt;=$NS$23),IF($NP$23="Single_Point",IF(365=$NR$23,$NN$23,0),IF($NP$23="Bell_Curve",$NN$23*(365-$NR$23+1)*($NS$23-365+1)/$NU$23,$NN$23/$NT$23)),0)</f>
        <v/>
      </c>
      <c r="NF23" s="228">
        <f>IF(AND(366&gt;=$NR$23,366&lt;=$NS$23),IF($NP$23="Single_Point",IF(366=$NR$23,$NN$23,0),IF($NP$23="Bell_Curve",$NN$23*(366-$NR$23+1)*($NS$23-366+1)/$NU$23,$NN$23/$NT$23)),0)</f>
        <v/>
      </c>
      <c r="NG23" s="228">
        <f>IF(AND(367&gt;=$NR$23,367&lt;=$NS$23),IF($NP$23="Single_Point",IF(367=$NR$23,$NN$23,0),IF($NP$23="Bell_Curve",$NN$23*(367-$NR$23+1)*($NS$23-367+1)/$NU$23,$NN$23/$NT$23)),0)</f>
        <v/>
      </c>
      <c r="NH23" s="228">
        <f>IF(AND(368&gt;=$NR$23,368&lt;=$NS$23),IF($NP$23="Single_Point",IF(368=$NR$23,$NN$23,0),IF($NP$23="Bell_Curve",$NN$23*(368-$NR$23+1)*($NS$23-368+1)/$NU$23,$NN$23/$NT$23)),0)</f>
        <v/>
      </c>
      <c r="NI23" s="228">
        <f>IF(AND(369&gt;=$NR$23,369&lt;=$NS$23),IF($NP$23="Single_Point",IF(369=$NR$23,$NN$23,0),IF($NP$23="Bell_Curve",$NN$23*(369-$NR$23+1)*($NS$23-369+1)/$NU$23,$NN$23/$NT$23)),0)</f>
        <v/>
      </c>
      <c r="NJ23" s="228">
        <f>IF(AND(370&gt;=$NR$23,370&lt;=$NS$23),IF($NP$23="Single_Point",IF(370=$NR$23,$NN$23,0),IF($NP$23="Bell_Curve",$NN$23*(370-$NR$23+1)*($NS$23-370+1)/$NU$23,$NN$23/$NT$23)),0)</f>
        <v/>
      </c>
      <c r="NK23" s="228">
        <f>IF(AND(371&gt;=$NR$23,371&lt;=$NS$23),IF($NP$23="Single_Point",IF(371=$NR$23,$NN$23,0),IF($NP$23="Bell_Curve",$NN$23*(371-$NR$23+1)*($NS$23-371+1)/$NU$23,$NN$23/$NT$23)),0)</f>
        <v/>
      </c>
      <c r="NL23" s="247">
        <f>IF(AND(372&gt;=$NR$23,372&lt;=$NS$23),IF($NP$23="Single_Point",IF(372=$NR$23,$NN$23,0),IF($NP$23="Bell_Curve",$NN$23*(372-$NR$23+1)*($NS$23-372+1)/$NU$23,$NN$23/$NT$23)),0)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36" t="inlineStr">
        <is>
          <t>Other Soft Cost 4</t>
        </is>
      </c>
      <c r="D24" s="246">
        <f>SUM(E24:NL24)</f>
        <v/>
      </c>
      <c r="E24" s="228">
        <f>IF(AND(1&gt;=$NR$24,1&lt;=$NS$24),IF($NP$24="Single_Point",IF(1=$NR$24,$NN$24,0),IF($NP$24="Bell_Curve",$NN$24*(1-$NR$24+1)*($NS$24-1+1)/$NU$24,$NN$24/$NT$24)),0)</f>
        <v/>
      </c>
      <c r="F24" s="228">
        <f>IF(AND(2&gt;=$NR$24,2&lt;=$NS$24),IF($NP$24="Single_Point",IF(2=$NR$24,$NN$24,0),IF($NP$24="Bell_Curve",$NN$24*(2-$NR$24+1)*($NS$24-2+1)/$NU$24,$NN$24/$NT$24)),0)</f>
        <v/>
      </c>
      <c r="G24" s="228">
        <f>IF(AND(3&gt;=$NR$24,3&lt;=$NS$24),IF($NP$24="Single_Point",IF(3=$NR$24,$NN$24,0),IF($NP$24="Bell_Curve",$NN$24*(3-$NR$24+1)*($NS$24-3+1)/$NU$24,$NN$24/$NT$24)),0)</f>
        <v/>
      </c>
      <c r="H24" s="228">
        <f>IF(AND(4&gt;=$NR$24,4&lt;=$NS$24),IF($NP$24="Single_Point",IF(4=$NR$24,$NN$24,0),IF($NP$24="Bell_Curve",$NN$24*(4-$NR$24+1)*($NS$24-4+1)/$NU$24,$NN$24/$NT$24)),0)</f>
        <v/>
      </c>
      <c r="I24" s="228">
        <f>IF(AND(5&gt;=$NR$24,5&lt;=$NS$24),IF($NP$24="Single_Point",IF(5=$NR$24,$NN$24,0),IF($NP$24="Bell_Curve",$NN$24*(5-$NR$24+1)*($NS$24-5+1)/$NU$24,$NN$24/$NT$24)),0)</f>
        <v/>
      </c>
      <c r="J24" s="228">
        <f>IF(AND(6&gt;=$NR$24,6&lt;=$NS$24),IF($NP$24="Single_Point",IF(6=$NR$24,$NN$24,0),IF($NP$24="Bell_Curve",$NN$24*(6-$NR$24+1)*($NS$24-6+1)/$NU$24,$NN$24/$NT$24)),0)</f>
        <v/>
      </c>
      <c r="K24" s="228">
        <f>IF(AND(7&gt;=$NR$24,7&lt;=$NS$24),IF($NP$24="Single_Point",IF(7=$NR$24,$NN$24,0),IF($NP$24="Bell_Curve",$NN$24*(7-$NR$24+1)*($NS$24-7+1)/$NU$24,$NN$24/$NT$24)),0)</f>
        <v/>
      </c>
      <c r="L24" s="228">
        <f>IF(AND(8&gt;=$NR$24,8&lt;=$NS$24),IF($NP$24="Single_Point",IF(8=$NR$24,$NN$24,0),IF($NP$24="Bell_Curve",$NN$24*(8-$NR$24+1)*($NS$24-8+1)/$NU$24,$NN$24/$NT$24)),0)</f>
        <v/>
      </c>
      <c r="M24" s="228">
        <f>IF(AND(9&gt;=$NR$24,9&lt;=$NS$24),IF($NP$24="Single_Point",IF(9=$NR$24,$NN$24,0),IF($NP$24="Bell_Curve",$NN$24*(9-$NR$24+1)*($NS$24-9+1)/$NU$24,$NN$24/$NT$24)),0)</f>
        <v/>
      </c>
      <c r="N24" s="228">
        <f>IF(AND(10&gt;=$NR$24,10&lt;=$NS$24),IF($NP$24="Single_Point",IF(10=$NR$24,$NN$24,0),IF($NP$24="Bell_Curve",$NN$24*(10-$NR$24+1)*($NS$24-10+1)/$NU$24,$NN$24/$NT$24)),0)</f>
        <v/>
      </c>
      <c r="O24" s="228">
        <f>IF(AND(11&gt;=$NR$24,11&lt;=$NS$24),IF($NP$24="Single_Point",IF(11=$NR$24,$NN$24,0),IF($NP$24="Bell_Curve",$NN$24*(11-$NR$24+1)*($NS$24-11+1)/$NU$24,$NN$24/$NT$24)),0)</f>
        <v/>
      </c>
      <c r="P24" s="228">
        <f>IF(AND(12&gt;=$NR$24,12&lt;=$NS$24),IF($NP$24="Single_Point",IF(12=$NR$24,$NN$24,0),IF($NP$24="Bell_Curve",$NN$24*(12-$NR$24+1)*($NS$24-12+1)/$NU$24,$NN$24/$NT$24)),0)</f>
        <v/>
      </c>
      <c r="Q24" s="228">
        <f>IF(AND(13&gt;=$NR$24,13&lt;=$NS$24),IF($NP$24="Single_Point",IF(13=$NR$24,$NN$24,0),IF($NP$24="Bell_Curve",$NN$24*(13-$NR$24+1)*($NS$24-13+1)/$NU$24,$NN$24/$NT$24)),0)</f>
        <v/>
      </c>
      <c r="R24" s="228">
        <f>IF(AND(14&gt;=$NR$24,14&lt;=$NS$24),IF($NP$24="Single_Point",IF(14=$NR$24,$NN$24,0),IF($NP$24="Bell_Curve",$NN$24*(14-$NR$24+1)*($NS$24-14+1)/$NU$24,$NN$24/$NT$24)),0)</f>
        <v/>
      </c>
      <c r="S24" s="228">
        <f>IF(AND(15&gt;=$NR$24,15&lt;=$NS$24),IF($NP$24="Single_Point",IF(15=$NR$24,$NN$24,0),IF($NP$24="Bell_Curve",$NN$24*(15-$NR$24+1)*($NS$24-15+1)/$NU$24,$NN$24/$NT$24)),0)</f>
        <v/>
      </c>
      <c r="T24" s="228">
        <f>IF(AND(16&gt;=$NR$24,16&lt;=$NS$24),IF($NP$24="Single_Point",IF(16=$NR$24,$NN$24,0),IF($NP$24="Bell_Curve",$NN$24*(16-$NR$24+1)*($NS$24-16+1)/$NU$24,$NN$24/$NT$24)),0)</f>
        <v/>
      </c>
      <c r="U24" s="228">
        <f>IF(AND(17&gt;=$NR$24,17&lt;=$NS$24),IF($NP$24="Single_Point",IF(17=$NR$24,$NN$24,0),IF($NP$24="Bell_Curve",$NN$24*(17-$NR$24+1)*($NS$24-17+1)/$NU$24,$NN$24/$NT$24)),0)</f>
        <v/>
      </c>
      <c r="V24" s="228">
        <f>IF(AND(18&gt;=$NR$24,18&lt;=$NS$24),IF($NP$24="Single_Point",IF(18=$NR$24,$NN$24,0),IF($NP$24="Bell_Curve",$NN$24*(18-$NR$24+1)*($NS$24-18+1)/$NU$24,$NN$24/$NT$24)),0)</f>
        <v/>
      </c>
      <c r="W24" s="228">
        <f>IF(AND(19&gt;=$NR$24,19&lt;=$NS$24),IF($NP$24="Single_Point",IF(19=$NR$24,$NN$24,0),IF($NP$24="Bell_Curve",$NN$24*(19-$NR$24+1)*($NS$24-19+1)/$NU$24,$NN$24/$NT$24)),0)</f>
        <v/>
      </c>
      <c r="X24" s="228">
        <f>IF(AND(20&gt;=$NR$24,20&lt;=$NS$24),IF($NP$24="Single_Point",IF(20=$NR$24,$NN$24,0),IF($NP$24="Bell_Curve",$NN$24*(20-$NR$24+1)*($NS$24-20+1)/$NU$24,$NN$24/$NT$24)),0)</f>
        <v/>
      </c>
      <c r="Y24" s="228">
        <f>IF(AND(21&gt;=$NR$24,21&lt;=$NS$24),IF($NP$24="Single_Point",IF(21=$NR$24,$NN$24,0),IF($NP$24="Bell_Curve",$NN$24*(21-$NR$24+1)*($NS$24-21+1)/$NU$24,$NN$24/$NT$24)),0)</f>
        <v/>
      </c>
      <c r="Z24" s="228">
        <f>IF(AND(22&gt;=$NR$24,22&lt;=$NS$24),IF($NP$24="Single_Point",IF(22=$NR$24,$NN$24,0),IF($NP$24="Bell_Curve",$NN$24*(22-$NR$24+1)*($NS$24-22+1)/$NU$24,$NN$24/$NT$24)),0)</f>
        <v/>
      </c>
      <c r="AA24" s="228">
        <f>IF(AND(23&gt;=$NR$24,23&lt;=$NS$24),IF($NP$24="Single_Point",IF(23=$NR$24,$NN$24,0),IF($NP$24="Bell_Curve",$NN$24*(23-$NR$24+1)*($NS$24-23+1)/$NU$24,$NN$24/$NT$24)),0)</f>
        <v/>
      </c>
      <c r="AB24" s="228">
        <f>IF(AND(24&gt;=$NR$24,24&lt;=$NS$24),IF($NP$24="Single_Point",IF(24=$NR$24,$NN$24,0),IF($NP$24="Bell_Curve",$NN$24*(24-$NR$24+1)*($NS$24-24+1)/$NU$24,$NN$24/$NT$24)),0)</f>
        <v/>
      </c>
      <c r="AC24" s="228">
        <f>IF(AND(25&gt;=$NR$24,25&lt;=$NS$24),IF($NP$24="Single_Point",IF(25=$NR$24,$NN$24,0),IF($NP$24="Bell_Curve",$NN$24*(25-$NR$24+1)*($NS$24-25+1)/$NU$24,$NN$24/$NT$24)),0)</f>
        <v/>
      </c>
      <c r="AD24" s="228">
        <f>IF(AND(26&gt;=$NR$24,26&lt;=$NS$24),IF($NP$24="Single_Point",IF(26=$NR$24,$NN$24,0),IF($NP$24="Bell_Curve",$NN$24*(26-$NR$24+1)*($NS$24-26+1)/$NU$24,$NN$24/$NT$24)),0)</f>
        <v/>
      </c>
      <c r="AE24" s="228">
        <f>IF(AND(27&gt;=$NR$24,27&lt;=$NS$24),IF($NP$24="Single_Point",IF(27=$NR$24,$NN$24,0),IF($NP$24="Bell_Curve",$NN$24*(27-$NR$24+1)*($NS$24-27+1)/$NU$24,$NN$24/$NT$24)),0)</f>
        <v/>
      </c>
      <c r="AF24" s="228">
        <f>IF(AND(28&gt;=$NR$24,28&lt;=$NS$24),IF($NP$24="Single_Point",IF(28=$NR$24,$NN$24,0),IF($NP$24="Bell_Curve",$NN$24*(28-$NR$24+1)*($NS$24-28+1)/$NU$24,$NN$24/$NT$24)),0)</f>
        <v/>
      </c>
      <c r="AG24" s="228">
        <f>IF(AND(29&gt;=$NR$24,29&lt;=$NS$24),IF($NP$24="Single_Point",IF(29=$NR$24,$NN$24,0),IF($NP$24="Bell_Curve",$NN$24*(29-$NR$24+1)*($NS$24-29+1)/$NU$24,$NN$24/$NT$24)),0)</f>
        <v/>
      </c>
      <c r="AH24" s="228">
        <f>IF(AND(30&gt;=$NR$24,30&lt;=$NS$24),IF($NP$24="Single_Point",IF(30=$NR$24,$NN$24,0),IF($NP$24="Bell_Curve",$NN$24*(30-$NR$24+1)*($NS$24-30+1)/$NU$24,$NN$24/$NT$24)),0)</f>
        <v/>
      </c>
      <c r="AI24" s="228">
        <f>IF(AND(31&gt;=$NR$24,31&lt;=$NS$24),IF($NP$24="Single_Point",IF(31=$NR$24,$NN$24,0),IF($NP$24="Bell_Curve",$NN$24*(31-$NR$24+1)*($NS$24-31+1)/$NU$24,$NN$24/$NT$24)),0)</f>
        <v/>
      </c>
      <c r="AJ24" s="228">
        <f>IF(AND(32&gt;=$NR$24,32&lt;=$NS$24),IF($NP$24="Single_Point",IF(32=$NR$24,$NN$24,0),IF($NP$24="Bell_Curve",$NN$24*(32-$NR$24+1)*($NS$24-32+1)/$NU$24,$NN$24/$NT$24)),0)</f>
        <v/>
      </c>
      <c r="AK24" s="228">
        <f>IF(AND(33&gt;=$NR$24,33&lt;=$NS$24),IF($NP$24="Single_Point",IF(33=$NR$24,$NN$24,0),IF($NP$24="Bell_Curve",$NN$24*(33-$NR$24+1)*($NS$24-33+1)/$NU$24,$NN$24/$NT$24)),0)</f>
        <v/>
      </c>
      <c r="AL24" s="228">
        <f>IF(AND(34&gt;=$NR$24,34&lt;=$NS$24),IF($NP$24="Single_Point",IF(34=$NR$24,$NN$24,0),IF($NP$24="Bell_Curve",$NN$24*(34-$NR$24+1)*($NS$24-34+1)/$NU$24,$NN$24/$NT$24)),0)</f>
        <v/>
      </c>
      <c r="AM24" s="228">
        <f>IF(AND(35&gt;=$NR$24,35&lt;=$NS$24),IF($NP$24="Single_Point",IF(35=$NR$24,$NN$24,0),IF($NP$24="Bell_Curve",$NN$24*(35-$NR$24+1)*($NS$24-35+1)/$NU$24,$NN$24/$NT$24)),0)</f>
        <v/>
      </c>
      <c r="AN24" s="228">
        <f>IF(AND(36&gt;=$NR$24,36&lt;=$NS$24),IF($NP$24="Single_Point",IF(36=$NR$24,$NN$24,0),IF($NP$24="Bell_Curve",$NN$24*(36-$NR$24+1)*($NS$24-36+1)/$NU$24,$NN$24/$NT$24)),0)</f>
        <v/>
      </c>
      <c r="AO24" s="228">
        <f>IF(AND(37&gt;=$NR$24,37&lt;=$NS$24),IF($NP$24="Single_Point",IF(37=$NR$24,$NN$24,0),IF($NP$24="Bell_Curve",$NN$24*(37-$NR$24+1)*($NS$24-37+1)/$NU$24,$NN$24/$NT$24)),0)</f>
        <v/>
      </c>
      <c r="AP24" s="228">
        <f>IF(AND(38&gt;=$NR$24,38&lt;=$NS$24),IF($NP$24="Single_Point",IF(38=$NR$24,$NN$24,0),IF($NP$24="Bell_Curve",$NN$24*(38-$NR$24+1)*($NS$24-38+1)/$NU$24,$NN$24/$NT$24)),0)</f>
        <v/>
      </c>
      <c r="AQ24" s="228">
        <f>IF(AND(39&gt;=$NR$24,39&lt;=$NS$24),IF($NP$24="Single_Point",IF(39=$NR$24,$NN$24,0),IF($NP$24="Bell_Curve",$NN$24*(39-$NR$24+1)*($NS$24-39+1)/$NU$24,$NN$24/$NT$24)),0)</f>
        <v/>
      </c>
      <c r="AR24" s="228">
        <f>IF(AND(40&gt;=$NR$24,40&lt;=$NS$24),IF($NP$24="Single_Point",IF(40=$NR$24,$NN$24,0),IF($NP$24="Bell_Curve",$NN$24*(40-$NR$24+1)*($NS$24-40+1)/$NU$24,$NN$24/$NT$24)),0)</f>
        <v/>
      </c>
      <c r="AS24" s="228">
        <f>IF(AND(41&gt;=$NR$24,41&lt;=$NS$24),IF($NP$24="Single_Point",IF(41=$NR$24,$NN$24,0),IF($NP$24="Bell_Curve",$NN$24*(41-$NR$24+1)*($NS$24-41+1)/$NU$24,$NN$24/$NT$24)),0)</f>
        <v/>
      </c>
      <c r="AT24" s="228">
        <f>IF(AND(42&gt;=$NR$24,42&lt;=$NS$24),IF($NP$24="Single_Point",IF(42=$NR$24,$NN$24,0),IF($NP$24="Bell_Curve",$NN$24*(42-$NR$24+1)*($NS$24-42+1)/$NU$24,$NN$24/$NT$24)),0)</f>
        <v/>
      </c>
      <c r="AU24" s="228">
        <f>IF(AND(43&gt;=$NR$24,43&lt;=$NS$24),IF($NP$24="Single_Point",IF(43=$NR$24,$NN$24,0),IF($NP$24="Bell_Curve",$NN$24*(43-$NR$24+1)*($NS$24-43+1)/$NU$24,$NN$24/$NT$24)),0)</f>
        <v/>
      </c>
      <c r="AV24" s="228">
        <f>IF(AND(44&gt;=$NR$24,44&lt;=$NS$24),IF($NP$24="Single_Point",IF(44=$NR$24,$NN$24,0),IF($NP$24="Bell_Curve",$NN$24*(44-$NR$24+1)*($NS$24-44+1)/$NU$24,$NN$24/$NT$24)),0)</f>
        <v/>
      </c>
      <c r="AW24" s="228">
        <f>IF(AND(45&gt;=$NR$24,45&lt;=$NS$24),IF($NP$24="Single_Point",IF(45=$NR$24,$NN$24,0),IF($NP$24="Bell_Curve",$NN$24*(45-$NR$24+1)*($NS$24-45+1)/$NU$24,$NN$24/$NT$24)),0)</f>
        <v/>
      </c>
      <c r="AX24" s="228">
        <f>IF(AND(46&gt;=$NR$24,46&lt;=$NS$24),IF($NP$24="Single_Point",IF(46=$NR$24,$NN$24,0),IF($NP$24="Bell_Curve",$NN$24*(46-$NR$24+1)*($NS$24-46+1)/$NU$24,$NN$24/$NT$24)),0)</f>
        <v/>
      </c>
      <c r="AY24" s="228">
        <f>IF(AND(47&gt;=$NR$24,47&lt;=$NS$24),IF($NP$24="Single_Point",IF(47=$NR$24,$NN$24,0),IF($NP$24="Bell_Curve",$NN$24*(47-$NR$24+1)*($NS$24-47+1)/$NU$24,$NN$24/$NT$24)),0)</f>
        <v/>
      </c>
      <c r="AZ24" s="228">
        <f>IF(AND(48&gt;=$NR$24,48&lt;=$NS$24),IF($NP$24="Single_Point",IF(48=$NR$24,$NN$24,0),IF($NP$24="Bell_Curve",$NN$24*(48-$NR$24+1)*($NS$24-48+1)/$NU$24,$NN$24/$NT$24)),0)</f>
        <v/>
      </c>
      <c r="BA24" s="228">
        <f>IF(AND(49&gt;=$NR$24,49&lt;=$NS$24),IF($NP$24="Single_Point",IF(49=$NR$24,$NN$24,0),IF($NP$24="Bell_Curve",$NN$24*(49-$NR$24+1)*($NS$24-49+1)/$NU$24,$NN$24/$NT$24)),0)</f>
        <v/>
      </c>
      <c r="BB24" s="228">
        <f>IF(AND(50&gt;=$NR$24,50&lt;=$NS$24),IF($NP$24="Single_Point",IF(50=$NR$24,$NN$24,0),IF($NP$24="Bell_Curve",$NN$24*(50-$NR$24+1)*($NS$24-50+1)/$NU$24,$NN$24/$NT$24)),0)</f>
        <v/>
      </c>
      <c r="BC24" s="228">
        <f>IF(AND(51&gt;=$NR$24,51&lt;=$NS$24),IF($NP$24="Single_Point",IF(51=$NR$24,$NN$24,0),IF($NP$24="Bell_Curve",$NN$24*(51-$NR$24+1)*($NS$24-51+1)/$NU$24,$NN$24/$NT$24)),0)</f>
        <v/>
      </c>
      <c r="BD24" s="228">
        <f>IF(AND(52&gt;=$NR$24,52&lt;=$NS$24),IF($NP$24="Single_Point",IF(52=$NR$24,$NN$24,0),IF($NP$24="Bell_Curve",$NN$24*(52-$NR$24+1)*($NS$24-52+1)/$NU$24,$NN$24/$NT$24)),0)</f>
        <v/>
      </c>
      <c r="BE24" s="228">
        <f>IF(AND(53&gt;=$NR$24,53&lt;=$NS$24),IF($NP$24="Single_Point",IF(53=$NR$24,$NN$24,0),IF($NP$24="Bell_Curve",$NN$24*(53-$NR$24+1)*($NS$24-53+1)/$NU$24,$NN$24/$NT$24)),0)</f>
        <v/>
      </c>
      <c r="BF24" s="228">
        <f>IF(AND(54&gt;=$NR$24,54&lt;=$NS$24),IF($NP$24="Single_Point",IF(54=$NR$24,$NN$24,0),IF($NP$24="Bell_Curve",$NN$24*(54-$NR$24+1)*($NS$24-54+1)/$NU$24,$NN$24/$NT$24)),0)</f>
        <v/>
      </c>
      <c r="BG24" s="228">
        <f>IF(AND(55&gt;=$NR$24,55&lt;=$NS$24),IF($NP$24="Single_Point",IF(55=$NR$24,$NN$24,0),IF($NP$24="Bell_Curve",$NN$24*(55-$NR$24+1)*($NS$24-55+1)/$NU$24,$NN$24/$NT$24)),0)</f>
        <v/>
      </c>
      <c r="BH24" s="228">
        <f>IF(AND(56&gt;=$NR$24,56&lt;=$NS$24),IF($NP$24="Single_Point",IF(56=$NR$24,$NN$24,0),IF($NP$24="Bell_Curve",$NN$24*(56-$NR$24+1)*($NS$24-56+1)/$NU$24,$NN$24/$NT$24)),0)</f>
        <v/>
      </c>
      <c r="BI24" s="228">
        <f>IF(AND(57&gt;=$NR$24,57&lt;=$NS$24),IF($NP$24="Single_Point",IF(57=$NR$24,$NN$24,0),IF($NP$24="Bell_Curve",$NN$24*(57-$NR$24+1)*($NS$24-57+1)/$NU$24,$NN$24/$NT$24)),0)</f>
        <v/>
      </c>
      <c r="BJ24" s="228">
        <f>IF(AND(58&gt;=$NR$24,58&lt;=$NS$24),IF($NP$24="Single_Point",IF(58=$NR$24,$NN$24,0),IF($NP$24="Bell_Curve",$NN$24*(58-$NR$24+1)*($NS$24-58+1)/$NU$24,$NN$24/$NT$24)),0)</f>
        <v/>
      </c>
      <c r="BK24" s="228">
        <f>IF(AND(59&gt;=$NR$24,59&lt;=$NS$24),IF($NP$24="Single_Point",IF(59=$NR$24,$NN$24,0),IF($NP$24="Bell_Curve",$NN$24*(59-$NR$24+1)*($NS$24-59+1)/$NU$24,$NN$24/$NT$24)),0)</f>
        <v/>
      </c>
      <c r="BL24" s="228">
        <f>IF(AND(60&gt;=$NR$24,60&lt;=$NS$24),IF($NP$24="Single_Point",IF(60=$NR$24,$NN$24,0),IF($NP$24="Bell_Curve",$NN$24*(60-$NR$24+1)*($NS$24-60+1)/$NU$24,$NN$24/$NT$24)),0)</f>
        <v/>
      </c>
      <c r="BM24" s="228">
        <f>IF(AND(61&gt;=$NR$24,61&lt;=$NS$24),IF($NP$24="Single_Point",IF(61=$NR$24,$NN$24,0),IF($NP$24="Bell_Curve",$NN$24*(61-$NR$24+1)*($NS$24-61+1)/$NU$24,$NN$24/$NT$24)),0)</f>
        <v/>
      </c>
      <c r="BN24" s="228">
        <f>IF(AND(62&gt;=$NR$24,62&lt;=$NS$24),IF($NP$24="Single_Point",IF(62=$NR$24,$NN$24,0),IF($NP$24="Bell_Curve",$NN$24*(62-$NR$24+1)*($NS$24-62+1)/$NU$24,$NN$24/$NT$24)),0)</f>
        <v/>
      </c>
      <c r="BO24" s="228">
        <f>IF(AND(63&gt;=$NR$24,63&lt;=$NS$24),IF($NP$24="Single_Point",IF(63=$NR$24,$NN$24,0),IF($NP$24="Bell_Curve",$NN$24*(63-$NR$24+1)*($NS$24-63+1)/$NU$24,$NN$24/$NT$24)),0)</f>
        <v/>
      </c>
      <c r="BP24" s="228">
        <f>IF(AND(64&gt;=$NR$24,64&lt;=$NS$24),IF($NP$24="Single_Point",IF(64=$NR$24,$NN$24,0),IF($NP$24="Bell_Curve",$NN$24*(64-$NR$24+1)*($NS$24-64+1)/$NU$24,$NN$24/$NT$24)),0)</f>
        <v/>
      </c>
      <c r="BQ24" s="228">
        <f>IF(AND(65&gt;=$NR$24,65&lt;=$NS$24),IF($NP$24="Single_Point",IF(65=$NR$24,$NN$24,0),IF($NP$24="Bell_Curve",$NN$24*(65-$NR$24+1)*($NS$24-65+1)/$NU$24,$NN$24/$NT$24)),0)</f>
        <v/>
      </c>
      <c r="BR24" s="228">
        <f>IF(AND(66&gt;=$NR$24,66&lt;=$NS$24),IF($NP$24="Single_Point",IF(66=$NR$24,$NN$24,0),IF($NP$24="Bell_Curve",$NN$24*(66-$NR$24+1)*($NS$24-66+1)/$NU$24,$NN$24/$NT$24)),0)</f>
        <v/>
      </c>
      <c r="BS24" s="228">
        <f>IF(AND(67&gt;=$NR$24,67&lt;=$NS$24),IF($NP$24="Single_Point",IF(67=$NR$24,$NN$24,0),IF($NP$24="Bell_Curve",$NN$24*(67-$NR$24+1)*($NS$24-67+1)/$NU$24,$NN$24/$NT$24)),0)</f>
        <v/>
      </c>
      <c r="BT24" s="228">
        <f>IF(AND(68&gt;=$NR$24,68&lt;=$NS$24),IF($NP$24="Single_Point",IF(68=$NR$24,$NN$24,0),IF($NP$24="Bell_Curve",$NN$24*(68-$NR$24+1)*($NS$24-68+1)/$NU$24,$NN$24/$NT$24)),0)</f>
        <v/>
      </c>
      <c r="BU24" s="228">
        <f>IF(AND(69&gt;=$NR$24,69&lt;=$NS$24),IF($NP$24="Single_Point",IF(69=$NR$24,$NN$24,0),IF($NP$24="Bell_Curve",$NN$24*(69-$NR$24+1)*($NS$24-69+1)/$NU$24,$NN$24/$NT$24)),0)</f>
        <v/>
      </c>
      <c r="BV24" s="228">
        <f>IF(AND(70&gt;=$NR$24,70&lt;=$NS$24),IF($NP$24="Single_Point",IF(70=$NR$24,$NN$24,0),IF($NP$24="Bell_Curve",$NN$24*(70-$NR$24+1)*($NS$24-70+1)/$NU$24,$NN$24/$NT$24)),0)</f>
        <v/>
      </c>
      <c r="BW24" s="228">
        <f>IF(AND(71&gt;=$NR$24,71&lt;=$NS$24),IF($NP$24="Single_Point",IF(71=$NR$24,$NN$24,0),IF($NP$24="Bell_Curve",$NN$24*(71-$NR$24+1)*($NS$24-71+1)/$NU$24,$NN$24/$NT$24)),0)</f>
        <v/>
      </c>
      <c r="BX24" s="228">
        <f>IF(AND(72&gt;=$NR$24,72&lt;=$NS$24),IF($NP$24="Single_Point",IF(72=$NR$24,$NN$24,0),IF($NP$24="Bell_Curve",$NN$24*(72-$NR$24+1)*($NS$24-72+1)/$NU$24,$NN$24/$NT$24)),0)</f>
        <v/>
      </c>
      <c r="BY24" s="228">
        <f>IF(AND(73&gt;=$NR$24,73&lt;=$NS$24),IF($NP$24="Single_Point",IF(73=$NR$24,$NN$24,0),IF($NP$24="Bell_Curve",$NN$24*(73-$NR$24+1)*($NS$24-73+1)/$NU$24,$NN$24/$NT$24)),0)</f>
        <v/>
      </c>
      <c r="BZ24" s="228">
        <f>IF(AND(74&gt;=$NR$24,74&lt;=$NS$24),IF($NP$24="Single_Point",IF(74=$NR$24,$NN$24,0),IF($NP$24="Bell_Curve",$NN$24*(74-$NR$24+1)*($NS$24-74+1)/$NU$24,$NN$24/$NT$24)),0)</f>
        <v/>
      </c>
      <c r="CA24" s="228">
        <f>IF(AND(75&gt;=$NR$24,75&lt;=$NS$24),IF($NP$24="Single_Point",IF(75=$NR$24,$NN$24,0),IF($NP$24="Bell_Curve",$NN$24*(75-$NR$24+1)*($NS$24-75+1)/$NU$24,$NN$24/$NT$24)),0)</f>
        <v/>
      </c>
      <c r="CB24" s="228">
        <f>IF(AND(76&gt;=$NR$24,76&lt;=$NS$24),IF($NP$24="Single_Point",IF(76=$NR$24,$NN$24,0),IF($NP$24="Bell_Curve",$NN$24*(76-$NR$24+1)*($NS$24-76+1)/$NU$24,$NN$24/$NT$24)),0)</f>
        <v/>
      </c>
      <c r="CC24" s="228">
        <f>IF(AND(77&gt;=$NR$24,77&lt;=$NS$24),IF($NP$24="Single_Point",IF(77=$NR$24,$NN$24,0),IF($NP$24="Bell_Curve",$NN$24*(77-$NR$24+1)*($NS$24-77+1)/$NU$24,$NN$24/$NT$24)),0)</f>
        <v/>
      </c>
      <c r="CD24" s="228">
        <f>IF(AND(78&gt;=$NR$24,78&lt;=$NS$24),IF($NP$24="Single_Point",IF(78=$NR$24,$NN$24,0),IF($NP$24="Bell_Curve",$NN$24*(78-$NR$24+1)*($NS$24-78+1)/$NU$24,$NN$24/$NT$24)),0)</f>
        <v/>
      </c>
      <c r="CE24" s="228">
        <f>IF(AND(79&gt;=$NR$24,79&lt;=$NS$24),IF($NP$24="Single_Point",IF(79=$NR$24,$NN$24,0),IF($NP$24="Bell_Curve",$NN$24*(79-$NR$24+1)*($NS$24-79+1)/$NU$24,$NN$24/$NT$24)),0)</f>
        <v/>
      </c>
      <c r="CF24" s="228">
        <f>IF(AND(80&gt;=$NR$24,80&lt;=$NS$24),IF($NP$24="Single_Point",IF(80=$NR$24,$NN$24,0),IF($NP$24="Bell_Curve",$NN$24*(80-$NR$24+1)*($NS$24-80+1)/$NU$24,$NN$24/$NT$24)),0)</f>
        <v/>
      </c>
      <c r="CG24" s="228">
        <f>IF(AND(81&gt;=$NR$24,81&lt;=$NS$24),IF($NP$24="Single_Point",IF(81=$NR$24,$NN$24,0),IF($NP$24="Bell_Curve",$NN$24*(81-$NR$24+1)*($NS$24-81+1)/$NU$24,$NN$24/$NT$24)),0)</f>
        <v/>
      </c>
      <c r="CH24" s="228">
        <f>IF(AND(82&gt;=$NR$24,82&lt;=$NS$24),IF($NP$24="Single_Point",IF(82=$NR$24,$NN$24,0),IF($NP$24="Bell_Curve",$NN$24*(82-$NR$24+1)*($NS$24-82+1)/$NU$24,$NN$24/$NT$24)),0)</f>
        <v/>
      </c>
      <c r="CI24" s="228">
        <f>IF(AND(83&gt;=$NR$24,83&lt;=$NS$24),IF($NP$24="Single_Point",IF(83=$NR$24,$NN$24,0),IF($NP$24="Bell_Curve",$NN$24*(83-$NR$24+1)*($NS$24-83+1)/$NU$24,$NN$24/$NT$24)),0)</f>
        <v/>
      </c>
      <c r="CJ24" s="228">
        <f>IF(AND(84&gt;=$NR$24,84&lt;=$NS$24),IF($NP$24="Single_Point",IF(84=$NR$24,$NN$24,0),IF($NP$24="Bell_Curve",$NN$24*(84-$NR$24+1)*($NS$24-84+1)/$NU$24,$NN$24/$NT$24)),0)</f>
        <v/>
      </c>
      <c r="CK24" s="228">
        <f>IF(AND(85&gt;=$NR$24,85&lt;=$NS$24),IF($NP$24="Single_Point",IF(85=$NR$24,$NN$24,0),IF($NP$24="Bell_Curve",$NN$24*(85-$NR$24+1)*($NS$24-85+1)/$NU$24,$NN$24/$NT$24)),0)</f>
        <v/>
      </c>
      <c r="CL24" s="228">
        <f>IF(AND(86&gt;=$NR$24,86&lt;=$NS$24),IF($NP$24="Single_Point",IF(86=$NR$24,$NN$24,0),IF($NP$24="Bell_Curve",$NN$24*(86-$NR$24+1)*($NS$24-86+1)/$NU$24,$NN$24/$NT$24)),0)</f>
        <v/>
      </c>
      <c r="CM24" s="228">
        <f>IF(AND(87&gt;=$NR$24,87&lt;=$NS$24),IF($NP$24="Single_Point",IF(87=$NR$24,$NN$24,0),IF($NP$24="Bell_Curve",$NN$24*(87-$NR$24+1)*($NS$24-87+1)/$NU$24,$NN$24/$NT$24)),0)</f>
        <v/>
      </c>
      <c r="CN24" s="228">
        <f>IF(AND(88&gt;=$NR$24,88&lt;=$NS$24),IF($NP$24="Single_Point",IF(88=$NR$24,$NN$24,0),IF($NP$24="Bell_Curve",$NN$24*(88-$NR$24+1)*($NS$24-88+1)/$NU$24,$NN$24/$NT$24)),0)</f>
        <v/>
      </c>
      <c r="CO24" s="228">
        <f>IF(AND(89&gt;=$NR$24,89&lt;=$NS$24),IF($NP$24="Single_Point",IF(89=$NR$24,$NN$24,0),IF($NP$24="Bell_Curve",$NN$24*(89-$NR$24+1)*($NS$24-89+1)/$NU$24,$NN$24/$NT$24)),0)</f>
        <v/>
      </c>
      <c r="CP24" s="228">
        <f>IF(AND(90&gt;=$NR$24,90&lt;=$NS$24),IF($NP$24="Single_Point",IF(90=$NR$24,$NN$24,0),IF($NP$24="Bell_Curve",$NN$24*(90-$NR$24+1)*($NS$24-90+1)/$NU$24,$NN$24/$NT$24)),0)</f>
        <v/>
      </c>
      <c r="CQ24" s="228">
        <f>IF(AND(91&gt;=$NR$24,91&lt;=$NS$24),IF($NP$24="Single_Point",IF(91=$NR$24,$NN$24,0),IF($NP$24="Bell_Curve",$NN$24*(91-$NR$24+1)*($NS$24-91+1)/$NU$24,$NN$24/$NT$24)),0)</f>
        <v/>
      </c>
      <c r="CR24" s="228">
        <f>IF(AND(92&gt;=$NR$24,92&lt;=$NS$24),IF($NP$24="Single_Point",IF(92=$NR$24,$NN$24,0),IF($NP$24="Bell_Curve",$NN$24*(92-$NR$24+1)*($NS$24-92+1)/$NU$24,$NN$24/$NT$24)),0)</f>
        <v/>
      </c>
      <c r="CS24" s="228">
        <f>IF(AND(93&gt;=$NR$24,93&lt;=$NS$24),IF($NP$24="Single_Point",IF(93=$NR$24,$NN$24,0),IF($NP$24="Bell_Curve",$NN$24*(93-$NR$24+1)*($NS$24-93+1)/$NU$24,$NN$24/$NT$24)),0)</f>
        <v/>
      </c>
      <c r="CT24" s="228">
        <f>IF(AND(94&gt;=$NR$24,94&lt;=$NS$24),IF($NP$24="Single_Point",IF(94=$NR$24,$NN$24,0),IF($NP$24="Bell_Curve",$NN$24*(94-$NR$24+1)*($NS$24-94+1)/$NU$24,$NN$24/$NT$24)),0)</f>
        <v/>
      </c>
      <c r="CU24" s="228">
        <f>IF(AND(95&gt;=$NR$24,95&lt;=$NS$24),IF($NP$24="Single_Point",IF(95=$NR$24,$NN$24,0),IF($NP$24="Bell_Curve",$NN$24*(95-$NR$24+1)*($NS$24-95+1)/$NU$24,$NN$24/$NT$24)),0)</f>
        <v/>
      </c>
      <c r="CV24" s="228">
        <f>IF(AND(96&gt;=$NR$24,96&lt;=$NS$24),IF($NP$24="Single_Point",IF(96=$NR$24,$NN$24,0),IF($NP$24="Bell_Curve",$NN$24*(96-$NR$24+1)*($NS$24-96+1)/$NU$24,$NN$24/$NT$24)),0)</f>
        <v/>
      </c>
      <c r="CW24" s="228">
        <f>IF(AND(97&gt;=$NR$24,97&lt;=$NS$24),IF($NP$24="Single_Point",IF(97=$NR$24,$NN$24,0),IF($NP$24="Bell_Curve",$NN$24*(97-$NR$24+1)*($NS$24-97+1)/$NU$24,$NN$24/$NT$24)),0)</f>
        <v/>
      </c>
      <c r="CX24" s="228">
        <f>IF(AND(98&gt;=$NR$24,98&lt;=$NS$24),IF($NP$24="Single_Point",IF(98=$NR$24,$NN$24,0),IF($NP$24="Bell_Curve",$NN$24*(98-$NR$24+1)*($NS$24-98+1)/$NU$24,$NN$24/$NT$24)),0)</f>
        <v/>
      </c>
      <c r="CY24" s="228">
        <f>IF(AND(99&gt;=$NR$24,99&lt;=$NS$24),IF($NP$24="Single_Point",IF(99=$NR$24,$NN$24,0),IF($NP$24="Bell_Curve",$NN$24*(99-$NR$24+1)*($NS$24-99+1)/$NU$24,$NN$24/$NT$24)),0)</f>
        <v/>
      </c>
      <c r="CZ24" s="228">
        <f>IF(AND(100&gt;=$NR$24,100&lt;=$NS$24),IF($NP$24="Single_Point",IF(100=$NR$24,$NN$24,0),IF($NP$24="Bell_Curve",$NN$24*(100-$NR$24+1)*($NS$24-100+1)/$NU$24,$NN$24/$NT$24)),0)</f>
        <v/>
      </c>
      <c r="DA24" s="228">
        <f>IF(AND(101&gt;=$NR$24,101&lt;=$NS$24),IF($NP$24="Single_Point",IF(101=$NR$24,$NN$24,0),IF($NP$24="Bell_Curve",$NN$24*(101-$NR$24+1)*($NS$24-101+1)/$NU$24,$NN$24/$NT$24)),0)</f>
        <v/>
      </c>
      <c r="DB24" s="228">
        <f>IF(AND(102&gt;=$NR$24,102&lt;=$NS$24),IF($NP$24="Single_Point",IF(102=$NR$24,$NN$24,0),IF($NP$24="Bell_Curve",$NN$24*(102-$NR$24+1)*($NS$24-102+1)/$NU$24,$NN$24/$NT$24)),0)</f>
        <v/>
      </c>
      <c r="DC24" s="228">
        <f>IF(AND(103&gt;=$NR$24,103&lt;=$NS$24),IF($NP$24="Single_Point",IF(103=$NR$24,$NN$24,0),IF($NP$24="Bell_Curve",$NN$24*(103-$NR$24+1)*($NS$24-103+1)/$NU$24,$NN$24/$NT$24)),0)</f>
        <v/>
      </c>
      <c r="DD24" s="228">
        <f>IF(AND(104&gt;=$NR$24,104&lt;=$NS$24),IF($NP$24="Single_Point",IF(104=$NR$24,$NN$24,0),IF($NP$24="Bell_Curve",$NN$24*(104-$NR$24+1)*($NS$24-104+1)/$NU$24,$NN$24/$NT$24)),0)</f>
        <v/>
      </c>
      <c r="DE24" s="228">
        <f>IF(AND(105&gt;=$NR$24,105&lt;=$NS$24),IF($NP$24="Single_Point",IF(105=$NR$24,$NN$24,0),IF($NP$24="Bell_Curve",$NN$24*(105-$NR$24+1)*($NS$24-105+1)/$NU$24,$NN$24/$NT$24)),0)</f>
        <v/>
      </c>
      <c r="DF24" s="228">
        <f>IF(AND(106&gt;=$NR$24,106&lt;=$NS$24),IF($NP$24="Single_Point",IF(106=$NR$24,$NN$24,0),IF($NP$24="Bell_Curve",$NN$24*(106-$NR$24+1)*($NS$24-106+1)/$NU$24,$NN$24/$NT$24)),0)</f>
        <v/>
      </c>
      <c r="DG24" s="228">
        <f>IF(AND(107&gt;=$NR$24,107&lt;=$NS$24),IF($NP$24="Single_Point",IF(107=$NR$24,$NN$24,0),IF($NP$24="Bell_Curve",$NN$24*(107-$NR$24+1)*($NS$24-107+1)/$NU$24,$NN$24/$NT$24)),0)</f>
        <v/>
      </c>
      <c r="DH24" s="228">
        <f>IF(AND(108&gt;=$NR$24,108&lt;=$NS$24),IF($NP$24="Single_Point",IF(108=$NR$24,$NN$24,0),IF($NP$24="Bell_Curve",$NN$24*(108-$NR$24+1)*($NS$24-108+1)/$NU$24,$NN$24/$NT$24)),0)</f>
        <v/>
      </c>
      <c r="DI24" s="228">
        <f>IF(AND(109&gt;=$NR$24,109&lt;=$NS$24),IF($NP$24="Single_Point",IF(109=$NR$24,$NN$24,0),IF($NP$24="Bell_Curve",$NN$24*(109-$NR$24+1)*($NS$24-109+1)/$NU$24,$NN$24/$NT$24)),0)</f>
        <v/>
      </c>
      <c r="DJ24" s="228">
        <f>IF(AND(110&gt;=$NR$24,110&lt;=$NS$24),IF($NP$24="Single_Point",IF(110=$NR$24,$NN$24,0),IF($NP$24="Bell_Curve",$NN$24*(110-$NR$24+1)*($NS$24-110+1)/$NU$24,$NN$24/$NT$24)),0)</f>
        <v/>
      </c>
      <c r="DK24" s="228">
        <f>IF(AND(111&gt;=$NR$24,111&lt;=$NS$24),IF($NP$24="Single_Point",IF(111=$NR$24,$NN$24,0),IF($NP$24="Bell_Curve",$NN$24*(111-$NR$24+1)*($NS$24-111+1)/$NU$24,$NN$24/$NT$24)),0)</f>
        <v/>
      </c>
      <c r="DL24" s="228">
        <f>IF(AND(112&gt;=$NR$24,112&lt;=$NS$24),IF($NP$24="Single_Point",IF(112=$NR$24,$NN$24,0),IF($NP$24="Bell_Curve",$NN$24*(112-$NR$24+1)*($NS$24-112+1)/$NU$24,$NN$24/$NT$24)),0)</f>
        <v/>
      </c>
      <c r="DM24" s="228">
        <f>IF(AND(113&gt;=$NR$24,113&lt;=$NS$24),IF($NP$24="Single_Point",IF(113=$NR$24,$NN$24,0),IF($NP$24="Bell_Curve",$NN$24*(113-$NR$24+1)*($NS$24-113+1)/$NU$24,$NN$24/$NT$24)),0)</f>
        <v/>
      </c>
      <c r="DN24" s="228">
        <f>IF(AND(114&gt;=$NR$24,114&lt;=$NS$24),IF($NP$24="Single_Point",IF(114=$NR$24,$NN$24,0),IF($NP$24="Bell_Curve",$NN$24*(114-$NR$24+1)*($NS$24-114+1)/$NU$24,$NN$24/$NT$24)),0)</f>
        <v/>
      </c>
      <c r="DO24" s="228">
        <f>IF(AND(115&gt;=$NR$24,115&lt;=$NS$24),IF($NP$24="Single_Point",IF(115=$NR$24,$NN$24,0),IF($NP$24="Bell_Curve",$NN$24*(115-$NR$24+1)*($NS$24-115+1)/$NU$24,$NN$24/$NT$24)),0)</f>
        <v/>
      </c>
      <c r="DP24" s="228">
        <f>IF(AND(116&gt;=$NR$24,116&lt;=$NS$24),IF($NP$24="Single_Point",IF(116=$NR$24,$NN$24,0),IF($NP$24="Bell_Curve",$NN$24*(116-$NR$24+1)*($NS$24-116+1)/$NU$24,$NN$24/$NT$24)),0)</f>
        <v/>
      </c>
      <c r="DQ24" s="228">
        <f>IF(AND(117&gt;=$NR$24,117&lt;=$NS$24),IF($NP$24="Single_Point",IF(117=$NR$24,$NN$24,0),IF($NP$24="Bell_Curve",$NN$24*(117-$NR$24+1)*($NS$24-117+1)/$NU$24,$NN$24/$NT$24)),0)</f>
        <v/>
      </c>
      <c r="DR24" s="228">
        <f>IF(AND(118&gt;=$NR$24,118&lt;=$NS$24),IF($NP$24="Single_Point",IF(118=$NR$24,$NN$24,0),IF($NP$24="Bell_Curve",$NN$24*(118-$NR$24+1)*($NS$24-118+1)/$NU$24,$NN$24/$NT$24)),0)</f>
        <v/>
      </c>
      <c r="DS24" s="228">
        <f>IF(AND(119&gt;=$NR$24,119&lt;=$NS$24),IF($NP$24="Single_Point",IF(119=$NR$24,$NN$24,0),IF($NP$24="Bell_Curve",$NN$24*(119-$NR$24+1)*($NS$24-119+1)/$NU$24,$NN$24/$NT$24)),0)</f>
        <v/>
      </c>
      <c r="DT24" s="228">
        <f>IF(AND(120&gt;=$NR$24,120&lt;=$NS$24),IF($NP$24="Single_Point",IF(120=$NR$24,$NN$24,0),IF($NP$24="Bell_Curve",$NN$24*(120-$NR$24+1)*($NS$24-120+1)/$NU$24,$NN$24/$NT$24)),0)</f>
        <v/>
      </c>
      <c r="DU24" s="228">
        <f>IF(AND(121&gt;=$NR$24,121&lt;=$NS$24),IF($NP$24="Single_Point",IF(121=$NR$24,$NN$24,0),IF($NP$24="Bell_Curve",$NN$24*(121-$NR$24+1)*($NS$24-121+1)/$NU$24,$NN$24/$NT$24)),0)</f>
        <v/>
      </c>
      <c r="DV24" s="228">
        <f>IF(AND(122&gt;=$NR$24,122&lt;=$NS$24),IF($NP$24="Single_Point",IF(122=$NR$24,$NN$24,0),IF($NP$24="Bell_Curve",$NN$24*(122-$NR$24+1)*($NS$24-122+1)/$NU$24,$NN$24/$NT$24)),0)</f>
        <v/>
      </c>
      <c r="DW24" s="228">
        <f>IF(AND(123&gt;=$NR$24,123&lt;=$NS$24),IF($NP$24="Single_Point",IF(123=$NR$24,$NN$24,0),IF($NP$24="Bell_Curve",$NN$24*(123-$NR$24+1)*($NS$24-123+1)/$NU$24,$NN$24/$NT$24)),0)</f>
        <v/>
      </c>
      <c r="DX24" s="228">
        <f>IF(AND(124&gt;=$NR$24,124&lt;=$NS$24),IF($NP$24="Single_Point",IF(124=$NR$24,$NN$24,0),IF($NP$24="Bell_Curve",$NN$24*(124-$NR$24+1)*($NS$24-124+1)/$NU$24,$NN$24/$NT$24)),0)</f>
        <v/>
      </c>
      <c r="DY24" s="228">
        <f>IF(AND(125&gt;=$NR$24,125&lt;=$NS$24),IF($NP$24="Single_Point",IF(125=$NR$24,$NN$24,0),IF($NP$24="Bell_Curve",$NN$24*(125-$NR$24+1)*($NS$24-125+1)/$NU$24,$NN$24/$NT$24)),0)</f>
        <v/>
      </c>
      <c r="DZ24" s="228">
        <f>IF(AND(126&gt;=$NR$24,126&lt;=$NS$24),IF($NP$24="Single_Point",IF(126=$NR$24,$NN$24,0),IF($NP$24="Bell_Curve",$NN$24*(126-$NR$24+1)*($NS$24-126+1)/$NU$24,$NN$24/$NT$24)),0)</f>
        <v/>
      </c>
      <c r="EA24" s="228">
        <f>IF(AND(127&gt;=$NR$24,127&lt;=$NS$24),IF($NP$24="Single_Point",IF(127=$NR$24,$NN$24,0),IF($NP$24="Bell_Curve",$NN$24*(127-$NR$24+1)*($NS$24-127+1)/$NU$24,$NN$24/$NT$24)),0)</f>
        <v/>
      </c>
      <c r="EB24" s="228">
        <f>IF(AND(128&gt;=$NR$24,128&lt;=$NS$24),IF($NP$24="Single_Point",IF(128=$NR$24,$NN$24,0),IF($NP$24="Bell_Curve",$NN$24*(128-$NR$24+1)*($NS$24-128+1)/$NU$24,$NN$24/$NT$24)),0)</f>
        <v/>
      </c>
      <c r="EC24" s="228">
        <f>IF(AND(129&gt;=$NR$24,129&lt;=$NS$24),IF($NP$24="Single_Point",IF(129=$NR$24,$NN$24,0),IF($NP$24="Bell_Curve",$NN$24*(129-$NR$24+1)*($NS$24-129+1)/$NU$24,$NN$24/$NT$24)),0)</f>
        <v/>
      </c>
      <c r="ED24" s="228">
        <f>IF(AND(130&gt;=$NR$24,130&lt;=$NS$24),IF($NP$24="Single_Point",IF(130=$NR$24,$NN$24,0),IF($NP$24="Bell_Curve",$NN$24*(130-$NR$24+1)*($NS$24-130+1)/$NU$24,$NN$24/$NT$24)),0)</f>
        <v/>
      </c>
      <c r="EE24" s="228">
        <f>IF(AND(131&gt;=$NR$24,131&lt;=$NS$24),IF($NP$24="Single_Point",IF(131=$NR$24,$NN$24,0),IF($NP$24="Bell_Curve",$NN$24*(131-$NR$24+1)*($NS$24-131+1)/$NU$24,$NN$24/$NT$24)),0)</f>
        <v/>
      </c>
      <c r="EF24" s="228">
        <f>IF(AND(132&gt;=$NR$24,132&lt;=$NS$24),IF($NP$24="Single_Point",IF(132=$NR$24,$NN$24,0),IF($NP$24="Bell_Curve",$NN$24*(132-$NR$24+1)*($NS$24-132+1)/$NU$24,$NN$24/$NT$24)),0)</f>
        <v/>
      </c>
      <c r="EG24" s="228">
        <f>IF(AND(133&gt;=$NR$24,133&lt;=$NS$24),IF($NP$24="Single_Point",IF(133=$NR$24,$NN$24,0),IF($NP$24="Bell_Curve",$NN$24*(133-$NR$24+1)*($NS$24-133+1)/$NU$24,$NN$24/$NT$24)),0)</f>
        <v/>
      </c>
      <c r="EH24" s="228">
        <f>IF(AND(134&gt;=$NR$24,134&lt;=$NS$24),IF($NP$24="Single_Point",IF(134=$NR$24,$NN$24,0),IF($NP$24="Bell_Curve",$NN$24*(134-$NR$24+1)*($NS$24-134+1)/$NU$24,$NN$24/$NT$24)),0)</f>
        <v/>
      </c>
      <c r="EI24" s="228">
        <f>IF(AND(135&gt;=$NR$24,135&lt;=$NS$24),IF($NP$24="Single_Point",IF(135=$NR$24,$NN$24,0),IF($NP$24="Bell_Curve",$NN$24*(135-$NR$24+1)*($NS$24-135+1)/$NU$24,$NN$24/$NT$24)),0)</f>
        <v/>
      </c>
      <c r="EJ24" s="228">
        <f>IF(AND(136&gt;=$NR$24,136&lt;=$NS$24),IF($NP$24="Single_Point",IF(136=$NR$24,$NN$24,0),IF($NP$24="Bell_Curve",$NN$24*(136-$NR$24+1)*($NS$24-136+1)/$NU$24,$NN$24/$NT$24)),0)</f>
        <v/>
      </c>
      <c r="EK24" s="228">
        <f>IF(AND(137&gt;=$NR$24,137&lt;=$NS$24),IF($NP$24="Single_Point",IF(137=$NR$24,$NN$24,0),IF($NP$24="Bell_Curve",$NN$24*(137-$NR$24+1)*($NS$24-137+1)/$NU$24,$NN$24/$NT$24)),0)</f>
        <v/>
      </c>
      <c r="EL24" s="228">
        <f>IF(AND(138&gt;=$NR$24,138&lt;=$NS$24),IF($NP$24="Single_Point",IF(138=$NR$24,$NN$24,0),IF($NP$24="Bell_Curve",$NN$24*(138-$NR$24+1)*($NS$24-138+1)/$NU$24,$NN$24/$NT$24)),0)</f>
        <v/>
      </c>
      <c r="EM24" s="228">
        <f>IF(AND(139&gt;=$NR$24,139&lt;=$NS$24),IF($NP$24="Single_Point",IF(139=$NR$24,$NN$24,0),IF($NP$24="Bell_Curve",$NN$24*(139-$NR$24+1)*($NS$24-139+1)/$NU$24,$NN$24/$NT$24)),0)</f>
        <v/>
      </c>
      <c r="EN24" s="228">
        <f>IF(AND(140&gt;=$NR$24,140&lt;=$NS$24),IF($NP$24="Single_Point",IF(140=$NR$24,$NN$24,0),IF($NP$24="Bell_Curve",$NN$24*(140-$NR$24+1)*($NS$24-140+1)/$NU$24,$NN$24/$NT$24)),0)</f>
        <v/>
      </c>
      <c r="EO24" s="228">
        <f>IF(AND(141&gt;=$NR$24,141&lt;=$NS$24),IF($NP$24="Single_Point",IF(141=$NR$24,$NN$24,0),IF($NP$24="Bell_Curve",$NN$24*(141-$NR$24+1)*($NS$24-141+1)/$NU$24,$NN$24/$NT$24)),0)</f>
        <v/>
      </c>
      <c r="EP24" s="228">
        <f>IF(AND(142&gt;=$NR$24,142&lt;=$NS$24),IF($NP$24="Single_Point",IF(142=$NR$24,$NN$24,0),IF($NP$24="Bell_Curve",$NN$24*(142-$NR$24+1)*($NS$24-142+1)/$NU$24,$NN$24/$NT$24)),0)</f>
        <v/>
      </c>
      <c r="EQ24" s="228">
        <f>IF(AND(143&gt;=$NR$24,143&lt;=$NS$24),IF($NP$24="Single_Point",IF(143=$NR$24,$NN$24,0),IF($NP$24="Bell_Curve",$NN$24*(143-$NR$24+1)*($NS$24-143+1)/$NU$24,$NN$24/$NT$24)),0)</f>
        <v/>
      </c>
      <c r="ER24" s="228">
        <f>IF(AND(144&gt;=$NR$24,144&lt;=$NS$24),IF($NP$24="Single_Point",IF(144=$NR$24,$NN$24,0),IF($NP$24="Bell_Curve",$NN$24*(144-$NR$24+1)*($NS$24-144+1)/$NU$24,$NN$24/$NT$24)),0)</f>
        <v/>
      </c>
      <c r="ES24" s="228">
        <f>IF(AND(145&gt;=$NR$24,145&lt;=$NS$24),IF($NP$24="Single_Point",IF(145=$NR$24,$NN$24,0),IF($NP$24="Bell_Curve",$NN$24*(145-$NR$24+1)*($NS$24-145+1)/$NU$24,$NN$24/$NT$24)),0)</f>
        <v/>
      </c>
      <c r="ET24" s="228">
        <f>IF(AND(146&gt;=$NR$24,146&lt;=$NS$24),IF($NP$24="Single_Point",IF(146=$NR$24,$NN$24,0),IF($NP$24="Bell_Curve",$NN$24*(146-$NR$24+1)*($NS$24-146+1)/$NU$24,$NN$24/$NT$24)),0)</f>
        <v/>
      </c>
      <c r="EU24" s="228">
        <f>IF(AND(147&gt;=$NR$24,147&lt;=$NS$24),IF($NP$24="Single_Point",IF(147=$NR$24,$NN$24,0),IF($NP$24="Bell_Curve",$NN$24*(147-$NR$24+1)*($NS$24-147+1)/$NU$24,$NN$24/$NT$24)),0)</f>
        <v/>
      </c>
      <c r="EV24" s="228">
        <f>IF(AND(148&gt;=$NR$24,148&lt;=$NS$24),IF($NP$24="Single_Point",IF(148=$NR$24,$NN$24,0),IF($NP$24="Bell_Curve",$NN$24*(148-$NR$24+1)*($NS$24-148+1)/$NU$24,$NN$24/$NT$24)),0)</f>
        <v/>
      </c>
      <c r="EW24" s="228">
        <f>IF(AND(149&gt;=$NR$24,149&lt;=$NS$24),IF($NP$24="Single_Point",IF(149=$NR$24,$NN$24,0),IF($NP$24="Bell_Curve",$NN$24*(149-$NR$24+1)*($NS$24-149+1)/$NU$24,$NN$24/$NT$24)),0)</f>
        <v/>
      </c>
      <c r="EX24" s="228">
        <f>IF(AND(150&gt;=$NR$24,150&lt;=$NS$24),IF($NP$24="Single_Point",IF(150=$NR$24,$NN$24,0),IF($NP$24="Bell_Curve",$NN$24*(150-$NR$24+1)*($NS$24-150+1)/$NU$24,$NN$24/$NT$24)),0)</f>
        <v/>
      </c>
      <c r="EY24" s="228">
        <f>IF(AND(151&gt;=$NR$24,151&lt;=$NS$24),IF($NP$24="Single_Point",IF(151=$NR$24,$NN$24,0),IF($NP$24="Bell_Curve",$NN$24*(151-$NR$24+1)*($NS$24-151+1)/$NU$24,$NN$24/$NT$24)),0)</f>
        <v/>
      </c>
      <c r="EZ24" s="228">
        <f>IF(AND(152&gt;=$NR$24,152&lt;=$NS$24),IF($NP$24="Single_Point",IF(152=$NR$24,$NN$24,0),IF($NP$24="Bell_Curve",$NN$24*(152-$NR$24+1)*($NS$24-152+1)/$NU$24,$NN$24/$NT$24)),0)</f>
        <v/>
      </c>
      <c r="FA24" s="228">
        <f>IF(AND(153&gt;=$NR$24,153&lt;=$NS$24),IF($NP$24="Single_Point",IF(153=$NR$24,$NN$24,0),IF($NP$24="Bell_Curve",$NN$24*(153-$NR$24+1)*($NS$24-153+1)/$NU$24,$NN$24/$NT$24)),0)</f>
        <v/>
      </c>
      <c r="FB24" s="228">
        <f>IF(AND(154&gt;=$NR$24,154&lt;=$NS$24),IF($NP$24="Single_Point",IF(154=$NR$24,$NN$24,0),IF($NP$24="Bell_Curve",$NN$24*(154-$NR$24+1)*($NS$24-154+1)/$NU$24,$NN$24/$NT$24)),0)</f>
        <v/>
      </c>
      <c r="FC24" s="228">
        <f>IF(AND(155&gt;=$NR$24,155&lt;=$NS$24),IF($NP$24="Single_Point",IF(155=$NR$24,$NN$24,0),IF($NP$24="Bell_Curve",$NN$24*(155-$NR$24+1)*($NS$24-155+1)/$NU$24,$NN$24/$NT$24)),0)</f>
        <v/>
      </c>
      <c r="FD24" s="228">
        <f>IF(AND(156&gt;=$NR$24,156&lt;=$NS$24),IF($NP$24="Single_Point",IF(156=$NR$24,$NN$24,0),IF($NP$24="Bell_Curve",$NN$24*(156-$NR$24+1)*($NS$24-156+1)/$NU$24,$NN$24/$NT$24)),0)</f>
        <v/>
      </c>
      <c r="FE24" s="228">
        <f>IF(AND(157&gt;=$NR$24,157&lt;=$NS$24),IF($NP$24="Single_Point",IF(157=$NR$24,$NN$24,0),IF($NP$24="Bell_Curve",$NN$24*(157-$NR$24+1)*($NS$24-157+1)/$NU$24,$NN$24/$NT$24)),0)</f>
        <v/>
      </c>
      <c r="FF24" s="228">
        <f>IF(AND(158&gt;=$NR$24,158&lt;=$NS$24),IF($NP$24="Single_Point",IF(158=$NR$24,$NN$24,0),IF($NP$24="Bell_Curve",$NN$24*(158-$NR$24+1)*($NS$24-158+1)/$NU$24,$NN$24/$NT$24)),0)</f>
        <v/>
      </c>
      <c r="FG24" s="228">
        <f>IF(AND(159&gt;=$NR$24,159&lt;=$NS$24),IF($NP$24="Single_Point",IF(159=$NR$24,$NN$24,0),IF($NP$24="Bell_Curve",$NN$24*(159-$NR$24+1)*($NS$24-159+1)/$NU$24,$NN$24/$NT$24)),0)</f>
        <v/>
      </c>
      <c r="FH24" s="228">
        <f>IF(AND(160&gt;=$NR$24,160&lt;=$NS$24),IF($NP$24="Single_Point",IF(160=$NR$24,$NN$24,0),IF($NP$24="Bell_Curve",$NN$24*(160-$NR$24+1)*($NS$24-160+1)/$NU$24,$NN$24/$NT$24)),0)</f>
        <v/>
      </c>
      <c r="FI24" s="228">
        <f>IF(AND(161&gt;=$NR$24,161&lt;=$NS$24),IF($NP$24="Single_Point",IF(161=$NR$24,$NN$24,0),IF($NP$24="Bell_Curve",$NN$24*(161-$NR$24+1)*($NS$24-161+1)/$NU$24,$NN$24/$NT$24)),0)</f>
        <v/>
      </c>
      <c r="FJ24" s="228">
        <f>IF(AND(162&gt;=$NR$24,162&lt;=$NS$24),IF($NP$24="Single_Point",IF(162=$NR$24,$NN$24,0),IF($NP$24="Bell_Curve",$NN$24*(162-$NR$24+1)*($NS$24-162+1)/$NU$24,$NN$24/$NT$24)),0)</f>
        <v/>
      </c>
      <c r="FK24" s="228">
        <f>IF(AND(163&gt;=$NR$24,163&lt;=$NS$24),IF($NP$24="Single_Point",IF(163=$NR$24,$NN$24,0),IF($NP$24="Bell_Curve",$NN$24*(163-$NR$24+1)*($NS$24-163+1)/$NU$24,$NN$24/$NT$24)),0)</f>
        <v/>
      </c>
      <c r="FL24" s="228">
        <f>IF(AND(164&gt;=$NR$24,164&lt;=$NS$24),IF($NP$24="Single_Point",IF(164=$NR$24,$NN$24,0),IF($NP$24="Bell_Curve",$NN$24*(164-$NR$24+1)*($NS$24-164+1)/$NU$24,$NN$24/$NT$24)),0)</f>
        <v/>
      </c>
      <c r="FM24" s="228">
        <f>IF(AND(165&gt;=$NR$24,165&lt;=$NS$24),IF($NP$24="Single_Point",IF(165=$NR$24,$NN$24,0),IF($NP$24="Bell_Curve",$NN$24*(165-$NR$24+1)*($NS$24-165+1)/$NU$24,$NN$24/$NT$24)),0)</f>
        <v/>
      </c>
      <c r="FN24" s="228">
        <f>IF(AND(166&gt;=$NR$24,166&lt;=$NS$24),IF($NP$24="Single_Point",IF(166=$NR$24,$NN$24,0),IF($NP$24="Bell_Curve",$NN$24*(166-$NR$24+1)*($NS$24-166+1)/$NU$24,$NN$24/$NT$24)),0)</f>
        <v/>
      </c>
      <c r="FO24" s="228">
        <f>IF(AND(167&gt;=$NR$24,167&lt;=$NS$24),IF($NP$24="Single_Point",IF(167=$NR$24,$NN$24,0),IF($NP$24="Bell_Curve",$NN$24*(167-$NR$24+1)*($NS$24-167+1)/$NU$24,$NN$24/$NT$24)),0)</f>
        <v/>
      </c>
      <c r="FP24" s="228">
        <f>IF(AND(168&gt;=$NR$24,168&lt;=$NS$24),IF($NP$24="Single_Point",IF(168=$NR$24,$NN$24,0),IF($NP$24="Bell_Curve",$NN$24*(168-$NR$24+1)*($NS$24-168+1)/$NU$24,$NN$24/$NT$24)),0)</f>
        <v/>
      </c>
      <c r="FQ24" s="228">
        <f>IF(AND(169&gt;=$NR$24,169&lt;=$NS$24),IF($NP$24="Single_Point",IF(169=$NR$24,$NN$24,0),IF($NP$24="Bell_Curve",$NN$24*(169-$NR$24+1)*($NS$24-169+1)/$NU$24,$NN$24/$NT$24)),0)</f>
        <v/>
      </c>
      <c r="FR24" s="228">
        <f>IF(AND(170&gt;=$NR$24,170&lt;=$NS$24),IF($NP$24="Single_Point",IF(170=$NR$24,$NN$24,0),IF($NP$24="Bell_Curve",$NN$24*(170-$NR$24+1)*($NS$24-170+1)/$NU$24,$NN$24/$NT$24)),0)</f>
        <v/>
      </c>
      <c r="FS24" s="228">
        <f>IF(AND(171&gt;=$NR$24,171&lt;=$NS$24),IF($NP$24="Single_Point",IF(171=$NR$24,$NN$24,0),IF($NP$24="Bell_Curve",$NN$24*(171-$NR$24+1)*($NS$24-171+1)/$NU$24,$NN$24/$NT$24)),0)</f>
        <v/>
      </c>
      <c r="FT24" s="228">
        <f>IF(AND(172&gt;=$NR$24,172&lt;=$NS$24),IF($NP$24="Single_Point",IF(172=$NR$24,$NN$24,0),IF($NP$24="Bell_Curve",$NN$24*(172-$NR$24+1)*($NS$24-172+1)/$NU$24,$NN$24/$NT$24)),0)</f>
        <v/>
      </c>
      <c r="FU24" s="228">
        <f>IF(AND(173&gt;=$NR$24,173&lt;=$NS$24),IF($NP$24="Single_Point",IF(173=$NR$24,$NN$24,0),IF($NP$24="Bell_Curve",$NN$24*(173-$NR$24+1)*($NS$24-173+1)/$NU$24,$NN$24/$NT$24)),0)</f>
        <v/>
      </c>
      <c r="FV24" s="228">
        <f>IF(AND(174&gt;=$NR$24,174&lt;=$NS$24),IF($NP$24="Single_Point",IF(174=$NR$24,$NN$24,0),IF($NP$24="Bell_Curve",$NN$24*(174-$NR$24+1)*($NS$24-174+1)/$NU$24,$NN$24/$NT$24)),0)</f>
        <v/>
      </c>
      <c r="FW24" s="228">
        <f>IF(AND(175&gt;=$NR$24,175&lt;=$NS$24),IF($NP$24="Single_Point",IF(175=$NR$24,$NN$24,0),IF($NP$24="Bell_Curve",$NN$24*(175-$NR$24+1)*($NS$24-175+1)/$NU$24,$NN$24/$NT$24)),0)</f>
        <v/>
      </c>
      <c r="FX24" s="228">
        <f>IF(AND(176&gt;=$NR$24,176&lt;=$NS$24),IF($NP$24="Single_Point",IF(176=$NR$24,$NN$24,0),IF($NP$24="Bell_Curve",$NN$24*(176-$NR$24+1)*($NS$24-176+1)/$NU$24,$NN$24/$NT$24)),0)</f>
        <v/>
      </c>
      <c r="FY24" s="228">
        <f>IF(AND(177&gt;=$NR$24,177&lt;=$NS$24),IF($NP$24="Single_Point",IF(177=$NR$24,$NN$24,0),IF($NP$24="Bell_Curve",$NN$24*(177-$NR$24+1)*($NS$24-177+1)/$NU$24,$NN$24/$NT$24)),0)</f>
        <v/>
      </c>
      <c r="FZ24" s="228">
        <f>IF(AND(178&gt;=$NR$24,178&lt;=$NS$24),IF($NP$24="Single_Point",IF(178=$NR$24,$NN$24,0),IF($NP$24="Bell_Curve",$NN$24*(178-$NR$24+1)*($NS$24-178+1)/$NU$24,$NN$24/$NT$24)),0)</f>
        <v/>
      </c>
      <c r="GA24" s="228">
        <f>IF(AND(179&gt;=$NR$24,179&lt;=$NS$24),IF($NP$24="Single_Point",IF(179=$NR$24,$NN$24,0),IF($NP$24="Bell_Curve",$NN$24*(179-$NR$24+1)*($NS$24-179+1)/$NU$24,$NN$24/$NT$24)),0)</f>
        <v/>
      </c>
      <c r="GB24" s="228">
        <f>IF(AND(180&gt;=$NR$24,180&lt;=$NS$24),IF($NP$24="Single_Point",IF(180=$NR$24,$NN$24,0),IF($NP$24="Bell_Curve",$NN$24*(180-$NR$24+1)*($NS$24-180+1)/$NU$24,$NN$24/$NT$24)),0)</f>
        <v/>
      </c>
      <c r="GC24" s="228">
        <f>IF(AND(181&gt;=$NR$24,181&lt;=$NS$24),IF($NP$24="Single_Point",IF(181=$NR$24,$NN$24,0),IF($NP$24="Bell_Curve",$NN$24*(181-$NR$24+1)*($NS$24-181+1)/$NU$24,$NN$24/$NT$24)),0)</f>
        <v/>
      </c>
      <c r="GD24" s="228">
        <f>IF(AND(182&gt;=$NR$24,182&lt;=$NS$24),IF($NP$24="Single_Point",IF(182=$NR$24,$NN$24,0),IF($NP$24="Bell_Curve",$NN$24*(182-$NR$24+1)*($NS$24-182+1)/$NU$24,$NN$24/$NT$24)),0)</f>
        <v/>
      </c>
      <c r="GE24" s="228">
        <f>IF(AND(183&gt;=$NR$24,183&lt;=$NS$24),IF($NP$24="Single_Point",IF(183=$NR$24,$NN$24,0),IF($NP$24="Bell_Curve",$NN$24*(183-$NR$24+1)*($NS$24-183+1)/$NU$24,$NN$24/$NT$24)),0)</f>
        <v/>
      </c>
      <c r="GF24" s="228">
        <f>IF(AND(184&gt;=$NR$24,184&lt;=$NS$24),IF($NP$24="Single_Point",IF(184=$NR$24,$NN$24,0),IF($NP$24="Bell_Curve",$NN$24*(184-$NR$24+1)*($NS$24-184+1)/$NU$24,$NN$24/$NT$24)),0)</f>
        <v/>
      </c>
      <c r="GG24" s="228">
        <f>IF(AND(185&gt;=$NR$24,185&lt;=$NS$24),IF($NP$24="Single_Point",IF(185=$NR$24,$NN$24,0),IF($NP$24="Bell_Curve",$NN$24*(185-$NR$24+1)*($NS$24-185+1)/$NU$24,$NN$24/$NT$24)),0)</f>
        <v/>
      </c>
      <c r="GH24" s="228">
        <f>IF(AND(186&gt;=$NR$24,186&lt;=$NS$24),IF($NP$24="Single_Point",IF(186=$NR$24,$NN$24,0),IF($NP$24="Bell_Curve",$NN$24*(186-$NR$24+1)*($NS$24-186+1)/$NU$24,$NN$24/$NT$24)),0)</f>
        <v/>
      </c>
      <c r="GI24" s="228">
        <f>IF(AND(187&gt;=$NR$24,187&lt;=$NS$24),IF($NP$24="Single_Point",IF(187=$NR$24,$NN$24,0),IF($NP$24="Bell_Curve",$NN$24*(187-$NR$24+1)*($NS$24-187+1)/$NU$24,$NN$24/$NT$24)),0)</f>
        <v/>
      </c>
      <c r="GJ24" s="228">
        <f>IF(AND(188&gt;=$NR$24,188&lt;=$NS$24),IF($NP$24="Single_Point",IF(188=$NR$24,$NN$24,0),IF($NP$24="Bell_Curve",$NN$24*(188-$NR$24+1)*($NS$24-188+1)/$NU$24,$NN$24/$NT$24)),0)</f>
        <v/>
      </c>
      <c r="GK24" s="228">
        <f>IF(AND(189&gt;=$NR$24,189&lt;=$NS$24),IF($NP$24="Single_Point",IF(189=$NR$24,$NN$24,0),IF($NP$24="Bell_Curve",$NN$24*(189-$NR$24+1)*($NS$24-189+1)/$NU$24,$NN$24/$NT$24)),0)</f>
        <v/>
      </c>
      <c r="GL24" s="228">
        <f>IF(AND(190&gt;=$NR$24,190&lt;=$NS$24),IF($NP$24="Single_Point",IF(190=$NR$24,$NN$24,0),IF($NP$24="Bell_Curve",$NN$24*(190-$NR$24+1)*($NS$24-190+1)/$NU$24,$NN$24/$NT$24)),0)</f>
        <v/>
      </c>
      <c r="GM24" s="228">
        <f>IF(AND(191&gt;=$NR$24,191&lt;=$NS$24),IF($NP$24="Single_Point",IF(191=$NR$24,$NN$24,0),IF($NP$24="Bell_Curve",$NN$24*(191-$NR$24+1)*($NS$24-191+1)/$NU$24,$NN$24/$NT$24)),0)</f>
        <v/>
      </c>
      <c r="GN24" s="228">
        <f>IF(AND(192&gt;=$NR$24,192&lt;=$NS$24),IF($NP$24="Single_Point",IF(192=$NR$24,$NN$24,0),IF($NP$24="Bell_Curve",$NN$24*(192-$NR$24+1)*($NS$24-192+1)/$NU$24,$NN$24/$NT$24)),0)</f>
        <v/>
      </c>
      <c r="GO24" s="228">
        <f>IF(AND(193&gt;=$NR$24,193&lt;=$NS$24),IF($NP$24="Single_Point",IF(193=$NR$24,$NN$24,0),IF($NP$24="Bell_Curve",$NN$24*(193-$NR$24+1)*($NS$24-193+1)/$NU$24,$NN$24/$NT$24)),0)</f>
        <v/>
      </c>
      <c r="GP24" s="228">
        <f>IF(AND(194&gt;=$NR$24,194&lt;=$NS$24),IF($NP$24="Single_Point",IF(194=$NR$24,$NN$24,0),IF($NP$24="Bell_Curve",$NN$24*(194-$NR$24+1)*($NS$24-194+1)/$NU$24,$NN$24/$NT$24)),0)</f>
        <v/>
      </c>
      <c r="GQ24" s="228">
        <f>IF(AND(195&gt;=$NR$24,195&lt;=$NS$24),IF($NP$24="Single_Point",IF(195=$NR$24,$NN$24,0),IF($NP$24="Bell_Curve",$NN$24*(195-$NR$24+1)*($NS$24-195+1)/$NU$24,$NN$24/$NT$24)),0)</f>
        <v/>
      </c>
      <c r="GR24" s="228">
        <f>IF(AND(196&gt;=$NR$24,196&lt;=$NS$24),IF($NP$24="Single_Point",IF(196=$NR$24,$NN$24,0),IF($NP$24="Bell_Curve",$NN$24*(196-$NR$24+1)*($NS$24-196+1)/$NU$24,$NN$24/$NT$24)),0)</f>
        <v/>
      </c>
      <c r="GS24" s="228">
        <f>IF(AND(197&gt;=$NR$24,197&lt;=$NS$24),IF($NP$24="Single_Point",IF(197=$NR$24,$NN$24,0),IF($NP$24="Bell_Curve",$NN$24*(197-$NR$24+1)*($NS$24-197+1)/$NU$24,$NN$24/$NT$24)),0)</f>
        <v/>
      </c>
      <c r="GT24" s="228">
        <f>IF(AND(198&gt;=$NR$24,198&lt;=$NS$24),IF($NP$24="Single_Point",IF(198=$NR$24,$NN$24,0),IF($NP$24="Bell_Curve",$NN$24*(198-$NR$24+1)*($NS$24-198+1)/$NU$24,$NN$24/$NT$24)),0)</f>
        <v/>
      </c>
      <c r="GU24" s="228">
        <f>IF(AND(199&gt;=$NR$24,199&lt;=$NS$24),IF($NP$24="Single_Point",IF(199=$NR$24,$NN$24,0),IF($NP$24="Bell_Curve",$NN$24*(199-$NR$24+1)*($NS$24-199+1)/$NU$24,$NN$24/$NT$24)),0)</f>
        <v/>
      </c>
      <c r="GV24" s="228">
        <f>IF(AND(200&gt;=$NR$24,200&lt;=$NS$24),IF($NP$24="Single_Point",IF(200=$NR$24,$NN$24,0),IF($NP$24="Bell_Curve",$NN$24*(200-$NR$24+1)*($NS$24-200+1)/$NU$24,$NN$24/$NT$24)),0)</f>
        <v/>
      </c>
      <c r="GW24" s="228">
        <f>IF(AND(201&gt;=$NR$24,201&lt;=$NS$24),IF($NP$24="Single_Point",IF(201=$NR$24,$NN$24,0),IF($NP$24="Bell_Curve",$NN$24*(201-$NR$24+1)*($NS$24-201+1)/$NU$24,$NN$24/$NT$24)),0)</f>
        <v/>
      </c>
      <c r="GX24" s="228">
        <f>IF(AND(202&gt;=$NR$24,202&lt;=$NS$24),IF($NP$24="Single_Point",IF(202=$NR$24,$NN$24,0),IF($NP$24="Bell_Curve",$NN$24*(202-$NR$24+1)*($NS$24-202+1)/$NU$24,$NN$24/$NT$24)),0)</f>
        <v/>
      </c>
      <c r="GY24" s="228">
        <f>IF(AND(203&gt;=$NR$24,203&lt;=$NS$24),IF($NP$24="Single_Point",IF(203=$NR$24,$NN$24,0),IF($NP$24="Bell_Curve",$NN$24*(203-$NR$24+1)*($NS$24-203+1)/$NU$24,$NN$24/$NT$24)),0)</f>
        <v/>
      </c>
      <c r="GZ24" s="228">
        <f>IF(AND(204&gt;=$NR$24,204&lt;=$NS$24),IF($NP$24="Single_Point",IF(204=$NR$24,$NN$24,0),IF($NP$24="Bell_Curve",$NN$24*(204-$NR$24+1)*($NS$24-204+1)/$NU$24,$NN$24/$NT$24)),0)</f>
        <v/>
      </c>
      <c r="HA24" s="228">
        <f>IF(AND(205&gt;=$NR$24,205&lt;=$NS$24),IF($NP$24="Single_Point",IF(205=$NR$24,$NN$24,0),IF($NP$24="Bell_Curve",$NN$24*(205-$NR$24+1)*($NS$24-205+1)/$NU$24,$NN$24/$NT$24)),0)</f>
        <v/>
      </c>
      <c r="HB24" s="228">
        <f>IF(AND(206&gt;=$NR$24,206&lt;=$NS$24),IF($NP$24="Single_Point",IF(206=$NR$24,$NN$24,0),IF($NP$24="Bell_Curve",$NN$24*(206-$NR$24+1)*($NS$24-206+1)/$NU$24,$NN$24/$NT$24)),0)</f>
        <v/>
      </c>
      <c r="HC24" s="228">
        <f>IF(AND(207&gt;=$NR$24,207&lt;=$NS$24),IF($NP$24="Single_Point",IF(207=$NR$24,$NN$24,0),IF($NP$24="Bell_Curve",$NN$24*(207-$NR$24+1)*($NS$24-207+1)/$NU$24,$NN$24/$NT$24)),0)</f>
        <v/>
      </c>
      <c r="HD24" s="228">
        <f>IF(AND(208&gt;=$NR$24,208&lt;=$NS$24),IF($NP$24="Single_Point",IF(208=$NR$24,$NN$24,0),IF($NP$24="Bell_Curve",$NN$24*(208-$NR$24+1)*($NS$24-208+1)/$NU$24,$NN$24/$NT$24)),0)</f>
        <v/>
      </c>
      <c r="HE24" s="228">
        <f>IF(AND(209&gt;=$NR$24,209&lt;=$NS$24),IF($NP$24="Single_Point",IF(209=$NR$24,$NN$24,0),IF($NP$24="Bell_Curve",$NN$24*(209-$NR$24+1)*($NS$24-209+1)/$NU$24,$NN$24/$NT$24)),0)</f>
        <v/>
      </c>
      <c r="HF24" s="228">
        <f>IF(AND(210&gt;=$NR$24,210&lt;=$NS$24),IF($NP$24="Single_Point",IF(210=$NR$24,$NN$24,0),IF($NP$24="Bell_Curve",$NN$24*(210-$NR$24+1)*($NS$24-210+1)/$NU$24,$NN$24/$NT$24)),0)</f>
        <v/>
      </c>
      <c r="HG24" s="228">
        <f>IF(AND(211&gt;=$NR$24,211&lt;=$NS$24),IF($NP$24="Single_Point",IF(211=$NR$24,$NN$24,0),IF($NP$24="Bell_Curve",$NN$24*(211-$NR$24+1)*($NS$24-211+1)/$NU$24,$NN$24/$NT$24)),0)</f>
        <v/>
      </c>
      <c r="HH24" s="228">
        <f>IF(AND(212&gt;=$NR$24,212&lt;=$NS$24),IF($NP$24="Single_Point",IF(212=$NR$24,$NN$24,0),IF($NP$24="Bell_Curve",$NN$24*(212-$NR$24+1)*($NS$24-212+1)/$NU$24,$NN$24/$NT$24)),0)</f>
        <v/>
      </c>
      <c r="HI24" s="228">
        <f>IF(AND(213&gt;=$NR$24,213&lt;=$NS$24),IF($NP$24="Single_Point",IF(213=$NR$24,$NN$24,0),IF($NP$24="Bell_Curve",$NN$24*(213-$NR$24+1)*($NS$24-213+1)/$NU$24,$NN$24/$NT$24)),0)</f>
        <v/>
      </c>
      <c r="HJ24" s="228">
        <f>IF(AND(214&gt;=$NR$24,214&lt;=$NS$24),IF($NP$24="Single_Point",IF(214=$NR$24,$NN$24,0),IF($NP$24="Bell_Curve",$NN$24*(214-$NR$24+1)*($NS$24-214+1)/$NU$24,$NN$24/$NT$24)),0)</f>
        <v/>
      </c>
      <c r="HK24" s="228">
        <f>IF(AND(215&gt;=$NR$24,215&lt;=$NS$24),IF($NP$24="Single_Point",IF(215=$NR$24,$NN$24,0),IF($NP$24="Bell_Curve",$NN$24*(215-$NR$24+1)*($NS$24-215+1)/$NU$24,$NN$24/$NT$24)),0)</f>
        <v/>
      </c>
      <c r="HL24" s="228">
        <f>IF(AND(216&gt;=$NR$24,216&lt;=$NS$24),IF($NP$24="Single_Point",IF(216=$NR$24,$NN$24,0),IF($NP$24="Bell_Curve",$NN$24*(216-$NR$24+1)*($NS$24-216+1)/$NU$24,$NN$24/$NT$24)),0)</f>
        <v/>
      </c>
      <c r="HM24" s="228">
        <f>IF(AND(217&gt;=$NR$24,217&lt;=$NS$24),IF($NP$24="Single_Point",IF(217=$NR$24,$NN$24,0),IF($NP$24="Bell_Curve",$NN$24*(217-$NR$24+1)*($NS$24-217+1)/$NU$24,$NN$24/$NT$24)),0)</f>
        <v/>
      </c>
      <c r="HN24" s="228">
        <f>IF(AND(218&gt;=$NR$24,218&lt;=$NS$24),IF($NP$24="Single_Point",IF(218=$NR$24,$NN$24,0),IF($NP$24="Bell_Curve",$NN$24*(218-$NR$24+1)*($NS$24-218+1)/$NU$24,$NN$24/$NT$24)),0)</f>
        <v/>
      </c>
      <c r="HO24" s="228">
        <f>IF(AND(219&gt;=$NR$24,219&lt;=$NS$24),IF($NP$24="Single_Point",IF(219=$NR$24,$NN$24,0),IF($NP$24="Bell_Curve",$NN$24*(219-$NR$24+1)*($NS$24-219+1)/$NU$24,$NN$24/$NT$24)),0)</f>
        <v/>
      </c>
      <c r="HP24" s="228">
        <f>IF(AND(220&gt;=$NR$24,220&lt;=$NS$24),IF($NP$24="Single_Point",IF(220=$NR$24,$NN$24,0),IF($NP$24="Bell_Curve",$NN$24*(220-$NR$24+1)*($NS$24-220+1)/$NU$24,$NN$24/$NT$24)),0)</f>
        <v/>
      </c>
      <c r="HQ24" s="228">
        <f>IF(AND(221&gt;=$NR$24,221&lt;=$NS$24),IF($NP$24="Single_Point",IF(221=$NR$24,$NN$24,0),IF($NP$24="Bell_Curve",$NN$24*(221-$NR$24+1)*($NS$24-221+1)/$NU$24,$NN$24/$NT$24)),0)</f>
        <v/>
      </c>
      <c r="HR24" s="228">
        <f>IF(AND(222&gt;=$NR$24,222&lt;=$NS$24),IF($NP$24="Single_Point",IF(222=$NR$24,$NN$24,0),IF($NP$24="Bell_Curve",$NN$24*(222-$NR$24+1)*($NS$24-222+1)/$NU$24,$NN$24/$NT$24)),0)</f>
        <v/>
      </c>
      <c r="HS24" s="228">
        <f>IF(AND(223&gt;=$NR$24,223&lt;=$NS$24),IF($NP$24="Single_Point",IF(223=$NR$24,$NN$24,0),IF($NP$24="Bell_Curve",$NN$24*(223-$NR$24+1)*($NS$24-223+1)/$NU$24,$NN$24/$NT$24)),0)</f>
        <v/>
      </c>
      <c r="HT24" s="228">
        <f>IF(AND(224&gt;=$NR$24,224&lt;=$NS$24),IF($NP$24="Single_Point",IF(224=$NR$24,$NN$24,0),IF($NP$24="Bell_Curve",$NN$24*(224-$NR$24+1)*($NS$24-224+1)/$NU$24,$NN$24/$NT$24)),0)</f>
        <v/>
      </c>
      <c r="HU24" s="228">
        <f>IF(AND(225&gt;=$NR$24,225&lt;=$NS$24),IF($NP$24="Single_Point",IF(225=$NR$24,$NN$24,0),IF($NP$24="Bell_Curve",$NN$24*(225-$NR$24+1)*($NS$24-225+1)/$NU$24,$NN$24/$NT$24)),0)</f>
        <v/>
      </c>
      <c r="HV24" s="228">
        <f>IF(AND(226&gt;=$NR$24,226&lt;=$NS$24),IF($NP$24="Single_Point",IF(226=$NR$24,$NN$24,0),IF($NP$24="Bell_Curve",$NN$24*(226-$NR$24+1)*($NS$24-226+1)/$NU$24,$NN$24/$NT$24)),0)</f>
        <v/>
      </c>
      <c r="HW24" s="228">
        <f>IF(AND(227&gt;=$NR$24,227&lt;=$NS$24),IF($NP$24="Single_Point",IF(227=$NR$24,$NN$24,0),IF($NP$24="Bell_Curve",$NN$24*(227-$NR$24+1)*($NS$24-227+1)/$NU$24,$NN$24/$NT$24)),0)</f>
        <v/>
      </c>
      <c r="HX24" s="228">
        <f>IF(AND(228&gt;=$NR$24,228&lt;=$NS$24),IF($NP$24="Single_Point",IF(228=$NR$24,$NN$24,0),IF($NP$24="Bell_Curve",$NN$24*(228-$NR$24+1)*($NS$24-228+1)/$NU$24,$NN$24/$NT$24)),0)</f>
        <v/>
      </c>
      <c r="HY24" s="228">
        <f>IF(AND(229&gt;=$NR$24,229&lt;=$NS$24),IF($NP$24="Single_Point",IF(229=$NR$24,$NN$24,0),IF($NP$24="Bell_Curve",$NN$24*(229-$NR$24+1)*($NS$24-229+1)/$NU$24,$NN$24/$NT$24)),0)</f>
        <v/>
      </c>
      <c r="HZ24" s="228">
        <f>IF(AND(230&gt;=$NR$24,230&lt;=$NS$24),IF($NP$24="Single_Point",IF(230=$NR$24,$NN$24,0),IF($NP$24="Bell_Curve",$NN$24*(230-$NR$24+1)*($NS$24-230+1)/$NU$24,$NN$24/$NT$24)),0)</f>
        <v/>
      </c>
      <c r="IA24" s="228">
        <f>IF(AND(231&gt;=$NR$24,231&lt;=$NS$24),IF($NP$24="Single_Point",IF(231=$NR$24,$NN$24,0),IF($NP$24="Bell_Curve",$NN$24*(231-$NR$24+1)*($NS$24-231+1)/$NU$24,$NN$24/$NT$24)),0)</f>
        <v/>
      </c>
      <c r="IB24" s="228">
        <f>IF(AND(232&gt;=$NR$24,232&lt;=$NS$24),IF($NP$24="Single_Point",IF(232=$NR$24,$NN$24,0),IF($NP$24="Bell_Curve",$NN$24*(232-$NR$24+1)*($NS$24-232+1)/$NU$24,$NN$24/$NT$24)),0)</f>
        <v/>
      </c>
      <c r="IC24" s="228">
        <f>IF(AND(233&gt;=$NR$24,233&lt;=$NS$24),IF($NP$24="Single_Point",IF(233=$NR$24,$NN$24,0),IF($NP$24="Bell_Curve",$NN$24*(233-$NR$24+1)*($NS$24-233+1)/$NU$24,$NN$24/$NT$24)),0)</f>
        <v/>
      </c>
      <c r="ID24" s="228">
        <f>IF(AND(234&gt;=$NR$24,234&lt;=$NS$24),IF($NP$24="Single_Point",IF(234=$NR$24,$NN$24,0),IF($NP$24="Bell_Curve",$NN$24*(234-$NR$24+1)*($NS$24-234+1)/$NU$24,$NN$24/$NT$24)),0)</f>
        <v/>
      </c>
      <c r="IE24" s="228">
        <f>IF(AND(235&gt;=$NR$24,235&lt;=$NS$24),IF($NP$24="Single_Point",IF(235=$NR$24,$NN$24,0),IF($NP$24="Bell_Curve",$NN$24*(235-$NR$24+1)*($NS$24-235+1)/$NU$24,$NN$24/$NT$24)),0)</f>
        <v/>
      </c>
      <c r="IF24" s="228">
        <f>IF(AND(236&gt;=$NR$24,236&lt;=$NS$24),IF($NP$24="Single_Point",IF(236=$NR$24,$NN$24,0),IF($NP$24="Bell_Curve",$NN$24*(236-$NR$24+1)*($NS$24-236+1)/$NU$24,$NN$24/$NT$24)),0)</f>
        <v/>
      </c>
      <c r="IG24" s="228">
        <f>IF(AND(237&gt;=$NR$24,237&lt;=$NS$24),IF($NP$24="Single_Point",IF(237=$NR$24,$NN$24,0),IF($NP$24="Bell_Curve",$NN$24*(237-$NR$24+1)*($NS$24-237+1)/$NU$24,$NN$24/$NT$24)),0)</f>
        <v/>
      </c>
      <c r="IH24" s="228">
        <f>IF(AND(238&gt;=$NR$24,238&lt;=$NS$24),IF($NP$24="Single_Point",IF(238=$NR$24,$NN$24,0),IF($NP$24="Bell_Curve",$NN$24*(238-$NR$24+1)*($NS$24-238+1)/$NU$24,$NN$24/$NT$24)),0)</f>
        <v/>
      </c>
      <c r="II24" s="228">
        <f>IF(AND(239&gt;=$NR$24,239&lt;=$NS$24),IF($NP$24="Single_Point",IF(239=$NR$24,$NN$24,0),IF($NP$24="Bell_Curve",$NN$24*(239-$NR$24+1)*($NS$24-239+1)/$NU$24,$NN$24/$NT$24)),0)</f>
        <v/>
      </c>
      <c r="IJ24" s="228">
        <f>IF(AND(240&gt;=$NR$24,240&lt;=$NS$24),IF($NP$24="Single_Point",IF(240=$NR$24,$NN$24,0),IF($NP$24="Bell_Curve",$NN$24*(240-$NR$24+1)*($NS$24-240+1)/$NU$24,$NN$24/$NT$24)),0)</f>
        <v/>
      </c>
      <c r="IK24" s="228">
        <f>IF(AND(241&gt;=$NR$24,241&lt;=$NS$24),IF($NP$24="Single_Point",IF(241=$NR$24,$NN$24,0),IF($NP$24="Bell_Curve",$NN$24*(241-$NR$24+1)*($NS$24-241+1)/$NU$24,$NN$24/$NT$24)),0)</f>
        <v/>
      </c>
      <c r="IL24" s="228">
        <f>IF(AND(242&gt;=$NR$24,242&lt;=$NS$24),IF($NP$24="Single_Point",IF(242=$NR$24,$NN$24,0),IF($NP$24="Bell_Curve",$NN$24*(242-$NR$24+1)*($NS$24-242+1)/$NU$24,$NN$24/$NT$24)),0)</f>
        <v/>
      </c>
      <c r="IM24" s="228">
        <f>IF(AND(243&gt;=$NR$24,243&lt;=$NS$24),IF($NP$24="Single_Point",IF(243=$NR$24,$NN$24,0),IF($NP$24="Bell_Curve",$NN$24*(243-$NR$24+1)*($NS$24-243+1)/$NU$24,$NN$24/$NT$24)),0)</f>
        <v/>
      </c>
      <c r="IN24" s="228">
        <f>IF(AND(244&gt;=$NR$24,244&lt;=$NS$24),IF($NP$24="Single_Point",IF(244=$NR$24,$NN$24,0),IF($NP$24="Bell_Curve",$NN$24*(244-$NR$24+1)*($NS$24-244+1)/$NU$24,$NN$24/$NT$24)),0)</f>
        <v/>
      </c>
      <c r="IO24" s="228">
        <f>IF(AND(245&gt;=$NR$24,245&lt;=$NS$24),IF($NP$24="Single_Point",IF(245=$NR$24,$NN$24,0),IF($NP$24="Bell_Curve",$NN$24*(245-$NR$24+1)*($NS$24-245+1)/$NU$24,$NN$24/$NT$24)),0)</f>
        <v/>
      </c>
      <c r="IP24" s="228">
        <f>IF(AND(246&gt;=$NR$24,246&lt;=$NS$24),IF($NP$24="Single_Point",IF(246=$NR$24,$NN$24,0),IF($NP$24="Bell_Curve",$NN$24*(246-$NR$24+1)*($NS$24-246+1)/$NU$24,$NN$24/$NT$24)),0)</f>
        <v/>
      </c>
      <c r="IQ24" s="228">
        <f>IF(AND(247&gt;=$NR$24,247&lt;=$NS$24),IF($NP$24="Single_Point",IF(247=$NR$24,$NN$24,0),IF($NP$24="Bell_Curve",$NN$24*(247-$NR$24+1)*($NS$24-247+1)/$NU$24,$NN$24/$NT$24)),0)</f>
        <v/>
      </c>
      <c r="IR24" s="228">
        <f>IF(AND(248&gt;=$NR$24,248&lt;=$NS$24),IF($NP$24="Single_Point",IF(248=$NR$24,$NN$24,0),IF($NP$24="Bell_Curve",$NN$24*(248-$NR$24+1)*($NS$24-248+1)/$NU$24,$NN$24/$NT$24)),0)</f>
        <v/>
      </c>
      <c r="IS24" s="228">
        <f>IF(AND(249&gt;=$NR$24,249&lt;=$NS$24),IF($NP$24="Single_Point",IF(249=$NR$24,$NN$24,0),IF($NP$24="Bell_Curve",$NN$24*(249-$NR$24+1)*($NS$24-249+1)/$NU$24,$NN$24/$NT$24)),0)</f>
        <v/>
      </c>
      <c r="IT24" s="228">
        <f>IF(AND(250&gt;=$NR$24,250&lt;=$NS$24),IF($NP$24="Single_Point",IF(250=$NR$24,$NN$24,0),IF($NP$24="Bell_Curve",$NN$24*(250-$NR$24+1)*($NS$24-250+1)/$NU$24,$NN$24/$NT$24)),0)</f>
        <v/>
      </c>
      <c r="IU24" s="228">
        <f>IF(AND(251&gt;=$NR$24,251&lt;=$NS$24),IF($NP$24="Single_Point",IF(251=$NR$24,$NN$24,0),IF($NP$24="Bell_Curve",$NN$24*(251-$NR$24+1)*($NS$24-251+1)/$NU$24,$NN$24/$NT$24)),0)</f>
        <v/>
      </c>
      <c r="IV24" s="228">
        <f>IF(AND(252&gt;=$NR$24,252&lt;=$NS$24),IF($NP$24="Single_Point",IF(252=$NR$24,$NN$24,0),IF($NP$24="Bell_Curve",$NN$24*(252-$NR$24+1)*($NS$24-252+1)/$NU$24,$NN$24/$NT$24)),0)</f>
        <v/>
      </c>
      <c r="IW24" s="228">
        <f>IF(AND(253&gt;=$NR$24,253&lt;=$NS$24),IF($NP$24="Single_Point",IF(253=$NR$24,$NN$24,0),IF($NP$24="Bell_Curve",$NN$24*(253-$NR$24+1)*($NS$24-253+1)/$NU$24,$NN$24/$NT$24)),0)</f>
        <v/>
      </c>
      <c r="IX24" s="228">
        <f>IF(AND(254&gt;=$NR$24,254&lt;=$NS$24),IF($NP$24="Single_Point",IF(254=$NR$24,$NN$24,0),IF($NP$24="Bell_Curve",$NN$24*(254-$NR$24+1)*($NS$24-254+1)/$NU$24,$NN$24/$NT$24)),0)</f>
        <v/>
      </c>
      <c r="IY24" s="228">
        <f>IF(AND(255&gt;=$NR$24,255&lt;=$NS$24),IF($NP$24="Single_Point",IF(255=$NR$24,$NN$24,0),IF($NP$24="Bell_Curve",$NN$24*(255-$NR$24+1)*($NS$24-255+1)/$NU$24,$NN$24/$NT$24)),0)</f>
        <v/>
      </c>
      <c r="IZ24" s="228">
        <f>IF(AND(256&gt;=$NR$24,256&lt;=$NS$24),IF($NP$24="Single_Point",IF(256=$NR$24,$NN$24,0),IF($NP$24="Bell_Curve",$NN$24*(256-$NR$24+1)*($NS$24-256+1)/$NU$24,$NN$24/$NT$24)),0)</f>
        <v/>
      </c>
      <c r="JA24" s="228">
        <f>IF(AND(257&gt;=$NR$24,257&lt;=$NS$24),IF($NP$24="Single_Point",IF(257=$NR$24,$NN$24,0),IF($NP$24="Bell_Curve",$NN$24*(257-$NR$24+1)*($NS$24-257+1)/$NU$24,$NN$24/$NT$24)),0)</f>
        <v/>
      </c>
      <c r="JB24" s="228">
        <f>IF(AND(258&gt;=$NR$24,258&lt;=$NS$24),IF($NP$24="Single_Point",IF(258=$NR$24,$NN$24,0),IF($NP$24="Bell_Curve",$NN$24*(258-$NR$24+1)*($NS$24-258+1)/$NU$24,$NN$24/$NT$24)),0)</f>
        <v/>
      </c>
      <c r="JC24" s="228">
        <f>IF(AND(259&gt;=$NR$24,259&lt;=$NS$24),IF($NP$24="Single_Point",IF(259=$NR$24,$NN$24,0),IF($NP$24="Bell_Curve",$NN$24*(259-$NR$24+1)*($NS$24-259+1)/$NU$24,$NN$24/$NT$24)),0)</f>
        <v/>
      </c>
      <c r="JD24" s="228">
        <f>IF(AND(260&gt;=$NR$24,260&lt;=$NS$24),IF($NP$24="Single_Point",IF(260=$NR$24,$NN$24,0),IF($NP$24="Bell_Curve",$NN$24*(260-$NR$24+1)*($NS$24-260+1)/$NU$24,$NN$24/$NT$24)),0)</f>
        <v/>
      </c>
      <c r="JE24" s="228">
        <f>IF(AND(261&gt;=$NR$24,261&lt;=$NS$24),IF($NP$24="Single_Point",IF(261=$NR$24,$NN$24,0),IF($NP$24="Bell_Curve",$NN$24*(261-$NR$24+1)*($NS$24-261+1)/$NU$24,$NN$24/$NT$24)),0)</f>
        <v/>
      </c>
      <c r="JF24" s="228">
        <f>IF(AND(262&gt;=$NR$24,262&lt;=$NS$24),IF($NP$24="Single_Point",IF(262=$NR$24,$NN$24,0),IF($NP$24="Bell_Curve",$NN$24*(262-$NR$24+1)*($NS$24-262+1)/$NU$24,$NN$24/$NT$24)),0)</f>
        <v/>
      </c>
      <c r="JG24" s="228">
        <f>IF(AND(263&gt;=$NR$24,263&lt;=$NS$24),IF($NP$24="Single_Point",IF(263=$NR$24,$NN$24,0),IF($NP$24="Bell_Curve",$NN$24*(263-$NR$24+1)*($NS$24-263+1)/$NU$24,$NN$24/$NT$24)),0)</f>
        <v/>
      </c>
      <c r="JH24" s="228">
        <f>IF(AND(264&gt;=$NR$24,264&lt;=$NS$24),IF($NP$24="Single_Point",IF(264=$NR$24,$NN$24,0),IF($NP$24="Bell_Curve",$NN$24*(264-$NR$24+1)*($NS$24-264+1)/$NU$24,$NN$24/$NT$24)),0)</f>
        <v/>
      </c>
      <c r="JI24" s="228">
        <f>IF(AND(265&gt;=$NR$24,265&lt;=$NS$24),IF($NP$24="Single_Point",IF(265=$NR$24,$NN$24,0),IF($NP$24="Bell_Curve",$NN$24*(265-$NR$24+1)*($NS$24-265+1)/$NU$24,$NN$24/$NT$24)),0)</f>
        <v/>
      </c>
      <c r="JJ24" s="228">
        <f>IF(AND(266&gt;=$NR$24,266&lt;=$NS$24),IF($NP$24="Single_Point",IF(266=$NR$24,$NN$24,0),IF($NP$24="Bell_Curve",$NN$24*(266-$NR$24+1)*($NS$24-266+1)/$NU$24,$NN$24/$NT$24)),0)</f>
        <v/>
      </c>
      <c r="JK24" s="228">
        <f>IF(AND(267&gt;=$NR$24,267&lt;=$NS$24),IF($NP$24="Single_Point",IF(267=$NR$24,$NN$24,0),IF($NP$24="Bell_Curve",$NN$24*(267-$NR$24+1)*($NS$24-267+1)/$NU$24,$NN$24/$NT$24)),0)</f>
        <v/>
      </c>
      <c r="JL24" s="228">
        <f>IF(AND(268&gt;=$NR$24,268&lt;=$NS$24),IF($NP$24="Single_Point",IF(268=$NR$24,$NN$24,0),IF($NP$24="Bell_Curve",$NN$24*(268-$NR$24+1)*($NS$24-268+1)/$NU$24,$NN$24/$NT$24)),0)</f>
        <v/>
      </c>
      <c r="JM24" s="228">
        <f>IF(AND(269&gt;=$NR$24,269&lt;=$NS$24),IF($NP$24="Single_Point",IF(269=$NR$24,$NN$24,0),IF($NP$24="Bell_Curve",$NN$24*(269-$NR$24+1)*($NS$24-269+1)/$NU$24,$NN$24/$NT$24)),0)</f>
        <v/>
      </c>
      <c r="JN24" s="228">
        <f>IF(AND(270&gt;=$NR$24,270&lt;=$NS$24),IF($NP$24="Single_Point",IF(270=$NR$24,$NN$24,0),IF($NP$24="Bell_Curve",$NN$24*(270-$NR$24+1)*($NS$24-270+1)/$NU$24,$NN$24/$NT$24)),0)</f>
        <v/>
      </c>
      <c r="JO24" s="228">
        <f>IF(AND(271&gt;=$NR$24,271&lt;=$NS$24),IF($NP$24="Single_Point",IF(271=$NR$24,$NN$24,0),IF($NP$24="Bell_Curve",$NN$24*(271-$NR$24+1)*($NS$24-271+1)/$NU$24,$NN$24/$NT$24)),0)</f>
        <v/>
      </c>
      <c r="JP24" s="228">
        <f>IF(AND(272&gt;=$NR$24,272&lt;=$NS$24),IF($NP$24="Single_Point",IF(272=$NR$24,$NN$24,0),IF($NP$24="Bell_Curve",$NN$24*(272-$NR$24+1)*($NS$24-272+1)/$NU$24,$NN$24/$NT$24)),0)</f>
        <v/>
      </c>
      <c r="JQ24" s="228">
        <f>IF(AND(273&gt;=$NR$24,273&lt;=$NS$24),IF($NP$24="Single_Point",IF(273=$NR$24,$NN$24,0),IF($NP$24="Bell_Curve",$NN$24*(273-$NR$24+1)*($NS$24-273+1)/$NU$24,$NN$24/$NT$24)),0)</f>
        <v/>
      </c>
      <c r="JR24" s="228">
        <f>IF(AND(274&gt;=$NR$24,274&lt;=$NS$24),IF($NP$24="Single_Point",IF(274=$NR$24,$NN$24,0),IF($NP$24="Bell_Curve",$NN$24*(274-$NR$24+1)*($NS$24-274+1)/$NU$24,$NN$24/$NT$24)),0)</f>
        <v/>
      </c>
      <c r="JS24" s="228">
        <f>IF(AND(275&gt;=$NR$24,275&lt;=$NS$24),IF($NP$24="Single_Point",IF(275=$NR$24,$NN$24,0),IF($NP$24="Bell_Curve",$NN$24*(275-$NR$24+1)*($NS$24-275+1)/$NU$24,$NN$24/$NT$24)),0)</f>
        <v/>
      </c>
      <c r="JT24" s="228">
        <f>IF(AND(276&gt;=$NR$24,276&lt;=$NS$24),IF($NP$24="Single_Point",IF(276=$NR$24,$NN$24,0),IF($NP$24="Bell_Curve",$NN$24*(276-$NR$24+1)*($NS$24-276+1)/$NU$24,$NN$24/$NT$24)),0)</f>
        <v/>
      </c>
      <c r="JU24" s="228">
        <f>IF(AND(277&gt;=$NR$24,277&lt;=$NS$24),IF($NP$24="Single_Point",IF(277=$NR$24,$NN$24,0),IF($NP$24="Bell_Curve",$NN$24*(277-$NR$24+1)*($NS$24-277+1)/$NU$24,$NN$24/$NT$24)),0)</f>
        <v/>
      </c>
      <c r="JV24" s="228">
        <f>IF(AND(278&gt;=$NR$24,278&lt;=$NS$24),IF($NP$24="Single_Point",IF(278=$NR$24,$NN$24,0),IF($NP$24="Bell_Curve",$NN$24*(278-$NR$24+1)*($NS$24-278+1)/$NU$24,$NN$24/$NT$24)),0)</f>
        <v/>
      </c>
      <c r="JW24" s="228">
        <f>IF(AND(279&gt;=$NR$24,279&lt;=$NS$24),IF($NP$24="Single_Point",IF(279=$NR$24,$NN$24,0),IF($NP$24="Bell_Curve",$NN$24*(279-$NR$24+1)*($NS$24-279+1)/$NU$24,$NN$24/$NT$24)),0)</f>
        <v/>
      </c>
      <c r="JX24" s="228">
        <f>IF(AND(280&gt;=$NR$24,280&lt;=$NS$24),IF($NP$24="Single_Point",IF(280=$NR$24,$NN$24,0),IF($NP$24="Bell_Curve",$NN$24*(280-$NR$24+1)*($NS$24-280+1)/$NU$24,$NN$24/$NT$24)),0)</f>
        <v/>
      </c>
      <c r="JY24" s="228">
        <f>IF(AND(281&gt;=$NR$24,281&lt;=$NS$24),IF($NP$24="Single_Point",IF(281=$NR$24,$NN$24,0),IF($NP$24="Bell_Curve",$NN$24*(281-$NR$24+1)*($NS$24-281+1)/$NU$24,$NN$24/$NT$24)),0)</f>
        <v/>
      </c>
      <c r="JZ24" s="228">
        <f>IF(AND(282&gt;=$NR$24,282&lt;=$NS$24),IF($NP$24="Single_Point",IF(282=$NR$24,$NN$24,0),IF($NP$24="Bell_Curve",$NN$24*(282-$NR$24+1)*($NS$24-282+1)/$NU$24,$NN$24/$NT$24)),0)</f>
        <v/>
      </c>
      <c r="KA24" s="228">
        <f>IF(AND(283&gt;=$NR$24,283&lt;=$NS$24),IF($NP$24="Single_Point",IF(283=$NR$24,$NN$24,0),IF($NP$24="Bell_Curve",$NN$24*(283-$NR$24+1)*($NS$24-283+1)/$NU$24,$NN$24/$NT$24)),0)</f>
        <v/>
      </c>
      <c r="KB24" s="228">
        <f>IF(AND(284&gt;=$NR$24,284&lt;=$NS$24),IF($NP$24="Single_Point",IF(284=$NR$24,$NN$24,0),IF($NP$24="Bell_Curve",$NN$24*(284-$NR$24+1)*($NS$24-284+1)/$NU$24,$NN$24/$NT$24)),0)</f>
        <v/>
      </c>
      <c r="KC24" s="228">
        <f>IF(AND(285&gt;=$NR$24,285&lt;=$NS$24),IF($NP$24="Single_Point",IF(285=$NR$24,$NN$24,0),IF($NP$24="Bell_Curve",$NN$24*(285-$NR$24+1)*($NS$24-285+1)/$NU$24,$NN$24/$NT$24)),0)</f>
        <v/>
      </c>
      <c r="KD24" s="228">
        <f>IF(AND(286&gt;=$NR$24,286&lt;=$NS$24),IF($NP$24="Single_Point",IF(286=$NR$24,$NN$24,0),IF($NP$24="Bell_Curve",$NN$24*(286-$NR$24+1)*($NS$24-286+1)/$NU$24,$NN$24/$NT$24)),0)</f>
        <v/>
      </c>
      <c r="KE24" s="228">
        <f>IF(AND(287&gt;=$NR$24,287&lt;=$NS$24),IF($NP$24="Single_Point",IF(287=$NR$24,$NN$24,0),IF($NP$24="Bell_Curve",$NN$24*(287-$NR$24+1)*($NS$24-287+1)/$NU$24,$NN$24/$NT$24)),0)</f>
        <v/>
      </c>
      <c r="KF24" s="228">
        <f>IF(AND(288&gt;=$NR$24,288&lt;=$NS$24),IF($NP$24="Single_Point",IF(288=$NR$24,$NN$24,0),IF($NP$24="Bell_Curve",$NN$24*(288-$NR$24+1)*($NS$24-288+1)/$NU$24,$NN$24/$NT$24)),0)</f>
        <v/>
      </c>
      <c r="KG24" s="228">
        <f>IF(AND(289&gt;=$NR$24,289&lt;=$NS$24),IF($NP$24="Single_Point",IF(289=$NR$24,$NN$24,0),IF($NP$24="Bell_Curve",$NN$24*(289-$NR$24+1)*($NS$24-289+1)/$NU$24,$NN$24/$NT$24)),0)</f>
        <v/>
      </c>
      <c r="KH24" s="228">
        <f>IF(AND(290&gt;=$NR$24,290&lt;=$NS$24),IF($NP$24="Single_Point",IF(290=$NR$24,$NN$24,0),IF($NP$24="Bell_Curve",$NN$24*(290-$NR$24+1)*($NS$24-290+1)/$NU$24,$NN$24/$NT$24)),0)</f>
        <v/>
      </c>
      <c r="KI24" s="228">
        <f>IF(AND(291&gt;=$NR$24,291&lt;=$NS$24),IF($NP$24="Single_Point",IF(291=$NR$24,$NN$24,0),IF($NP$24="Bell_Curve",$NN$24*(291-$NR$24+1)*($NS$24-291+1)/$NU$24,$NN$24/$NT$24)),0)</f>
        <v/>
      </c>
      <c r="KJ24" s="228">
        <f>IF(AND(292&gt;=$NR$24,292&lt;=$NS$24),IF($NP$24="Single_Point",IF(292=$NR$24,$NN$24,0),IF($NP$24="Bell_Curve",$NN$24*(292-$NR$24+1)*($NS$24-292+1)/$NU$24,$NN$24/$NT$24)),0)</f>
        <v/>
      </c>
      <c r="KK24" s="228">
        <f>IF(AND(293&gt;=$NR$24,293&lt;=$NS$24),IF($NP$24="Single_Point",IF(293=$NR$24,$NN$24,0),IF($NP$24="Bell_Curve",$NN$24*(293-$NR$24+1)*($NS$24-293+1)/$NU$24,$NN$24/$NT$24)),0)</f>
        <v/>
      </c>
      <c r="KL24" s="228">
        <f>IF(AND(294&gt;=$NR$24,294&lt;=$NS$24),IF($NP$24="Single_Point",IF(294=$NR$24,$NN$24,0),IF($NP$24="Bell_Curve",$NN$24*(294-$NR$24+1)*($NS$24-294+1)/$NU$24,$NN$24/$NT$24)),0)</f>
        <v/>
      </c>
      <c r="KM24" s="228">
        <f>IF(AND(295&gt;=$NR$24,295&lt;=$NS$24),IF($NP$24="Single_Point",IF(295=$NR$24,$NN$24,0),IF($NP$24="Bell_Curve",$NN$24*(295-$NR$24+1)*($NS$24-295+1)/$NU$24,$NN$24/$NT$24)),0)</f>
        <v/>
      </c>
      <c r="KN24" s="228">
        <f>IF(AND(296&gt;=$NR$24,296&lt;=$NS$24),IF($NP$24="Single_Point",IF(296=$NR$24,$NN$24,0),IF($NP$24="Bell_Curve",$NN$24*(296-$NR$24+1)*($NS$24-296+1)/$NU$24,$NN$24/$NT$24)),0)</f>
        <v/>
      </c>
      <c r="KO24" s="228">
        <f>IF(AND(297&gt;=$NR$24,297&lt;=$NS$24),IF($NP$24="Single_Point",IF(297=$NR$24,$NN$24,0),IF($NP$24="Bell_Curve",$NN$24*(297-$NR$24+1)*($NS$24-297+1)/$NU$24,$NN$24/$NT$24)),0)</f>
        <v/>
      </c>
      <c r="KP24" s="228">
        <f>IF(AND(298&gt;=$NR$24,298&lt;=$NS$24),IF($NP$24="Single_Point",IF(298=$NR$24,$NN$24,0),IF($NP$24="Bell_Curve",$NN$24*(298-$NR$24+1)*($NS$24-298+1)/$NU$24,$NN$24/$NT$24)),0)</f>
        <v/>
      </c>
      <c r="KQ24" s="228">
        <f>IF(AND(299&gt;=$NR$24,299&lt;=$NS$24),IF($NP$24="Single_Point",IF(299=$NR$24,$NN$24,0),IF($NP$24="Bell_Curve",$NN$24*(299-$NR$24+1)*($NS$24-299+1)/$NU$24,$NN$24/$NT$24)),0)</f>
        <v/>
      </c>
      <c r="KR24" s="228">
        <f>IF(AND(300&gt;=$NR$24,300&lt;=$NS$24),IF($NP$24="Single_Point",IF(300=$NR$24,$NN$24,0),IF($NP$24="Bell_Curve",$NN$24*(300-$NR$24+1)*($NS$24-300+1)/$NU$24,$NN$24/$NT$24)),0)</f>
        <v/>
      </c>
      <c r="KS24" s="228">
        <f>IF(AND(301&gt;=$NR$24,301&lt;=$NS$24),IF($NP$24="Single_Point",IF(301=$NR$24,$NN$24,0),IF($NP$24="Bell_Curve",$NN$24*(301-$NR$24+1)*($NS$24-301+1)/$NU$24,$NN$24/$NT$24)),0)</f>
        <v/>
      </c>
      <c r="KT24" s="228">
        <f>IF(AND(302&gt;=$NR$24,302&lt;=$NS$24),IF($NP$24="Single_Point",IF(302=$NR$24,$NN$24,0),IF($NP$24="Bell_Curve",$NN$24*(302-$NR$24+1)*($NS$24-302+1)/$NU$24,$NN$24/$NT$24)),0)</f>
        <v/>
      </c>
      <c r="KU24" s="228">
        <f>IF(AND(303&gt;=$NR$24,303&lt;=$NS$24),IF($NP$24="Single_Point",IF(303=$NR$24,$NN$24,0),IF($NP$24="Bell_Curve",$NN$24*(303-$NR$24+1)*($NS$24-303+1)/$NU$24,$NN$24/$NT$24)),0)</f>
        <v/>
      </c>
      <c r="KV24" s="228">
        <f>IF(AND(304&gt;=$NR$24,304&lt;=$NS$24),IF($NP$24="Single_Point",IF(304=$NR$24,$NN$24,0),IF($NP$24="Bell_Curve",$NN$24*(304-$NR$24+1)*($NS$24-304+1)/$NU$24,$NN$24/$NT$24)),0)</f>
        <v/>
      </c>
      <c r="KW24" s="228">
        <f>IF(AND(305&gt;=$NR$24,305&lt;=$NS$24),IF($NP$24="Single_Point",IF(305=$NR$24,$NN$24,0),IF($NP$24="Bell_Curve",$NN$24*(305-$NR$24+1)*($NS$24-305+1)/$NU$24,$NN$24/$NT$24)),0)</f>
        <v/>
      </c>
      <c r="KX24" s="228">
        <f>IF(AND(306&gt;=$NR$24,306&lt;=$NS$24),IF($NP$24="Single_Point",IF(306=$NR$24,$NN$24,0),IF($NP$24="Bell_Curve",$NN$24*(306-$NR$24+1)*($NS$24-306+1)/$NU$24,$NN$24/$NT$24)),0)</f>
        <v/>
      </c>
      <c r="KY24" s="228">
        <f>IF(AND(307&gt;=$NR$24,307&lt;=$NS$24),IF($NP$24="Single_Point",IF(307=$NR$24,$NN$24,0),IF($NP$24="Bell_Curve",$NN$24*(307-$NR$24+1)*($NS$24-307+1)/$NU$24,$NN$24/$NT$24)),0)</f>
        <v/>
      </c>
      <c r="KZ24" s="228">
        <f>IF(AND(308&gt;=$NR$24,308&lt;=$NS$24),IF($NP$24="Single_Point",IF(308=$NR$24,$NN$24,0),IF($NP$24="Bell_Curve",$NN$24*(308-$NR$24+1)*($NS$24-308+1)/$NU$24,$NN$24/$NT$24)),0)</f>
        <v/>
      </c>
      <c r="LA24" s="228">
        <f>IF(AND(309&gt;=$NR$24,309&lt;=$NS$24),IF($NP$24="Single_Point",IF(309=$NR$24,$NN$24,0),IF($NP$24="Bell_Curve",$NN$24*(309-$NR$24+1)*($NS$24-309+1)/$NU$24,$NN$24/$NT$24)),0)</f>
        <v/>
      </c>
      <c r="LB24" s="228">
        <f>IF(AND(310&gt;=$NR$24,310&lt;=$NS$24),IF($NP$24="Single_Point",IF(310=$NR$24,$NN$24,0),IF($NP$24="Bell_Curve",$NN$24*(310-$NR$24+1)*($NS$24-310+1)/$NU$24,$NN$24/$NT$24)),0)</f>
        <v/>
      </c>
      <c r="LC24" s="228">
        <f>IF(AND(311&gt;=$NR$24,311&lt;=$NS$24),IF($NP$24="Single_Point",IF(311=$NR$24,$NN$24,0),IF($NP$24="Bell_Curve",$NN$24*(311-$NR$24+1)*($NS$24-311+1)/$NU$24,$NN$24/$NT$24)),0)</f>
        <v/>
      </c>
      <c r="LD24" s="228">
        <f>IF(AND(312&gt;=$NR$24,312&lt;=$NS$24),IF($NP$24="Single_Point",IF(312=$NR$24,$NN$24,0),IF($NP$24="Bell_Curve",$NN$24*(312-$NR$24+1)*($NS$24-312+1)/$NU$24,$NN$24/$NT$24)),0)</f>
        <v/>
      </c>
      <c r="LE24" s="228">
        <f>IF(AND(313&gt;=$NR$24,313&lt;=$NS$24),IF($NP$24="Single_Point",IF(313=$NR$24,$NN$24,0),IF($NP$24="Bell_Curve",$NN$24*(313-$NR$24+1)*($NS$24-313+1)/$NU$24,$NN$24/$NT$24)),0)</f>
        <v/>
      </c>
      <c r="LF24" s="228">
        <f>IF(AND(314&gt;=$NR$24,314&lt;=$NS$24),IF($NP$24="Single_Point",IF(314=$NR$24,$NN$24,0),IF($NP$24="Bell_Curve",$NN$24*(314-$NR$24+1)*($NS$24-314+1)/$NU$24,$NN$24/$NT$24)),0)</f>
        <v/>
      </c>
      <c r="LG24" s="228">
        <f>IF(AND(315&gt;=$NR$24,315&lt;=$NS$24),IF($NP$24="Single_Point",IF(315=$NR$24,$NN$24,0),IF($NP$24="Bell_Curve",$NN$24*(315-$NR$24+1)*($NS$24-315+1)/$NU$24,$NN$24/$NT$24)),0)</f>
        <v/>
      </c>
      <c r="LH24" s="228">
        <f>IF(AND(316&gt;=$NR$24,316&lt;=$NS$24),IF($NP$24="Single_Point",IF(316=$NR$24,$NN$24,0),IF($NP$24="Bell_Curve",$NN$24*(316-$NR$24+1)*($NS$24-316+1)/$NU$24,$NN$24/$NT$24)),0)</f>
        <v/>
      </c>
      <c r="LI24" s="228">
        <f>IF(AND(317&gt;=$NR$24,317&lt;=$NS$24),IF($NP$24="Single_Point",IF(317=$NR$24,$NN$24,0),IF($NP$24="Bell_Curve",$NN$24*(317-$NR$24+1)*($NS$24-317+1)/$NU$24,$NN$24/$NT$24)),0)</f>
        <v/>
      </c>
      <c r="LJ24" s="228">
        <f>IF(AND(318&gt;=$NR$24,318&lt;=$NS$24),IF($NP$24="Single_Point",IF(318=$NR$24,$NN$24,0),IF($NP$24="Bell_Curve",$NN$24*(318-$NR$24+1)*($NS$24-318+1)/$NU$24,$NN$24/$NT$24)),0)</f>
        <v/>
      </c>
      <c r="LK24" s="228">
        <f>IF(AND(319&gt;=$NR$24,319&lt;=$NS$24),IF($NP$24="Single_Point",IF(319=$NR$24,$NN$24,0),IF($NP$24="Bell_Curve",$NN$24*(319-$NR$24+1)*($NS$24-319+1)/$NU$24,$NN$24/$NT$24)),0)</f>
        <v/>
      </c>
      <c r="LL24" s="228">
        <f>IF(AND(320&gt;=$NR$24,320&lt;=$NS$24),IF($NP$24="Single_Point",IF(320=$NR$24,$NN$24,0),IF($NP$24="Bell_Curve",$NN$24*(320-$NR$24+1)*($NS$24-320+1)/$NU$24,$NN$24/$NT$24)),0)</f>
        <v/>
      </c>
      <c r="LM24" s="228">
        <f>IF(AND(321&gt;=$NR$24,321&lt;=$NS$24),IF($NP$24="Single_Point",IF(321=$NR$24,$NN$24,0),IF($NP$24="Bell_Curve",$NN$24*(321-$NR$24+1)*($NS$24-321+1)/$NU$24,$NN$24/$NT$24)),0)</f>
        <v/>
      </c>
      <c r="LN24" s="228">
        <f>IF(AND(322&gt;=$NR$24,322&lt;=$NS$24),IF($NP$24="Single_Point",IF(322=$NR$24,$NN$24,0),IF($NP$24="Bell_Curve",$NN$24*(322-$NR$24+1)*($NS$24-322+1)/$NU$24,$NN$24/$NT$24)),0)</f>
        <v/>
      </c>
      <c r="LO24" s="228">
        <f>IF(AND(323&gt;=$NR$24,323&lt;=$NS$24),IF($NP$24="Single_Point",IF(323=$NR$24,$NN$24,0),IF($NP$24="Bell_Curve",$NN$24*(323-$NR$24+1)*($NS$24-323+1)/$NU$24,$NN$24/$NT$24)),0)</f>
        <v/>
      </c>
      <c r="LP24" s="228">
        <f>IF(AND(324&gt;=$NR$24,324&lt;=$NS$24),IF($NP$24="Single_Point",IF(324=$NR$24,$NN$24,0),IF($NP$24="Bell_Curve",$NN$24*(324-$NR$24+1)*($NS$24-324+1)/$NU$24,$NN$24/$NT$24)),0)</f>
        <v/>
      </c>
      <c r="LQ24" s="228">
        <f>IF(AND(325&gt;=$NR$24,325&lt;=$NS$24),IF($NP$24="Single_Point",IF(325=$NR$24,$NN$24,0),IF($NP$24="Bell_Curve",$NN$24*(325-$NR$24+1)*($NS$24-325+1)/$NU$24,$NN$24/$NT$24)),0)</f>
        <v/>
      </c>
      <c r="LR24" s="228">
        <f>IF(AND(326&gt;=$NR$24,326&lt;=$NS$24),IF($NP$24="Single_Point",IF(326=$NR$24,$NN$24,0),IF($NP$24="Bell_Curve",$NN$24*(326-$NR$24+1)*($NS$24-326+1)/$NU$24,$NN$24/$NT$24)),0)</f>
        <v/>
      </c>
      <c r="LS24" s="228">
        <f>IF(AND(327&gt;=$NR$24,327&lt;=$NS$24),IF($NP$24="Single_Point",IF(327=$NR$24,$NN$24,0),IF($NP$24="Bell_Curve",$NN$24*(327-$NR$24+1)*($NS$24-327+1)/$NU$24,$NN$24/$NT$24)),0)</f>
        <v/>
      </c>
      <c r="LT24" s="228">
        <f>IF(AND(328&gt;=$NR$24,328&lt;=$NS$24),IF($NP$24="Single_Point",IF(328=$NR$24,$NN$24,0),IF($NP$24="Bell_Curve",$NN$24*(328-$NR$24+1)*($NS$24-328+1)/$NU$24,$NN$24/$NT$24)),0)</f>
        <v/>
      </c>
      <c r="LU24" s="228">
        <f>IF(AND(329&gt;=$NR$24,329&lt;=$NS$24),IF($NP$24="Single_Point",IF(329=$NR$24,$NN$24,0),IF($NP$24="Bell_Curve",$NN$24*(329-$NR$24+1)*($NS$24-329+1)/$NU$24,$NN$24/$NT$24)),0)</f>
        <v/>
      </c>
      <c r="LV24" s="228">
        <f>IF(AND(330&gt;=$NR$24,330&lt;=$NS$24),IF($NP$24="Single_Point",IF(330=$NR$24,$NN$24,0),IF($NP$24="Bell_Curve",$NN$24*(330-$NR$24+1)*($NS$24-330+1)/$NU$24,$NN$24/$NT$24)),0)</f>
        <v/>
      </c>
      <c r="LW24" s="228">
        <f>IF(AND(331&gt;=$NR$24,331&lt;=$NS$24),IF($NP$24="Single_Point",IF(331=$NR$24,$NN$24,0),IF($NP$24="Bell_Curve",$NN$24*(331-$NR$24+1)*($NS$24-331+1)/$NU$24,$NN$24/$NT$24)),0)</f>
        <v/>
      </c>
      <c r="LX24" s="228">
        <f>IF(AND(332&gt;=$NR$24,332&lt;=$NS$24),IF($NP$24="Single_Point",IF(332=$NR$24,$NN$24,0),IF($NP$24="Bell_Curve",$NN$24*(332-$NR$24+1)*($NS$24-332+1)/$NU$24,$NN$24/$NT$24)),0)</f>
        <v/>
      </c>
      <c r="LY24" s="228">
        <f>IF(AND(333&gt;=$NR$24,333&lt;=$NS$24),IF($NP$24="Single_Point",IF(333=$NR$24,$NN$24,0),IF($NP$24="Bell_Curve",$NN$24*(333-$NR$24+1)*($NS$24-333+1)/$NU$24,$NN$24/$NT$24)),0)</f>
        <v/>
      </c>
      <c r="LZ24" s="228">
        <f>IF(AND(334&gt;=$NR$24,334&lt;=$NS$24),IF($NP$24="Single_Point",IF(334=$NR$24,$NN$24,0),IF($NP$24="Bell_Curve",$NN$24*(334-$NR$24+1)*($NS$24-334+1)/$NU$24,$NN$24/$NT$24)),0)</f>
        <v/>
      </c>
      <c r="MA24" s="228">
        <f>IF(AND(335&gt;=$NR$24,335&lt;=$NS$24),IF($NP$24="Single_Point",IF(335=$NR$24,$NN$24,0),IF($NP$24="Bell_Curve",$NN$24*(335-$NR$24+1)*($NS$24-335+1)/$NU$24,$NN$24/$NT$24)),0)</f>
        <v/>
      </c>
      <c r="MB24" s="228">
        <f>IF(AND(336&gt;=$NR$24,336&lt;=$NS$24),IF($NP$24="Single_Point",IF(336=$NR$24,$NN$24,0),IF($NP$24="Bell_Curve",$NN$24*(336-$NR$24+1)*($NS$24-336+1)/$NU$24,$NN$24/$NT$24)),0)</f>
        <v/>
      </c>
      <c r="MC24" s="228">
        <f>IF(AND(337&gt;=$NR$24,337&lt;=$NS$24),IF($NP$24="Single_Point",IF(337=$NR$24,$NN$24,0),IF($NP$24="Bell_Curve",$NN$24*(337-$NR$24+1)*($NS$24-337+1)/$NU$24,$NN$24/$NT$24)),0)</f>
        <v/>
      </c>
      <c r="MD24" s="228">
        <f>IF(AND(338&gt;=$NR$24,338&lt;=$NS$24),IF($NP$24="Single_Point",IF(338=$NR$24,$NN$24,0),IF($NP$24="Bell_Curve",$NN$24*(338-$NR$24+1)*($NS$24-338+1)/$NU$24,$NN$24/$NT$24)),0)</f>
        <v/>
      </c>
      <c r="ME24" s="228">
        <f>IF(AND(339&gt;=$NR$24,339&lt;=$NS$24),IF($NP$24="Single_Point",IF(339=$NR$24,$NN$24,0),IF($NP$24="Bell_Curve",$NN$24*(339-$NR$24+1)*($NS$24-339+1)/$NU$24,$NN$24/$NT$24)),0)</f>
        <v/>
      </c>
      <c r="MF24" s="228">
        <f>IF(AND(340&gt;=$NR$24,340&lt;=$NS$24),IF($NP$24="Single_Point",IF(340=$NR$24,$NN$24,0),IF($NP$24="Bell_Curve",$NN$24*(340-$NR$24+1)*($NS$24-340+1)/$NU$24,$NN$24/$NT$24)),0)</f>
        <v/>
      </c>
      <c r="MG24" s="228">
        <f>IF(AND(341&gt;=$NR$24,341&lt;=$NS$24),IF($NP$24="Single_Point",IF(341=$NR$24,$NN$24,0),IF($NP$24="Bell_Curve",$NN$24*(341-$NR$24+1)*($NS$24-341+1)/$NU$24,$NN$24/$NT$24)),0)</f>
        <v/>
      </c>
      <c r="MH24" s="228">
        <f>IF(AND(342&gt;=$NR$24,342&lt;=$NS$24),IF($NP$24="Single_Point",IF(342=$NR$24,$NN$24,0),IF($NP$24="Bell_Curve",$NN$24*(342-$NR$24+1)*($NS$24-342+1)/$NU$24,$NN$24/$NT$24)),0)</f>
        <v/>
      </c>
      <c r="MI24" s="228">
        <f>IF(AND(343&gt;=$NR$24,343&lt;=$NS$24),IF($NP$24="Single_Point",IF(343=$NR$24,$NN$24,0),IF($NP$24="Bell_Curve",$NN$24*(343-$NR$24+1)*($NS$24-343+1)/$NU$24,$NN$24/$NT$24)),0)</f>
        <v/>
      </c>
      <c r="MJ24" s="228">
        <f>IF(AND(344&gt;=$NR$24,344&lt;=$NS$24),IF($NP$24="Single_Point",IF(344=$NR$24,$NN$24,0),IF($NP$24="Bell_Curve",$NN$24*(344-$NR$24+1)*($NS$24-344+1)/$NU$24,$NN$24/$NT$24)),0)</f>
        <v/>
      </c>
      <c r="MK24" s="228">
        <f>IF(AND(345&gt;=$NR$24,345&lt;=$NS$24),IF($NP$24="Single_Point",IF(345=$NR$24,$NN$24,0),IF($NP$24="Bell_Curve",$NN$24*(345-$NR$24+1)*($NS$24-345+1)/$NU$24,$NN$24/$NT$24)),0)</f>
        <v/>
      </c>
      <c r="ML24" s="228">
        <f>IF(AND(346&gt;=$NR$24,346&lt;=$NS$24),IF($NP$24="Single_Point",IF(346=$NR$24,$NN$24,0),IF($NP$24="Bell_Curve",$NN$24*(346-$NR$24+1)*($NS$24-346+1)/$NU$24,$NN$24/$NT$24)),0)</f>
        <v/>
      </c>
      <c r="MM24" s="228">
        <f>IF(AND(347&gt;=$NR$24,347&lt;=$NS$24),IF($NP$24="Single_Point",IF(347=$NR$24,$NN$24,0),IF($NP$24="Bell_Curve",$NN$24*(347-$NR$24+1)*($NS$24-347+1)/$NU$24,$NN$24/$NT$24)),0)</f>
        <v/>
      </c>
      <c r="MN24" s="228">
        <f>IF(AND(348&gt;=$NR$24,348&lt;=$NS$24),IF($NP$24="Single_Point",IF(348=$NR$24,$NN$24,0),IF($NP$24="Bell_Curve",$NN$24*(348-$NR$24+1)*($NS$24-348+1)/$NU$24,$NN$24/$NT$24)),0)</f>
        <v/>
      </c>
      <c r="MO24" s="228">
        <f>IF(AND(349&gt;=$NR$24,349&lt;=$NS$24),IF($NP$24="Single_Point",IF(349=$NR$24,$NN$24,0),IF($NP$24="Bell_Curve",$NN$24*(349-$NR$24+1)*($NS$24-349+1)/$NU$24,$NN$24/$NT$24)),0)</f>
        <v/>
      </c>
      <c r="MP24" s="228">
        <f>IF(AND(350&gt;=$NR$24,350&lt;=$NS$24),IF($NP$24="Single_Point",IF(350=$NR$24,$NN$24,0),IF($NP$24="Bell_Curve",$NN$24*(350-$NR$24+1)*($NS$24-350+1)/$NU$24,$NN$24/$NT$24)),0)</f>
        <v/>
      </c>
      <c r="MQ24" s="228">
        <f>IF(AND(351&gt;=$NR$24,351&lt;=$NS$24),IF($NP$24="Single_Point",IF(351=$NR$24,$NN$24,0),IF($NP$24="Bell_Curve",$NN$24*(351-$NR$24+1)*($NS$24-351+1)/$NU$24,$NN$24/$NT$24)),0)</f>
        <v/>
      </c>
      <c r="MR24" s="228">
        <f>IF(AND(352&gt;=$NR$24,352&lt;=$NS$24),IF($NP$24="Single_Point",IF(352=$NR$24,$NN$24,0),IF($NP$24="Bell_Curve",$NN$24*(352-$NR$24+1)*($NS$24-352+1)/$NU$24,$NN$24/$NT$24)),0)</f>
        <v/>
      </c>
      <c r="MS24" s="228">
        <f>IF(AND(353&gt;=$NR$24,353&lt;=$NS$24),IF($NP$24="Single_Point",IF(353=$NR$24,$NN$24,0),IF($NP$24="Bell_Curve",$NN$24*(353-$NR$24+1)*($NS$24-353+1)/$NU$24,$NN$24/$NT$24)),0)</f>
        <v/>
      </c>
      <c r="MT24" s="228">
        <f>IF(AND(354&gt;=$NR$24,354&lt;=$NS$24),IF($NP$24="Single_Point",IF(354=$NR$24,$NN$24,0),IF($NP$24="Bell_Curve",$NN$24*(354-$NR$24+1)*($NS$24-354+1)/$NU$24,$NN$24/$NT$24)),0)</f>
        <v/>
      </c>
      <c r="MU24" s="228">
        <f>IF(AND(355&gt;=$NR$24,355&lt;=$NS$24),IF($NP$24="Single_Point",IF(355=$NR$24,$NN$24,0),IF($NP$24="Bell_Curve",$NN$24*(355-$NR$24+1)*($NS$24-355+1)/$NU$24,$NN$24/$NT$24)),0)</f>
        <v/>
      </c>
      <c r="MV24" s="228">
        <f>IF(AND(356&gt;=$NR$24,356&lt;=$NS$24),IF($NP$24="Single_Point",IF(356=$NR$24,$NN$24,0),IF($NP$24="Bell_Curve",$NN$24*(356-$NR$24+1)*($NS$24-356+1)/$NU$24,$NN$24/$NT$24)),0)</f>
        <v/>
      </c>
      <c r="MW24" s="228">
        <f>IF(AND(357&gt;=$NR$24,357&lt;=$NS$24),IF($NP$24="Single_Point",IF(357=$NR$24,$NN$24,0),IF($NP$24="Bell_Curve",$NN$24*(357-$NR$24+1)*($NS$24-357+1)/$NU$24,$NN$24/$NT$24)),0)</f>
        <v/>
      </c>
      <c r="MX24" s="228">
        <f>IF(AND(358&gt;=$NR$24,358&lt;=$NS$24),IF($NP$24="Single_Point",IF(358=$NR$24,$NN$24,0),IF($NP$24="Bell_Curve",$NN$24*(358-$NR$24+1)*($NS$24-358+1)/$NU$24,$NN$24/$NT$24)),0)</f>
        <v/>
      </c>
      <c r="MY24" s="228">
        <f>IF(AND(359&gt;=$NR$24,359&lt;=$NS$24),IF($NP$24="Single_Point",IF(359=$NR$24,$NN$24,0),IF($NP$24="Bell_Curve",$NN$24*(359-$NR$24+1)*($NS$24-359+1)/$NU$24,$NN$24/$NT$24)),0)</f>
        <v/>
      </c>
      <c r="MZ24" s="228">
        <f>IF(AND(360&gt;=$NR$24,360&lt;=$NS$24),IF($NP$24="Single_Point",IF(360=$NR$24,$NN$24,0),IF($NP$24="Bell_Curve",$NN$24*(360-$NR$24+1)*($NS$24-360+1)/$NU$24,$NN$24/$NT$24)),0)</f>
        <v/>
      </c>
      <c r="NA24" s="228">
        <f>IF(AND(361&gt;=$NR$24,361&lt;=$NS$24),IF($NP$24="Single_Point",IF(361=$NR$24,$NN$24,0),IF($NP$24="Bell_Curve",$NN$24*(361-$NR$24+1)*($NS$24-361+1)/$NU$24,$NN$24/$NT$24)),0)</f>
        <v/>
      </c>
      <c r="NB24" s="228">
        <f>IF(AND(362&gt;=$NR$24,362&lt;=$NS$24),IF($NP$24="Single_Point",IF(362=$NR$24,$NN$24,0),IF($NP$24="Bell_Curve",$NN$24*(362-$NR$24+1)*($NS$24-362+1)/$NU$24,$NN$24/$NT$24)),0)</f>
        <v/>
      </c>
      <c r="NC24" s="228">
        <f>IF(AND(363&gt;=$NR$24,363&lt;=$NS$24),IF($NP$24="Single_Point",IF(363=$NR$24,$NN$24,0),IF($NP$24="Bell_Curve",$NN$24*(363-$NR$24+1)*($NS$24-363+1)/$NU$24,$NN$24/$NT$24)),0)</f>
        <v/>
      </c>
      <c r="ND24" s="228">
        <f>IF(AND(364&gt;=$NR$24,364&lt;=$NS$24),IF($NP$24="Single_Point",IF(364=$NR$24,$NN$24,0),IF($NP$24="Bell_Curve",$NN$24*(364-$NR$24+1)*($NS$24-364+1)/$NU$24,$NN$24/$NT$24)),0)</f>
        <v/>
      </c>
      <c r="NE24" s="228">
        <f>IF(AND(365&gt;=$NR$24,365&lt;=$NS$24),IF($NP$24="Single_Point",IF(365=$NR$24,$NN$24,0),IF($NP$24="Bell_Curve",$NN$24*(365-$NR$24+1)*($NS$24-365+1)/$NU$24,$NN$24/$NT$24)),0)</f>
        <v/>
      </c>
      <c r="NF24" s="228">
        <f>IF(AND(366&gt;=$NR$24,366&lt;=$NS$24),IF($NP$24="Single_Point",IF(366=$NR$24,$NN$24,0),IF($NP$24="Bell_Curve",$NN$24*(366-$NR$24+1)*($NS$24-366+1)/$NU$24,$NN$24/$NT$24)),0)</f>
        <v/>
      </c>
      <c r="NG24" s="228">
        <f>IF(AND(367&gt;=$NR$24,367&lt;=$NS$24),IF($NP$24="Single_Point",IF(367=$NR$24,$NN$24,0),IF($NP$24="Bell_Curve",$NN$24*(367-$NR$24+1)*($NS$24-367+1)/$NU$24,$NN$24/$NT$24)),0)</f>
        <v/>
      </c>
      <c r="NH24" s="228">
        <f>IF(AND(368&gt;=$NR$24,368&lt;=$NS$24),IF($NP$24="Single_Point",IF(368=$NR$24,$NN$24,0),IF($NP$24="Bell_Curve",$NN$24*(368-$NR$24+1)*($NS$24-368+1)/$NU$24,$NN$24/$NT$24)),0)</f>
        <v/>
      </c>
      <c r="NI24" s="228">
        <f>IF(AND(369&gt;=$NR$24,369&lt;=$NS$24),IF($NP$24="Single_Point",IF(369=$NR$24,$NN$24,0),IF($NP$24="Bell_Curve",$NN$24*(369-$NR$24+1)*($NS$24-369+1)/$NU$24,$NN$24/$NT$24)),0)</f>
        <v/>
      </c>
      <c r="NJ24" s="228">
        <f>IF(AND(370&gt;=$NR$24,370&lt;=$NS$24),IF($NP$24="Single_Point",IF(370=$NR$24,$NN$24,0),IF($NP$24="Bell_Curve",$NN$24*(370-$NR$24+1)*($NS$24-370+1)/$NU$24,$NN$24/$NT$24)),0)</f>
        <v/>
      </c>
      <c r="NK24" s="228">
        <f>IF(AND(371&gt;=$NR$24,371&lt;=$NS$24),IF($NP$24="Single_Point",IF(371=$NR$24,$NN$24,0),IF($NP$24="Bell_Curve",$NN$24*(371-$NR$24+1)*($NS$24-371+1)/$NU$24,$NN$24/$NT$24)),0)</f>
        <v/>
      </c>
      <c r="NL24" s="247">
        <f>IF(AND(372&gt;=$NR$24,372&lt;=$NS$24),IF($NP$24="Single_Point",IF(372=$NR$24,$NN$24,0),IF($NP$24="Bell_Curve",$NN$24*(372-$NR$24+1)*($NS$24-372+1)/$NU$24,$NN$24/$NT$24)),0)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36" t="inlineStr">
        <is>
          <t>Other Soft Cost 5</t>
        </is>
      </c>
      <c r="D25" s="246">
        <f>SUM(E25:NL25)</f>
        <v/>
      </c>
      <c r="E25" s="228">
        <f>IF(AND(1&gt;=$NR$25,1&lt;=$NS$25),IF($NP$25="Single_Point",IF(1=$NR$25,$NN$25,0),IF($NP$25="Bell_Curve",$NN$25*(1-$NR$25+1)*($NS$25-1+1)/$NU$25,$NN$25/$NT$25)),0)</f>
        <v/>
      </c>
      <c r="F25" s="228">
        <f>IF(AND(2&gt;=$NR$25,2&lt;=$NS$25),IF($NP$25="Single_Point",IF(2=$NR$25,$NN$25,0),IF($NP$25="Bell_Curve",$NN$25*(2-$NR$25+1)*($NS$25-2+1)/$NU$25,$NN$25/$NT$25)),0)</f>
        <v/>
      </c>
      <c r="G25" s="228">
        <f>IF(AND(3&gt;=$NR$25,3&lt;=$NS$25),IF($NP$25="Single_Point",IF(3=$NR$25,$NN$25,0),IF($NP$25="Bell_Curve",$NN$25*(3-$NR$25+1)*($NS$25-3+1)/$NU$25,$NN$25/$NT$25)),0)</f>
        <v/>
      </c>
      <c r="H25" s="228">
        <f>IF(AND(4&gt;=$NR$25,4&lt;=$NS$25),IF($NP$25="Single_Point",IF(4=$NR$25,$NN$25,0),IF($NP$25="Bell_Curve",$NN$25*(4-$NR$25+1)*($NS$25-4+1)/$NU$25,$NN$25/$NT$25)),0)</f>
        <v/>
      </c>
      <c r="I25" s="228">
        <f>IF(AND(5&gt;=$NR$25,5&lt;=$NS$25),IF($NP$25="Single_Point",IF(5=$NR$25,$NN$25,0),IF($NP$25="Bell_Curve",$NN$25*(5-$NR$25+1)*($NS$25-5+1)/$NU$25,$NN$25/$NT$25)),0)</f>
        <v/>
      </c>
      <c r="J25" s="228">
        <f>IF(AND(6&gt;=$NR$25,6&lt;=$NS$25),IF($NP$25="Single_Point",IF(6=$NR$25,$NN$25,0),IF($NP$25="Bell_Curve",$NN$25*(6-$NR$25+1)*($NS$25-6+1)/$NU$25,$NN$25/$NT$25)),0)</f>
        <v/>
      </c>
      <c r="K25" s="228">
        <f>IF(AND(7&gt;=$NR$25,7&lt;=$NS$25),IF($NP$25="Single_Point",IF(7=$NR$25,$NN$25,0),IF($NP$25="Bell_Curve",$NN$25*(7-$NR$25+1)*($NS$25-7+1)/$NU$25,$NN$25/$NT$25)),0)</f>
        <v/>
      </c>
      <c r="L25" s="228">
        <f>IF(AND(8&gt;=$NR$25,8&lt;=$NS$25),IF($NP$25="Single_Point",IF(8=$NR$25,$NN$25,0),IF($NP$25="Bell_Curve",$NN$25*(8-$NR$25+1)*($NS$25-8+1)/$NU$25,$NN$25/$NT$25)),0)</f>
        <v/>
      </c>
      <c r="M25" s="228">
        <f>IF(AND(9&gt;=$NR$25,9&lt;=$NS$25),IF($NP$25="Single_Point",IF(9=$NR$25,$NN$25,0),IF($NP$25="Bell_Curve",$NN$25*(9-$NR$25+1)*($NS$25-9+1)/$NU$25,$NN$25/$NT$25)),0)</f>
        <v/>
      </c>
      <c r="N25" s="228">
        <f>IF(AND(10&gt;=$NR$25,10&lt;=$NS$25),IF($NP$25="Single_Point",IF(10=$NR$25,$NN$25,0),IF($NP$25="Bell_Curve",$NN$25*(10-$NR$25+1)*($NS$25-10+1)/$NU$25,$NN$25/$NT$25)),0)</f>
        <v/>
      </c>
      <c r="O25" s="228">
        <f>IF(AND(11&gt;=$NR$25,11&lt;=$NS$25),IF($NP$25="Single_Point",IF(11=$NR$25,$NN$25,0),IF($NP$25="Bell_Curve",$NN$25*(11-$NR$25+1)*($NS$25-11+1)/$NU$25,$NN$25/$NT$25)),0)</f>
        <v/>
      </c>
      <c r="P25" s="228">
        <f>IF(AND(12&gt;=$NR$25,12&lt;=$NS$25),IF($NP$25="Single_Point",IF(12=$NR$25,$NN$25,0),IF($NP$25="Bell_Curve",$NN$25*(12-$NR$25+1)*($NS$25-12+1)/$NU$25,$NN$25/$NT$25)),0)</f>
        <v/>
      </c>
      <c r="Q25" s="228">
        <f>IF(AND(13&gt;=$NR$25,13&lt;=$NS$25),IF($NP$25="Single_Point",IF(13=$NR$25,$NN$25,0),IF($NP$25="Bell_Curve",$NN$25*(13-$NR$25+1)*($NS$25-13+1)/$NU$25,$NN$25/$NT$25)),0)</f>
        <v/>
      </c>
      <c r="R25" s="228">
        <f>IF(AND(14&gt;=$NR$25,14&lt;=$NS$25),IF($NP$25="Single_Point",IF(14=$NR$25,$NN$25,0),IF($NP$25="Bell_Curve",$NN$25*(14-$NR$25+1)*($NS$25-14+1)/$NU$25,$NN$25/$NT$25)),0)</f>
        <v/>
      </c>
      <c r="S25" s="228">
        <f>IF(AND(15&gt;=$NR$25,15&lt;=$NS$25),IF($NP$25="Single_Point",IF(15=$NR$25,$NN$25,0),IF($NP$25="Bell_Curve",$NN$25*(15-$NR$25+1)*($NS$25-15+1)/$NU$25,$NN$25/$NT$25)),0)</f>
        <v/>
      </c>
      <c r="T25" s="228">
        <f>IF(AND(16&gt;=$NR$25,16&lt;=$NS$25),IF($NP$25="Single_Point",IF(16=$NR$25,$NN$25,0),IF($NP$25="Bell_Curve",$NN$25*(16-$NR$25+1)*($NS$25-16+1)/$NU$25,$NN$25/$NT$25)),0)</f>
        <v/>
      </c>
      <c r="U25" s="228">
        <f>IF(AND(17&gt;=$NR$25,17&lt;=$NS$25),IF($NP$25="Single_Point",IF(17=$NR$25,$NN$25,0),IF($NP$25="Bell_Curve",$NN$25*(17-$NR$25+1)*($NS$25-17+1)/$NU$25,$NN$25/$NT$25)),0)</f>
        <v/>
      </c>
      <c r="V25" s="228">
        <f>IF(AND(18&gt;=$NR$25,18&lt;=$NS$25),IF($NP$25="Single_Point",IF(18=$NR$25,$NN$25,0),IF($NP$25="Bell_Curve",$NN$25*(18-$NR$25+1)*($NS$25-18+1)/$NU$25,$NN$25/$NT$25)),0)</f>
        <v/>
      </c>
      <c r="W25" s="228">
        <f>IF(AND(19&gt;=$NR$25,19&lt;=$NS$25),IF($NP$25="Single_Point",IF(19=$NR$25,$NN$25,0),IF($NP$25="Bell_Curve",$NN$25*(19-$NR$25+1)*($NS$25-19+1)/$NU$25,$NN$25/$NT$25)),0)</f>
        <v/>
      </c>
      <c r="X25" s="228">
        <f>IF(AND(20&gt;=$NR$25,20&lt;=$NS$25),IF($NP$25="Single_Point",IF(20=$NR$25,$NN$25,0),IF($NP$25="Bell_Curve",$NN$25*(20-$NR$25+1)*($NS$25-20+1)/$NU$25,$NN$25/$NT$25)),0)</f>
        <v/>
      </c>
      <c r="Y25" s="228">
        <f>IF(AND(21&gt;=$NR$25,21&lt;=$NS$25),IF($NP$25="Single_Point",IF(21=$NR$25,$NN$25,0),IF($NP$25="Bell_Curve",$NN$25*(21-$NR$25+1)*($NS$25-21+1)/$NU$25,$NN$25/$NT$25)),0)</f>
        <v/>
      </c>
      <c r="Z25" s="228">
        <f>IF(AND(22&gt;=$NR$25,22&lt;=$NS$25),IF($NP$25="Single_Point",IF(22=$NR$25,$NN$25,0),IF($NP$25="Bell_Curve",$NN$25*(22-$NR$25+1)*($NS$25-22+1)/$NU$25,$NN$25/$NT$25)),0)</f>
        <v/>
      </c>
      <c r="AA25" s="228">
        <f>IF(AND(23&gt;=$NR$25,23&lt;=$NS$25),IF($NP$25="Single_Point",IF(23=$NR$25,$NN$25,0),IF($NP$25="Bell_Curve",$NN$25*(23-$NR$25+1)*($NS$25-23+1)/$NU$25,$NN$25/$NT$25)),0)</f>
        <v/>
      </c>
      <c r="AB25" s="228">
        <f>IF(AND(24&gt;=$NR$25,24&lt;=$NS$25),IF($NP$25="Single_Point",IF(24=$NR$25,$NN$25,0),IF($NP$25="Bell_Curve",$NN$25*(24-$NR$25+1)*($NS$25-24+1)/$NU$25,$NN$25/$NT$25)),0)</f>
        <v/>
      </c>
      <c r="AC25" s="228">
        <f>IF(AND(25&gt;=$NR$25,25&lt;=$NS$25),IF($NP$25="Single_Point",IF(25=$NR$25,$NN$25,0),IF($NP$25="Bell_Curve",$NN$25*(25-$NR$25+1)*($NS$25-25+1)/$NU$25,$NN$25/$NT$25)),0)</f>
        <v/>
      </c>
      <c r="AD25" s="228">
        <f>IF(AND(26&gt;=$NR$25,26&lt;=$NS$25),IF($NP$25="Single_Point",IF(26=$NR$25,$NN$25,0),IF($NP$25="Bell_Curve",$NN$25*(26-$NR$25+1)*($NS$25-26+1)/$NU$25,$NN$25/$NT$25)),0)</f>
        <v/>
      </c>
      <c r="AE25" s="228">
        <f>IF(AND(27&gt;=$NR$25,27&lt;=$NS$25),IF($NP$25="Single_Point",IF(27=$NR$25,$NN$25,0),IF($NP$25="Bell_Curve",$NN$25*(27-$NR$25+1)*($NS$25-27+1)/$NU$25,$NN$25/$NT$25)),0)</f>
        <v/>
      </c>
      <c r="AF25" s="228">
        <f>IF(AND(28&gt;=$NR$25,28&lt;=$NS$25),IF($NP$25="Single_Point",IF(28=$NR$25,$NN$25,0),IF($NP$25="Bell_Curve",$NN$25*(28-$NR$25+1)*($NS$25-28+1)/$NU$25,$NN$25/$NT$25)),0)</f>
        <v/>
      </c>
      <c r="AG25" s="228">
        <f>IF(AND(29&gt;=$NR$25,29&lt;=$NS$25),IF($NP$25="Single_Point",IF(29=$NR$25,$NN$25,0),IF($NP$25="Bell_Curve",$NN$25*(29-$NR$25+1)*($NS$25-29+1)/$NU$25,$NN$25/$NT$25)),0)</f>
        <v/>
      </c>
      <c r="AH25" s="228">
        <f>IF(AND(30&gt;=$NR$25,30&lt;=$NS$25),IF($NP$25="Single_Point",IF(30=$NR$25,$NN$25,0),IF($NP$25="Bell_Curve",$NN$25*(30-$NR$25+1)*($NS$25-30+1)/$NU$25,$NN$25/$NT$25)),0)</f>
        <v/>
      </c>
      <c r="AI25" s="228">
        <f>IF(AND(31&gt;=$NR$25,31&lt;=$NS$25),IF($NP$25="Single_Point",IF(31=$NR$25,$NN$25,0),IF($NP$25="Bell_Curve",$NN$25*(31-$NR$25+1)*($NS$25-31+1)/$NU$25,$NN$25/$NT$25)),0)</f>
        <v/>
      </c>
      <c r="AJ25" s="228">
        <f>IF(AND(32&gt;=$NR$25,32&lt;=$NS$25),IF($NP$25="Single_Point",IF(32=$NR$25,$NN$25,0),IF($NP$25="Bell_Curve",$NN$25*(32-$NR$25+1)*($NS$25-32+1)/$NU$25,$NN$25/$NT$25)),0)</f>
        <v/>
      </c>
      <c r="AK25" s="228">
        <f>IF(AND(33&gt;=$NR$25,33&lt;=$NS$25),IF($NP$25="Single_Point",IF(33=$NR$25,$NN$25,0),IF($NP$25="Bell_Curve",$NN$25*(33-$NR$25+1)*($NS$25-33+1)/$NU$25,$NN$25/$NT$25)),0)</f>
        <v/>
      </c>
      <c r="AL25" s="228">
        <f>IF(AND(34&gt;=$NR$25,34&lt;=$NS$25),IF($NP$25="Single_Point",IF(34=$NR$25,$NN$25,0),IF($NP$25="Bell_Curve",$NN$25*(34-$NR$25+1)*($NS$25-34+1)/$NU$25,$NN$25/$NT$25)),0)</f>
        <v/>
      </c>
      <c r="AM25" s="228">
        <f>IF(AND(35&gt;=$NR$25,35&lt;=$NS$25),IF($NP$25="Single_Point",IF(35=$NR$25,$NN$25,0),IF($NP$25="Bell_Curve",$NN$25*(35-$NR$25+1)*($NS$25-35+1)/$NU$25,$NN$25/$NT$25)),0)</f>
        <v/>
      </c>
      <c r="AN25" s="228">
        <f>IF(AND(36&gt;=$NR$25,36&lt;=$NS$25),IF($NP$25="Single_Point",IF(36=$NR$25,$NN$25,0),IF($NP$25="Bell_Curve",$NN$25*(36-$NR$25+1)*($NS$25-36+1)/$NU$25,$NN$25/$NT$25)),0)</f>
        <v/>
      </c>
      <c r="AO25" s="228">
        <f>IF(AND(37&gt;=$NR$25,37&lt;=$NS$25),IF($NP$25="Single_Point",IF(37=$NR$25,$NN$25,0),IF($NP$25="Bell_Curve",$NN$25*(37-$NR$25+1)*($NS$25-37+1)/$NU$25,$NN$25/$NT$25)),0)</f>
        <v/>
      </c>
      <c r="AP25" s="228">
        <f>IF(AND(38&gt;=$NR$25,38&lt;=$NS$25),IF($NP$25="Single_Point",IF(38=$NR$25,$NN$25,0),IF($NP$25="Bell_Curve",$NN$25*(38-$NR$25+1)*($NS$25-38+1)/$NU$25,$NN$25/$NT$25)),0)</f>
        <v/>
      </c>
      <c r="AQ25" s="228">
        <f>IF(AND(39&gt;=$NR$25,39&lt;=$NS$25),IF($NP$25="Single_Point",IF(39=$NR$25,$NN$25,0),IF($NP$25="Bell_Curve",$NN$25*(39-$NR$25+1)*($NS$25-39+1)/$NU$25,$NN$25/$NT$25)),0)</f>
        <v/>
      </c>
      <c r="AR25" s="228">
        <f>IF(AND(40&gt;=$NR$25,40&lt;=$NS$25),IF($NP$25="Single_Point",IF(40=$NR$25,$NN$25,0),IF($NP$25="Bell_Curve",$NN$25*(40-$NR$25+1)*($NS$25-40+1)/$NU$25,$NN$25/$NT$25)),0)</f>
        <v/>
      </c>
      <c r="AS25" s="228">
        <f>IF(AND(41&gt;=$NR$25,41&lt;=$NS$25),IF($NP$25="Single_Point",IF(41=$NR$25,$NN$25,0),IF($NP$25="Bell_Curve",$NN$25*(41-$NR$25+1)*($NS$25-41+1)/$NU$25,$NN$25/$NT$25)),0)</f>
        <v/>
      </c>
      <c r="AT25" s="228">
        <f>IF(AND(42&gt;=$NR$25,42&lt;=$NS$25),IF($NP$25="Single_Point",IF(42=$NR$25,$NN$25,0),IF($NP$25="Bell_Curve",$NN$25*(42-$NR$25+1)*($NS$25-42+1)/$NU$25,$NN$25/$NT$25)),0)</f>
        <v/>
      </c>
      <c r="AU25" s="228">
        <f>IF(AND(43&gt;=$NR$25,43&lt;=$NS$25),IF($NP$25="Single_Point",IF(43=$NR$25,$NN$25,0),IF($NP$25="Bell_Curve",$NN$25*(43-$NR$25+1)*($NS$25-43+1)/$NU$25,$NN$25/$NT$25)),0)</f>
        <v/>
      </c>
      <c r="AV25" s="228">
        <f>IF(AND(44&gt;=$NR$25,44&lt;=$NS$25),IF($NP$25="Single_Point",IF(44=$NR$25,$NN$25,0),IF($NP$25="Bell_Curve",$NN$25*(44-$NR$25+1)*($NS$25-44+1)/$NU$25,$NN$25/$NT$25)),0)</f>
        <v/>
      </c>
      <c r="AW25" s="228">
        <f>IF(AND(45&gt;=$NR$25,45&lt;=$NS$25),IF($NP$25="Single_Point",IF(45=$NR$25,$NN$25,0),IF($NP$25="Bell_Curve",$NN$25*(45-$NR$25+1)*($NS$25-45+1)/$NU$25,$NN$25/$NT$25)),0)</f>
        <v/>
      </c>
      <c r="AX25" s="228">
        <f>IF(AND(46&gt;=$NR$25,46&lt;=$NS$25),IF($NP$25="Single_Point",IF(46=$NR$25,$NN$25,0),IF($NP$25="Bell_Curve",$NN$25*(46-$NR$25+1)*($NS$25-46+1)/$NU$25,$NN$25/$NT$25)),0)</f>
        <v/>
      </c>
      <c r="AY25" s="228">
        <f>IF(AND(47&gt;=$NR$25,47&lt;=$NS$25),IF($NP$25="Single_Point",IF(47=$NR$25,$NN$25,0),IF($NP$25="Bell_Curve",$NN$25*(47-$NR$25+1)*($NS$25-47+1)/$NU$25,$NN$25/$NT$25)),0)</f>
        <v/>
      </c>
      <c r="AZ25" s="228">
        <f>IF(AND(48&gt;=$NR$25,48&lt;=$NS$25),IF($NP$25="Single_Point",IF(48=$NR$25,$NN$25,0),IF($NP$25="Bell_Curve",$NN$25*(48-$NR$25+1)*($NS$25-48+1)/$NU$25,$NN$25/$NT$25)),0)</f>
        <v/>
      </c>
      <c r="BA25" s="228">
        <f>IF(AND(49&gt;=$NR$25,49&lt;=$NS$25),IF($NP$25="Single_Point",IF(49=$NR$25,$NN$25,0),IF($NP$25="Bell_Curve",$NN$25*(49-$NR$25+1)*($NS$25-49+1)/$NU$25,$NN$25/$NT$25)),0)</f>
        <v/>
      </c>
      <c r="BB25" s="228">
        <f>IF(AND(50&gt;=$NR$25,50&lt;=$NS$25),IF($NP$25="Single_Point",IF(50=$NR$25,$NN$25,0),IF($NP$25="Bell_Curve",$NN$25*(50-$NR$25+1)*($NS$25-50+1)/$NU$25,$NN$25/$NT$25)),0)</f>
        <v/>
      </c>
      <c r="BC25" s="228">
        <f>IF(AND(51&gt;=$NR$25,51&lt;=$NS$25),IF($NP$25="Single_Point",IF(51=$NR$25,$NN$25,0),IF($NP$25="Bell_Curve",$NN$25*(51-$NR$25+1)*($NS$25-51+1)/$NU$25,$NN$25/$NT$25)),0)</f>
        <v/>
      </c>
      <c r="BD25" s="228">
        <f>IF(AND(52&gt;=$NR$25,52&lt;=$NS$25),IF($NP$25="Single_Point",IF(52=$NR$25,$NN$25,0),IF($NP$25="Bell_Curve",$NN$25*(52-$NR$25+1)*($NS$25-52+1)/$NU$25,$NN$25/$NT$25)),0)</f>
        <v/>
      </c>
      <c r="BE25" s="228">
        <f>IF(AND(53&gt;=$NR$25,53&lt;=$NS$25),IF($NP$25="Single_Point",IF(53=$NR$25,$NN$25,0),IF($NP$25="Bell_Curve",$NN$25*(53-$NR$25+1)*($NS$25-53+1)/$NU$25,$NN$25/$NT$25)),0)</f>
        <v/>
      </c>
      <c r="BF25" s="228">
        <f>IF(AND(54&gt;=$NR$25,54&lt;=$NS$25),IF($NP$25="Single_Point",IF(54=$NR$25,$NN$25,0),IF($NP$25="Bell_Curve",$NN$25*(54-$NR$25+1)*($NS$25-54+1)/$NU$25,$NN$25/$NT$25)),0)</f>
        <v/>
      </c>
      <c r="BG25" s="228">
        <f>IF(AND(55&gt;=$NR$25,55&lt;=$NS$25),IF($NP$25="Single_Point",IF(55=$NR$25,$NN$25,0),IF($NP$25="Bell_Curve",$NN$25*(55-$NR$25+1)*($NS$25-55+1)/$NU$25,$NN$25/$NT$25)),0)</f>
        <v/>
      </c>
      <c r="BH25" s="228">
        <f>IF(AND(56&gt;=$NR$25,56&lt;=$NS$25),IF($NP$25="Single_Point",IF(56=$NR$25,$NN$25,0),IF($NP$25="Bell_Curve",$NN$25*(56-$NR$25+1)*($NS$25-56+1)/$NU$25,$NN$25/$NT$25)),0)</f>
        <v/>
      </c>
      <c r="BI25" s="228">
        <f>IF(AND(57&gt;=$NR$25,57&lt;=$NS$25),IF($NP$25="Single_Point",IF(57=$NR$25,$NN$25,0),IF($NP$25="Bell_Curve",$NN$25*(57-$NR$25+1)*($NS$25-57+1)/$NU$25,$NN$25/$NT$25)),0)</f>
        <v/>
      </c>
      <c r="BJ25" s="228">
        <f>IF(AND(58&gt;=$NR$25,58&lt;=$NS$25),IF($NP$25="Single_Point",IF(58=$NR$25,$NN$25,0),IF($NP$25="Bell_Curve",$NN$25*(58-$NR$25+1)*($NS$25-58+1)/$NU$25,$NN$25/$NT$25)),0)</f>
        <v/>
      </c>
      <c r="BK25" s="228">
        <f>IF(AND(59&gt;=$NR$25,59&lt;=$NS$25),IF($NP$25="Single_Point",IF(59=$NR$25,$NN$25,0),IF($NP$25="Bell_Curve",$NN$25*(59-$NR$25+1)*($NS$25-59+1)/$NU$25,$NN$25/$NT$25)),0)</f>
        <v/>
      </c>
      <c r="BL25" s="228">
        <f>IF(AND(60&gt;=$NR$25,60&lt;=$NS$25),IF($NP$25="Single_Point",IF(60=$NR$25,$NN$25,0),IF($NP$25="Bell_Curve",$NN$25*(60-$NR$25+1)*($NS$25-60+1)/$NU$25,$NN$25/$NT$25)),0)</f>
        <v/>
      </c>
      <c r="BM25" s="228">
        <f>IF(AND(61&gt;=$NR$25,61&lt;=$NS$25),IF($NP$25="Single_Point",IF(61=$NR$25,$NN$25,0),IF($NP$25="Bell_Curve",$NN$25*(61-$NR$25+1)*($NS$25-61+1)/$NU$25,$NN$25/$NT$25)),0)</f>
        <v/>
      </c>
      <c r="BN25" s="228">
        <f>IF(AND(62&gt;=$NR$25,62&lt;=$NS$25),IF($NP$25="Single_Point",IF(62=$NR$25,$NN$25,0),IF($NP$25="Bell_Curve",$NN$25*(62-$NR$25+1)*($NS$25-62+1)/$NU$25,$NN$25/$NT$25)),0)</f>
        <v/>
      </c>
      <c r="BO25" s="228">
        <f>IF(AND(63&gt;=$NR$25,63&lt;=$NS$25),IF($NP$25="Single_Point",IF(63=$NR$25,$NN$25,0),IF($NP$25="Bell_Curve",$NN$25*(63-$NR$25+1)*($NS$25-63+1)/$NU$25,$NN$25/$NT$25)),0)</f>
        <v/>
      </c>
      <c r="BP25" s="228">
        <f>IF(AND(64&gt;=$NR$25,64&lt;=$NS$25),IF($NP$25="Single_Point",IF(64=$NR$25,$NN$25,0),IF($NP$25="Bell_Curve",$NN$25*(64-$NR$25+1)*($NS$25-64+1)/$NU$25,$NN$25/$NT$25)),0)</f>
        <v/>
      </c>
      <c r="BQ25" s="228">
        <f>IF(AND(65&gt;=$NR$25,65&lt;=$NS$25),IF($NP$25="Single_Point",IF(65=$NR$25,$NN$25,0),IF($NP$25="Bell_Curve",$NN$25*(65-$NR$25+1)*($NS$25-65+1)/$NU$25,$NN$25/$NT$25)),0)</f>
        <v/>
      </c>
      <c r="BR25" s="228">
        <f>IF(AND(66&gt;=$NR$25,66&lt;=$NS$25),IF($NP$25="Single_Point",IF(66=$NR$25,$NN$25,0),IF($NP$25="Bell_Curve",$NN$25*(66-$NR$25+1)*($NS$25-66+1)/$NU$25,$NN$25/$NT$25)),0)</f>
        <v/>
      </c>
      <c r="BS25" s="228">
        <f>IF(AND(67&gt;=$NR$25,67&lt;=$NS$25),IF($NP$25="Single_Point",IF(67=$NR$25,$NN$25,0),IF($NP$25="Bell_Curve",$NN$25*(67-$NR$25+1)*($NS$25-67+1)/$NU$25,$NN$25/$NT$25)),0)</f>
        <v/>
      </c>
      <c r="BT25" s="228">
        <f>IF(AND(68&gt;=$NR$25,68&lt;=$NS$25),IF($NP$25="Single_Point",IF(68=$NR$25,$NN$25,0),IF($NP$25="Bell_Curve",$NN$25*(68-$NR$25+1)*($NS$25-68+1)/$NU$25,$NN$25/$NT$25)),0)</f>
        <v/>
      </c>
      <c r="BU25" s="228">
        <f>IF(AND(69&gt;=$NR$25,69&lt;=$NS$25),IF($NP$25="Single_Point",IF(69=$NR$25,$NN$25,0),IF($NP$25="Bell_Curve",$NN$25*(69-$NR$25+1)*($NS$25-69+1)/$NU$25,$NN$25/$NT$25)),0)</f>
        <v/>
      </c>
      <c r="BV25" s="228">
        <f>IF(AND(70&gt;=$NR$25,70&lt;=$NS$25),IF($NP$25="Single_Point",IF(70=$NR$25,$NN$25,0),IF($NP$25="Bell_Curve",$NN$25*(70-$NR$25+1)*($NS$25-70+1)/$NU$25,$NN$25/$NT$25)),0)</f>
        <v/>
      </c>
      <c r="BW25" s="228">
        <f>IF(AND(71&gt;=$NR$25,71&lt;=$NS$25),IF($NP$25="Single_Point",IF(71=$NR$25,$NN$25,0),IF($NP$25="Bell_Curve",$NN$25*(71-$NR$25+1)*($NS$25-71+1)/$NU$25,$NN$25/$NT$25)),0)</f>
        <v/>
      </c>
      <c r="BX25" s="228">
        <f>IF(AND(72&gt;=$NR$25,72&lt;=$NS$25),IF($NP$25="Single_Point",IF(72=$NR$25,$NN$25,0),IF($NP$25="Bell_Curve",$NN$25*(72-$NR$25+1)*($NS$25-72+1)/$NU$25,$NN$25/$NT$25)),0)</f>
        <v/>
      </c>
      <c r="BY25" s="228">
        <f>IF(AND(73&gt;=$NR$25,73&lt;=$NS$25),IF($NP$25="Single_Point",IF(73=$NR$25,$NN$25,0),IF($NP$25="Bell_Curve",$NN$25*(73-$NR$25+1)*($NS$25-73+1)/$NU$25,$NN$25/$NT$25)),0)</f>
        <v/>
      </c>
      <c r="BZ25" s="228">
        <f>IF(AND(74&gt;=$NR$25,74&lt;=$NS$25),IF($NP$25="Single_Point",IF(74=$NR$25,$NN$25,0),IF($NP$25="Bell_Curve",$NN$25*(74-$NR$25+1)*($NS$25-74+1)/$NU$25,$NN$25/$NT$25)),0)</f>
        <v/>
      </c>
      <c r="CA25" s="228">
        <f>IF(AND(75&gt;=$NR$25,75&lt;=$NS$25),IF($NP$25="Single_Point",IF(75=$NR$25,$NN$25,0),IF($NP$25="Bell_Curve",$NN$25*(75-$NR$25+1)*($NS$25-75+1)/$NU$25,$NN$25/$NT$25)),0)</f>
        <v/>
      </c>
      <c r="CB25" s="228">
        <f>IF(AND(76&gt;=$NR$25,76&lt;=$NS$25),IF($NP$25="Single_Point",IF(76=$NR$25,$NN$25,0),IF($NP$25="Bell_Curve",$NN$25*(76-$NR$25+1)*($NS$25-76+1)/$NU$25,$NN$25/$NT$25)),0)</f>
        <v/>
      </c>
      <c r="CC25" s="228">
        <f>IF(AND(77&gt;=$NR$25,77&lt;=$NS$25),IF($NP$25="Single_Point",IF(77=$NR$25,$NN$25,0),IF($NP$25="Bell_Curve",$NN$25*(77-$NR$25+1)*($NS$25-77+1)/$NU$25,$NN$25/$NT$25)),0)</f>
        <v/>
      </c>
      <c r="CD25" s="228">
        <f>IF(AND(78&gt;=$NR$25,78&lt;=$NS$25),IF($NP$25="Single_Point",IF(78=$NR$25,$NN$25,0),IF($NP$25="Bell_Curve",$NN$25*(78-$NR$25+1)*($NS$25-78+1)/$NU$25,$NN$25/$NT$25)),0)</f>
        <v/>
      </c>
      <c r="CE25" s="228">
        <f>IF(AND(79&gt;=$NR$25,79&lt;=$NS$25),IF($NP$25="Single_Point",IF(79=$NR$25,$NN$25,0),IF($NP$25="Bell_Curve",$NN$25*(79-$NR$25+1)*($NS$25-79+1)/$NU$25,$NN$25/$NT$25)),0)</f>
        <v/>
      </c>
      <c r="CF25" s="228">
        <f>IF(AND(80&gt;=$NR$25,80&lt;=$NS$25),IF($NP$25="Single_Point",IF(80=$NR$25,$NN$25,0),IF($NP$25="Bell_Curve",$NN$25*(80-$NR$25+1)*($NS$25-80+1)/$NU$25,$NN$25/$NT$25)),0)</f>
        <v/>
      </c>
      <c r="CG25" s="228">
        <f>IF(AND(81&gt;=$NR$25,81&lt;=$NS$25),IF($NP$25="Single_Point",IF(81=$NR$25,$NN$25,0),IF($NP$25="Bell_Curve",$NN$25*(81-$NR$25+1)*($NS$25-81+1)/$NU$25,$NN$25/$NT$25)),0)</f>
        <v/>
      </c>
      <c r="CH25" s="228">
        <f>IF(AND(82&gt;=$NR$25,82&lt;=$NS$25),IF($NP$25="Single_Point",IF(82=$NR$25,$NN$25,0),IF($NP$25="Bell_Curve",$NN$25*(82-$NR$25+1)*($NS$25-82+1)/$NU$25,$NN$25/$NT$25)),0)</f>
        <v/>
      </c>
      <c r="CI25" s="228">
        <f>IF(AND(83&gt;=$NR$25,83&lt;=$NS$25),IF($NP$25="Single_Point",IF(83=$NR$25,$NN$25,0),IF($NP$25="Bell_Curve",$NN$25*(83-$NR$25+1)*($NS$25-83+1)/$NU$25,$NN$25/$NT$25)),0)</f>
        <v/>
      </c>
      <c r="CJ25" s="228">
        <f>IF(AND(84&gt;=$NR$25,84&lt;=$NS$25),IF($NP$25="Single_Point",IF(84=$NR$25,$NN$25,0),IF($NP$25="Bell_Curve",$NN$25*(84-$NR$25+1)*($NS$25-84+1)/$NU$25,$NN$25/$NT$25)),0)</f>
        <v/>
      </c>
      <c r="CK25" s="228">
        <f>IF(AND(85&gt;=$NR$25,85&lt;=$NS$25),IF($NP$25="Single_Point",IF(85=$NR$25,$NN$25,0),IF($NP$25="Bell_Curve",$NN$25*(85-$NR$25+1)*($NS$25-85+1)/$NU$25,$NN$25/$NT$25)),0)</f>
        <v/>
      </c>
      <c r="CL25" s="228">
        <f>IF(AND(86&gt;=$NR$25,86&lt;=$NS$25),IF($NP$25="Single_Point",IF(86=$NR$25,$NN$25,0),IF($NP$25="Bell_Curve",$NN$25*(86-$NR$25+1)*($NS$25-86+1)/$NU$25,$NN$25/$NT$25)),0)</f>
        <v/>
      </c>
      <c r="CM25" s="228">
        <f>IF(AND(87&gt;=$NR$25,87&lt;=$NS$25),IF($NP$25="Single_Point",IF(87=$NR$25,$NN$25,0),IF($NP$25="Bell_Curve",$NN$25*(87-$NR$25+1)*($NS$25-87+1)/$NU$25,$NN$25/$NT$25)),0)</f>
        <v/>
      </c>
      <c r="CN25" s="228">
        <f>IF(AND(88&gt;=$NR$25,88&lt;=$NS$25),IF($NP$25="Single_Point",IF(88=$NR$25,$NN$25,0),IF($NP$25="Bell_Curve",$NN$25*(88-$NR$25+1)*($NS$25-88+1)/$NU$25,$NN$25/$NT$25)),0)</f>
        <v/>
      </c>
      <c r="CO25" s="228">
        <f>IF(AND(89&gt;=$NR$25,89&lt;=$NS$25),IF($NP$25="Single_Point",IF(89=$NR$25,$NN$25,0),IF($NP$25="Bell_Curve",$NN$25*(89-$NR$25+1)*($NS$25-89+1)/$NU$25,$NN$25/$NT$25)),0)</f>
        <v/>
      </c>
      <c r="CP25" s="228">
        <f>IF(AND(90&gt;=$NR$25,90&lt;=$NS$25),IF($NP$25="Single_Point",IF(90=$NR$25,$NN$25,0),IF($NP$25="Bell_Curve",$NN$25*(90-$NR$25+1)*($NS$25-90+1)/$NU$25,$NN$25/$NT$25)),0)</f>
        <v/>
      </c>
      <c r="CQ25" s="228">
        <f>IF(AND(91&gt;=$NR$25,91&lt;=$NS$25),IF($NP$25="Single_Point",IF(91=$NR$25,$NN$25,0),IF($NP$25="Bell_Curve",$NN$25*(91-$NR$25+1)*($NS$25-91+1)/$NU$25,$NN$25/$NT$25)),0)</f>
        <v/>
      </c>
      <c r="CR25" s="228">
        <f>IF(AND(92&gt;=$NR$25,92&lt;=$NS$25),IF($NP$25="Single_Point",IF(92=$NR$25,$NN$25,0),IF($NP$25="Bell_Curve",$NN$25*(92-$NR$25+1)*($NS$25-92+1)/$NU$25,$NN$25/$NT$25)),0)</f>
        <v/>
      </c>
      <c r="CS25" s="228">
        <f>IF(AND(93&gt;=$NR$25,93&lt;=$NS$25),IF($NP$25="Single_Point",IF(93=$NR$25,$NN$25,0),IF($NP$25="Bell_Curve",$NN$25*(93-$NR$25+1)*($NS$25-93+1)/$NU$25,$NN$25/$NT$25)),0)</f>
        <v/>
      </c>
      <c r="CT25" s="228">
        <f>IF(AND(94&gt;=$NR$25,94&lt;=$NS$25),IF($NP$25="Single_Point",IF(94=$NR$25,$NN$25,0),IF($NP$25="Bell_Curve",$NN$25*(94-$NR$25+1)*($NS$25-94+1)/$NU$25,$NN$25/$NT$25)),0)</f>
        <v/>
      </c>
      <c r="CU25" s="228">
        <f>IF(AND(95&gt;=$NR$25,95&lt;=$NS$25),IF($NP$25="Single_Point",IF(95=$NR$25,$NN$25,0),IF($NP$25="Bell_Curve",$NN$25*(95-$NR$25+1)*($NS$25-95+1)/$NU$25,$NN$25/$NT$25)),0)</f>
        <v/>
      </c>
      <c r="CV25" s="228">
        <f>IF(AND(96&gt;=$NR$25,96&lt;=$NS$25),IF($NP$25="Single_Point",IF(96=$NR$25,$NN$25,0),IF($NP$25="Bell_Curve",$NN$25*(96-$NR$25+1)*($NS$25-96+1)/$NU$25,$NN$25/$NT$25)),0)</f>
        <v/>
      </c>
      <c r="CW25" s="228">
        <f>IF(AND(97&gt;=$NR$25,97&lt;=$NS$25),IF($NP$25="Single_Point",IF(97=$NR$25,$NN$25,0),IF($NP$25="Bell_Curve",$NN$25*(97-$NR$25+1)*($NS$25-97+1)/$NU$25,$NN$25/$NT$25)),0)</f>
        <v/>
      </c>
      <c r="CX25" s="228">
        <f>IF(AND(98&gt;=$NR$25,98&lt;=$NS$25),IF($NP$25="Single_Point",IF(98=$NR$25,$NN$25,0),IF($NP$25="Bell_Curve",$NN$25*(98-$NR$25+1)*($NS$25-98+1)/$NU$25,$NN$25/$NT$25)),0)</f>
        <v/>
      </c>
      <c r="CY25" s="228">
        <f>IF(AND(99&gt;=$NR$25,99&lt;=$NS$25),IF($NP$25="Single_Point",IF(99=$NR$25,$NN$25,0),IF($NP$25="Bell_Curve",$NN$25*(99-$NR$25+1)*($NS$25-99+1)/$NU$25,$NN$25/$NT$25)),0)</f>
        <v/>
      </c>
      <c r="CZ25" s="228">
        <f>IF(AND(100&gt;=$NR$25,100&lt;=$NS$25),IF($NP$25="Single_Point",IF(100=$NR$25,$NN$25,0),IF($NP$25="Bell_Curve",$NN$25*(100-$NR$25+1)*($NS$25-100+1)/$NU$25,$NN$25/$NT$25)),0)</f>
        <v/>
      </c>
      <c r="DA25" s="228">
        <f>IF(AND(101&gt;=$NR$25,101&lt;=$NS$25),IF($NP$25="Single_Point",IF(101=$NR$25,$NN$25,0),IF($NP$25="Bell_Curve",$NN$25*(101-$NR$25+1)*($NS$25-101+1)/$NU$25,$NN$25/$NT$25)),0)</f>
        <v/>
      </c>
      <c r="DB25" s="228">
        <f>IF(AND(102&gt;=$NR$25,102&lt;=$NS$25),IF($NP$25="Single_Point",IF(102=$NR$25,$NN$25,0),IF($NP$25="Bell_Curve",$NN$25*(102-$NR$25+1)*($NS$25-102+1)/$NU$25,$NN$25/$NT$25)),0)</f>
        <v/>
      </c>
      <c r="DC25" s="228">
        <f>IF(AND(103&gt;=$NR$25,103&lt;=$NS$25),IF($NP$25="Single_Point",IF(103=$NR$25,$NN$25,0),IF($NP$25="Bell_Curve",$NN$25*(103-$NR$25+1)*($NS$25-103+1)/$NU$25,$NN$25/$NT$25)),0)</f>
        <v/>
      </c>
      <c r="DD25" s="228">
        <f>IF(AND(104&gt;=$NR$25,104&lt;=$NS$25),IF($NP$25="Single_Point",IF(104=$NR$25,$NN$25,0),IF($NP$25="Bell_Curve",$NN$25*(104-$NR$25+1)*($NS$25-104+1)/$NU$25,$NN$25/$NT$25)),0)</f>
        <v/>
      </c>
      <c r="DE25" s="228">
        <f>IF(AND(105&gt;=$NR$25,105&lt;=$NS$25),IF($NP$25="Single_Point",IF(105=$NR$25,$NN$25,0),IF($NP$25="Bell_Curve",$NN$25*(105-$NR$25+1)*($NS$25-105+1)/$NU$25,$NN$25/$NT$25)),0)</f>
        <v/>
      </c>
      <c r="DF25" s="228">
        <f>IF(AND(106&gt;=$NR$25,106&lt;=$NS$25),IF($NP$25="Single_Point",IF(106=$NR$25,$NN$25,0),IF($NP$25="Bell_Curve",$NN$25*(106-$NR$25+1)*($NS$25-106+1)/$NU$25,$NN$25/$NT$25)),0)</f>
        <v/>
      </c>
      <c r="DG25" s="228">
        <f>IF(AND(107&gt;=$NR$25,107&lt;=$NS$25),IF($NP$25="Single_Point",IF(107=$NR$25,$NN$25,0),IF($NP$25="Bell_Curve",$NN$25*(107-$NR$25+1)*($NS$25-107+1)/$NU$25,$NN$25/$NT$25)),0)</f>
        <v/>
      </c>
      <c r="DH25" s="228">
        <f>IF(AND(108&gt;=$NR$25,108&lt;=$NS$25),IF($NP$25="Single_Point",IF(108=$NR$25,$NN$25,0),IF($NP$25="Bell_Curve",$NN$25*(108-$NR$25+1)*($NS$25-108+1)/$NU$25,$NN$25/$NT$25)),0)</f>
        <v/>
      </c>
      <c r="DI25" s="228">
        <f>IF(AND(109&gt;=$NR$25,109&lt;=$NS$25),IF($NP$25="Single_Point",IF(109=$NR$25,$NN$25,0),IF($NP$25="Bell_Curve",$NN$25*(109-$NR$25+1)*($NS$25-109+1)/$NU$25,$NN$25/$NT$25)),0)</f>
        <v/>
      </c>
      <c r="DJ25" s="228">
        <f>IF(AND(110&gt;=$NR$25,110&lt;=$NS$25),IF($NP$25="Single_Point",IF(110=$NR$25,$NN$25,0),IF($NP$25="Bell_Curve",$NN$25*(110-$NR$25+1)*($NS$25-110+1)/$NU$25,$NN$25/$NT$25)),0)</f>
        <v/>
      </c>
      <c r="DK25" s="228">
        <f>IF(AND(111&gt;=$NR$25,111&lt;=$NS$25),IF($NP$25="Single_Point",IF(111=$NR$25,$NN$25,0),IF($NP$25="Bell_Curve",$NN$25*(111-$NR$25+1)*($NS$25-111+1)/$NU$25,$NN$25/$NT$25)),0)</f>
        <v/>
      </c>
      <c r="DL25" s="228">
        <f>IF(AND(112&gt;=$NR$25,112&lt;=$NS$25),IF($NP$25="Single_Point",IF(112=$NR$25,$NN$25,0),IF($NP$25="Bell_Curve",$NN$25*(112-$NR$25+1)*($NS$25-112+1)/$NU$25,$NN$25/$NT$25)),0)</f>
        <v/>
      </c>
      <c r="DM25" s="228">
        <f>IF(AND(113&gt;=$NR$25,113&lt;=$NS$25),IF($NP$25="Single_Point",IF(113=$NR$25,$NN$25,0),IF($NP$25="Bell_Curve",$NN$25*(113-$NR$25+1)*($NS$25-113+1)/$NU$25,$NN$25/$NT$25)),0)</f>
        <v/>
      </c>
      <c r="DN25" s="228">
        <f>IF(AND(114&gt;=$NR$25,114&lt;=$NS$25),IF($NP$25="Single_Point",IF(114=$NR$25,$NN$25,0),IF($NP$25="Bell_Curve",$NN$25*(114-$NR$25+1)*($NS$25-114+1)/$NU$25,$NN$25/$NT$25)),0)</f>
        <v/>
      </c>
      <c r="DO25" s="228">
        <f>IF(AND(115&gt;=$NR$25,115&lt;=$NS$25),IF($NP$25="Single_Point",IF(115=$NR$25,$NN$25,0),IF($NP$25="Bell_Curve",$NN$25*(115-$NR$25+1)*($NS$25-115+1)/$NU$25,$NN$25/$NT$25)),0)</f>
        <v/>
      </c>
      <c r="DP25" s="228">
        <f>IF(AND(116&gt;=$NR$25,116&lt;=$NS$25),IF($NP$25="Single_Point",IF(116=$NR$25,$NN$25,0),IF($NP$25="Bell_Curve",$NN$25*(116-$NR$25+1)*($NS$25-116+1)/$NU$25,$NN$25/$NT$25)),0)</f>
        <v/>
      </c>
      <c r="DQ25" s="228">
        <f>IF(AND(117&gt;=$NR$25,117&lt;=$NS$25),IF($NP$25="Single_Point",IF(117=$NR$25,$NN$25,0),IF($NP$25="Bell_Curve",$NN$25*(117-$NR$25+1)*($NS$25-117+1)/$NU$25,$NN$25/$NT$25)),0)</f>
        <v/>
      </c>
      <c r="DR25" s="228">
        <f>IF(AND(118&gt;=$NR$25,118&lt;=$NS$25),IF($NP$25="Single_Point",IF(118=$NR$25,$NN$25,0),IF($NP$25="Bell_Curve",$NN$25*(118-$NR$25+1)*($NS$25-118+1)/$NU$25,$NN$25/$NT$25)),0)</f>
        <v/>
      </c>
      <c r="DS25" s="228">
        <f>IF(AND(119&gt;=$NR$25,119&lt;=$NS$25),IF($NP$25="Single_Point",IF(119=$NR$25,$NN$25,0),IF($NP$25="Bell_Curve",$NN$25*(119-$NR$25+1)*($NS$25-119+1)/$NU$25,$NN$25/$NT$25)),0)</f>
        <v/>
      </c>
      <c r="DT25" s="228">
        <f>IF(AND(120&gt;=$NR$25,120&lt;=$NS$25),IF($NP$25="Single_Point",IF(120=$NR$25,$NN$25,0),IF($NP$25="Bell_Curve",$NN$25*(120-$NR$25+1)*($NS$25-120+1)/$NU$25,$NN$25/$NT$25)),0)</f>
        <v/>
      </c>
      <c r="DU25" s="228">
        <f>IF(AND(121&gt;=$NR$25,121&lt;=$NS$25),IF($NP$25="Single_Point",IF(121=$NR$25,$NN$25,0),IF($NP$25="Bell_Curve",$NN$25*(121-$NR$25+1)*($NS$25-121+1)/$NU$25,$NN$25/$NT$25)),0)</f>
        <v/>
      </c>
      <c r="DV25" s="228">
        <f>IF(AND(122&gt;=$NR$25,122&lt;=$NS$25),IF($NP$25="Single_Point",IF(122=$NR$25,$NN$25,0),IF($NP$25="Bell_Curve",$NN$25*(122-$NR$25+1)*($NS$25-122+1)/$NU$25,$NN$25/$NT$25)),0)</f>
        <v/>
      </c>
      <c r="DW25" s="228">
        <f>IF(AND(123&gt;=$NR$25,123&lt;=$NS$25),IF($NP$25="Single_Point",IF(123=$NR$25,$NN$25,0),IF($NP$25="Bell_Curve",$NN$25*(123-$NR$25+1)*($NS$25-123+1)/$NU$25,$NN$25/$NT$25)),0)</f>
        <v/>
      </c>
      <c r="DX25" s="228">
        <f>IF(AND(124&gt;=$NR$25,124&lt;=$NS$25),IF($NP$25="Single_Point",IF(124=$NR$25,$NN$25,0),IF($NP$25="Bell_Curve",$NN$25*(124-$NR$25+1)*($NS$25-124+1)/$NU$25,$NN$25/$NT$25)),0)</f>
        <v/>
      </c>
      <c r="DY25" s="228">
        <f>IF(AND(125&gt;=$NR$25,125&lt;=$NS$25),IF($NP$25="Single_Point",IF(125=$NR$25,$NN$25,0),IF($NP$25="Bell_Curve",$NN$25*(125-$NR$25+1)*($NS$25-125+1)/$NU$25,$NN$25/$NT$25)),0)</f>
        <v/>
      </c>
      <c r="DZ25" s="228">
        <f>IF(AND(126&gt;=$NR$25,126&lt;=$NS$25),IF($NP$25="Single_Point",IF(126=$NR$25,$NN$25,0),IF($NP$25="Bell_Curve",$NN$25*(126-$NR$25+1)*($NS$25-126+1)/$NU$25,$NN$25/$NT$25)),0)</f>
        <v/>
      </c>
      <c r="EA25" s="228">
        <f>IF(AND(127&gt;=$NR$25,127&lt;=$NS$25),IF($NP$25="Single_Point",IF(127=$NR$25,$NN$25,0),IF($NP$25="Bell_Curve",$NN$25*(127-$NR$25+1)*($NS$25-127+1)/$NU$25,$NN$25/$NT$25)),0)</f>
        <v/>
      </c>
      <c r="EB25" s="228">
        <f>IF(AND(128&gt;=$NR$25,128&lt;=$NS$25),IF($NP$25="Single_Point",IF(128=$NR$25,$NN$25,0),IF($NP$25="Bell_Curve",$NN$25*(128-$NR$25+1)*($NS$25-128+1)/$NU$25,$NN$25/$NT$25)),0)</f>
        <v/>
      </c>
      <c r="EC25" s="228">
        <f>IF(AND(129&gt;=$NR$25,129&lt;=$NS$25),IF($NP$25="Single_Point",IF(129=$NR$25,$NN$25,0),IF($NP$25="Bell_Curve",$NN$25*(129-$NR$25+1)*($NS$25-129+1)/$NU$25,$NN$25/$NT$25)),0)</f>
        <v/>
      </c>
      <c r="ED25" s="228">
        <f>IF(AND(130&gt;=$NR$25,130&lt;=$NS$25),IF($NP$25="Single_Point",IF(130=$NR$25,$NN$25,0),IF($NP$25="Bell_Curve",$NN$25*(130-$NR$25+1)*($NS$25-130+1)/$NU$25,$NN$25/$NT$25)),0)</f>
        <v/>
      </c>
      <c r="EE25" s="228">
        <f>IF(AND(131&gt;=$NR$25,131&lt;=$NS$25),IF($NP$25="Single_Point",IF(131=$NR$25,$NN$25,0),IF($NP$25="Bell_Curve",$NN$25*(131-$NR$25+1)*($NS$25-131+1)/$NU$25,$NN$25/$NT$25)),0)</f>
        <v/>
      </c>
      <c r="EF25" s="228">
        <f>IF(AND(132&gt;=$NR$25,132&lt;=$NS$25),IF($NP$25="Single_Point",IF(132=$NR$25,$NN$25,0),IF($NP$25="Bell_Curve",$NN$25*(132-$NR$25+1)*($NS$25-132+1)/$NU$25,$NN$25/$NT$25)),0)</f>
        <v/>
      </c>
      <c r="EG25" s="228">
        <f>IF(AND(133&gt;=$NR$25,133&lt;=$NS$25),IF($NP$25="Single_Point",IF(133=$NR$25,$NN$25,0),IF($NP$25="Bell_Curve",$NN$25*(133-$NR$25+1)*($NS$25-133+1)/$NU$25,$NN$25/$NT$25)),0)</f>
        <v/>
      </c>
      <c r="EH25" s="228">
        <f>IF(AND(134&gt;=$NR$25,134&lt;=$NS$25),IF($NP$25="Single_Point",IF(134=$NR$25,$NN$25,0),IF($NP$25="Bell_Curve",$NN$25*(134-$NR$25+1)*($NS$25-134+1)/$NU$25,$NN$25/$NT$25)),0)</f>
        <v/>
      </c>
      <c r="EI25" s="228">
        <f>IF(AND(135&gt;=$NR$25,135&lt;=$NS$25),IF($NP$25="Single_Point",IF(135=$NR$25,$NN$25,0),IF($NP$25="Bell_Curve",$NN$25*(135-$NR$25+1)*($NS$25-135+1)/$NU$25,$NN$25/$NT$25)),0)</f>
        <v/>
      </c>
      <c r="EJ25" s="228">
        <f>IF(AND(136&gt;=$NR$25,136&lt;=$NS$25),IF($NP$25="Single_Point",IF(136=$NR$25,$NN$25,0),IF($NP$25="Bell_Curve",$NN$25*(136-$NR$25+1)*($NS$25-136+1)/$NU$25,$NN$25/$NT$25)),0)</f>
        <v/>
      </c>
      <c r="EK25" s="228">
        <f>IF(AND(137&gt;=$NR$25,137&lt;=$NS$25),IF($NP$25="Single_Point",IF(137=$NR$25,$NN$25,0),IF($NP$25="Bell_Curve",$NN$25*(137-$NR$25+1)*($NS$25-137+1)/$NU$25,$NN$25/$NT$25)),0)</f>
        <v/>
      </c>
      <c r="EL25" s="228">
        <f>IF(AND(138&gt;=$NR$25,138&lt;=$NS$25),IF($NP$25="Single_Point",IF(138=$NR$25,$NN$25,0),IF($NP$25="Bell_Curve",$NN$25*(138-$NR$25+1)*($NS$25-138+1)/$NU$25,$NN$25/$NT$25)),0)</f>
        <v/>
      </c>
      <c r="EM25" s="228">
        <f>IF(AND(139&gt;=$NR$25,139&lt;=$NS$25),IF($NP$25="Single_Point",IF(139=$NR$25,$NN$25,0),IF($NP$25="Bell_Curve",$NN$25*(139-$NR$25+1)*($NS$25-139+1)/$NU$25,$NN$25/$NT$25)),0)</f>
        <v/>
      </c>
      <c r="EN25" s="228">
        <f>IF(AND(140&gt;=$NR$25,140&lt;=$NS$25),IF($NP$25="Single_Point",IF(140=$NR$25,$NN$25,0),IF($NP$25="Bell_Curve",$NN$25*(140-$NR$25+1)*($NS$25-140+1)/$NU$25,$NN$25/$NT$25)),0)</f>
        <v/>
      </c>
      <c r="EO25" s="228">
        <f>IF(AND(141&gt;=$NR$25,141&lt;=$NS$25),IF($NP$25="Single_Point",IF(141=$NR$25,$NN$25,0),IF($NP$25="Bell_Curve",$NN$25*(141-$NR$25+1)*($NS$25-141+1)/$NU$25,$NN$25/$NT$25)),0)</f>
        <v/>
      </c>
      <c r="EP25" s="228">
        <f>IF(AND(142&gt;=$NR$25,142&lt;=$NS$25),IF($NP$25="Single_Point",IF(142=$NR$25,$NN$25,0),IF($NP$25="Bell_Curve",$NN$25*(142-$NR$25+1)*($NS$25-142+1)/$NU$25,$NN$25/$NT$25)),0)</f>
        <v/>
      </c>
      <c r="EQ25" s="228">
        <f>IF(AND(143&gt;=$NR$25,143&lt;=$NS$25),IF($NP$25="Single_Point",IF(143=$NR$25,$NN$25,0),IF($NP$25="Bell_Curve",$NN$25*(143-$NR$25+1)*($NS$25-143+1)/$NU$25,$NN$25/$NT$25)),0)</f>
        <v/>
      </c>
      <c r="ER25" s="228">
        <f>IF(AND(144&gt;=$NR$25,144&lt;=$NS$25),IF($NP$25="Single_Point",IF(144=$NR$25,$NN$25,0),IF($NP$25="Bell_Curve",$NN$25*(144-$NR$25+1)*($NS$25-144+1)/$NU$25,$NN$25/$NT$25)),0)</f>
        <v/>
      </c>
      <c r="ES25" s="228">
        <f>IF(AND(145&gt;=$NR$25,145&lt;=$NS$25),IF($NP$25="Single_Point",IF(145=$NR$25,$NN$25,0),IF($NP$25="Bell_Curve",$NN$25*(145-$NR$25+1)*($NS$25-145+1)/$NU$25,$NN$25/$NT$25)),0)</f>
        <v/>
      </c>
      <c r="ET25" s="228">
        <f>IF(AND(146&gt;=$NR$25,146&lt;=$NS$25),IF($NP$25="Single_Point",IF(146=$NR$25,$NN$25,0),IF($NP$25="Bell_Curve",$NN$25*(146-$NR$25+1)*($NS$25-146+1)/$NU$25,$NN$25/$NT$25)),0)</f>
        <v/>
      </c>
      <c r="EU25" s="228">
        <f>IF(AND(147&gt;=$NR$25,147&lt;=$NS$25),IF($NP$25="Single_Point",IF(147=$NR$25,$NN$25,0),IF($NP$25="Bell_Curve",$NN$25*(147-$NR$25+1)*($NS$25-147+1)/$NU$25,$NN$25/$NT$25)),0)</f>
        <v/>
      </c>
      <c r="EV25" s="228">
        <f>IF(AND(148&gt;=$NR$25,148&lt;=$NS$25),IF($NP$25="Single_Point",IF(148=$NR$25,$NN$25,0),IF($NP$25="Bell_Curve",$NN$25*(148-$NR$25+1)*($NS$25-148+1)/$NU$25,$NN$25/$NT$25)),0)</f>
        <v/>
      </c>
      <c r="EW25" s="228">
        <f>IF(AND(149&gt;=$NR$25,149&lt;=$NS$25),IF($NP$25="Single_Point",IF(149=$NR$25,$NN$25,0),IF($NP$25="Bell_Curve",$NN$25*(149-$NR$25+1)*($NS$25-149+1)/$NU$25,$NN$25/$NT$25)),0)</f>
        <v/>
      </c>
      <c r="EX25" s="228">
        <f>IF(AND(150&gt;=$NR$25,150&lt;=$NS$25),IF($NP$25="Single_Point",IF(150=$NR$25,$NN$25,0),IF($NP$25="Bell_Curve",$NN$25*(150-$NR$25+1)*($NS$25-150+1)/$NU$25,$NN$25/$NT$25)),0)</f>
        <v/>
      </c>
      <c r="EY25" s="228">
        <f>IF(AND(151&gt;=$NR$25,151&lt;=$NS$25),IF($NP$25="Single_Point",IF(151=$NR$25,$NN$25,0),IF($NP$25="Bell_Curve",$NN$25*(151-$NR$25+1)*($NS$25-151+1)/$NU$25,$NN$25/$NT$25)),0)</f>
        <v/>
      </c>
      <c r="EZ25" s="228">
        <f>IF(AND(152&gt;=$NR$25,152&lt;=$NS$25),IF($NP$25="Single_Point",IF(152=$NR$25,$NN$25,0),IF($NP$25="Bell_Curve",$NN$25*(152-$NR$25+1)*($NS$25-152+1)/$NU$25,$NN$25/$NT$25)),0)</f>
        <v/>
      </c>
      <c r="FA25" s="228">
        <f>IF(AND(153&gt;=$NR$25,153&lt;=$NS$25),IF($NP$25="Single_Point",IF(153=$NR$25,$NN$25,0),IF($NP$25="Bell_Curve",$NN$25*(153-$NR$25+1)*($NS$25-153+1)/$NU$25,$NN$25/$NT$25)),0)</f>
        <v/>
      </c>
      <c r="FB25" s="228">
        <f>IF(AND(154&gt;=$NR$25,154&lt;=$NS$25),IF($NP$25="Single_Point",IF(154=$NR$25,$NN$25,0),IF($NP$25="Bell_Curve",$NN$25*(154-$NR$25+1)*($NS$25-154+1)/$NU$25,$NN$25/$NT$25)),0)</f>
        <v/>
      </c>
      <c r="FC25" s="228">
        <f>IF(AND(155&gt;=$NR$25,155&lt;=$NS$25),IF($NP$25="Single_Point",IF(155=$NR$25,$NN$25,0),IF($NP$25="Bell_Curve",$NN$25*(155-$NR$25+1)*($NS$25-155+1)/$NU$25,$NN$25/$NT$25)),0)</f>
        <v/>
      </c>
      <c r="FD25" s="228">
        <f>IF(AND(156&gt;=$NR$25,156&lt;=$NS$25),IF($NP$25="Single_Point",IF(156=$NR$25,$NN$25,0),IF($NP$25="Bell_Curve",$NN$25*(156-$NR$25+1)*($NS$25-156+1)/$NU$25,$NN$25/$NT$25)),0)</f>
        <v/>
      </c>
      <c r="FE25" s="228">
        <f>IF(AND(157&gt;=$NR$25,157&lt;=$NS$25),IF($NP$25="Single_Point",IF(157=$NR$25,$NN$25,0),IF($NP$25="Bell_Curve",$NN$25*(157-$NR$25+1)*($NS$25-157+1)/$NU$25,$NN$25/$NT$25)),0)</f>
        <v/>
      </c>
      <c r="FF25" s="228">
        <f>IF(AND(158&gt;=$NR$25,158&lt;=$NS$25),IF($NP$25="Single_Point",IF(158=$NR$25,$NN$25,0),IF($NP$25="Bell_Curve",$NN$25*(158-$NR$25+1)*($NS$25-158+1)/$NU$25,$NN$25/$NT$25)),0)</f>
        <v/>
      </c>
      <c r="FG25" s="228">
        <f>IF(AND(159&gt;=$NR$25,159&lt;=$NS$25),IF($NP$25="Single_Point",IF(159=$NR$25,$NN$25,0),IF($NP$25="Bell_Curve",$NN$25*(159-$NR$25+1)*($NS$25-159+1)/$NU$25,$NN$25/$NT$25)),0)</f>
        <v/>
      </c>
      <c r="FH25" s="228">
        <f>IF(AND(160&gt;=$NR$25,160&lt;=$NS$25),IF($NP$25="Single_Point",IF(160=$NR$25,$NN$25,0),IF($NP$25="Bell_Curve",$NN$25*(160-$NR$25+1)*($NS$25-160+1)/$NU$25,$NN$25/$NT$25)),0)</f>
        <v/>
      </c>
      <c r="FI25" s="228">
        <f>IF(AND(161&gt;=$NR$25,161&lt;=$NS$25),IF($NP$25="Single_Point",IF(161=$NR$25,$NN$25,0),IF($NP$25="Bell_Curve",$NN$25*(161-$NR$25+1)*($NS$25-161+1)/$NU$25,$NN$25/$NT$25)),0)</f>
        <v/>
      </c>
      <c r="FJ25" s="228">
        <f>IF(AND(162&gt;=$NR$25,162&lt;=$NS$25),IF($NP$25="Single_Point",IF(162=$NR$25,$NN$25,0),IF($NP$25="Bell_Curve",$NN$25*(162-$NR$25+1)*($NS$25-162+1)/$NU$25,$NN$25/$NT$25)),0)</f>
        <v/>
      </c>
      <c r="FK25" s="228">
        <f>IF(AND(163&gt;=$NR$25,163&lt;=$NS$25),IF($NP$25="Single_Point",IF(163=$NR$25,$NN$25,0),IF($NP$25="Bell_Curve",$NN$25*(163-$NR$25+1)*($NS$25-163+1)/$NU$25,$NN$25/$NT$25)),0)</f>
        <v/>
      </c>
      <c r="FL25" s="228">
        <f>IF(AND(164&gt;=$NR$25,164&lt;=$NS$25),IF($NP$25="Single_Point",IF(164=$NR$25,$NN$25,0),IF($NP$25="Bell_Curve",$NN$25*(164-$NR$25+1)*($NS$25-164+1)/$NU$25,$NN$25/$NT$25)),0)</f>
        <v/>
      </c>
      <c r="FM25" s="228">
        <f>IF(AND(165&gt;=$NR$25,165&lt;=$NS$25),IF($NP$25="Single_Point",IF(165=$NR$25,$NN$25,0),IF($NP$25="Bell_Curve",$NN$25*(165-$NR$25+1)*($NS$25-165+1)/$NU$25,$NN$25/$NT$25)),0)</f>
        <v/>
      </c>
      <c r="FN25" s="228">
        <f>IF(AND(166&gt;=$NR$25,166&lt;=$NS$25),IF($NP$25="Single_Point",IF(166=$NR$25,$NN$25,0),IF($NP$25="Bell_Curve",$NN$25*(166-$NR$25+1)*($NS$25-166+1)/$NU$25,$NN$25/$NT$25)),0)</f>
        <v/>
      </c>
      <c r="FO25" s="228">
        <f>IF(AND(167&gt;=$NR$25,167&lt;=$NS$25),IF($NP$25="Single_Point",IF(167=$NR$25,$NN$25,0),IF($NP$25="Bell_Curve",$NN$25*(167-$NR$25+1)*($NS$25-167+1)/$NU$25,$NN$25/$NT$25)),0)</f>
        <v/>
      </c>
      <c r="FP25" s="228">
        <f>IF(AND(168&gt;=$NR$25,168&lt;=$NS$25),IF($NP$25="Single_Point",IF(168=$NR$25,$NN$25,0),IF($NP$25="Bell_Curve",$NN$25*(168-$NR$25+1)*($NS$25-168+1)/$NU$25,$NN$25/$NT$25)),0)</f>
        <v/>
      </c>
      <c r="FQ25" s="228">
        <f>IF(AND(169&gt;=$NR$25,169&lt;=$NS$25),IF($NP$25="Single_Point",IF(169=$NR$25,$NN$25,0),IF($NP$25="Bell_Curve",$NN$25*(169-$NR$25+1)*($NS$25-169+1)/$NU$25,$NN$25/$NT$25)),0)</f>
        <v/>
      </c>
      <c r="FR25" s="228">
        <f>IF(AND(170&gt;=$NR$25,170&lt;=$NS$25),IF($NP$25="Single_Point",IF(170=$NR$25,$NN$25,0),IF($NP$25="Bell_Curve",$NN$25*(170-$NR$25+1)*($NS$25-170+1)/$NU$25,$NN$25/$NT$25)),0)</f>
        <v/>
      </c>
      <c r="FS25" s="228">
        <f>IF(AND(171&gt;=$NR$25,171&lt;=$NS$25),IF($NP$25="Single_Point",IF(171=$NR$25,$NN$25,0),IF($NP$25="Bell_Curve",$NN$25*(171-$NR$25+1)*($NS$25-171+1)/$NU$25,$NN$25/$NT$25)),0)</f>
        <v/>
      </c>
      <c r="FT25" s="228">
        <f>IF(AND(172&gt;=$NR$25,172&lt;=$NS$25),IF($NP$25="Single_Point",IF(172=$NR$25,$NN$25,0),IF($NP$25="Bell_Curve",$NN$25*(172-$NR$25+1)*($NS$25-172+1)/$NU$25,$NN$25/$NT$25)),0)</f>
        <v/>
      </c>
      <c r="FU25" s="228">
        <f>IF(AND(173&gt;=$NR$25,173&lt;=$NS$25),IF($NP$25="Single_Point",IF(173=$NR$25,$NN$25,0),IF($NP$25="Bell_Curve",$NN$25*(173-$NR$25+1)*($NS$25-173+1)/$NU$25,$NN$25/$NT$25)),0)</f>
        <v/>
      </c>
      <c r="FV25" s="228">
        <f>IF(AND(174&gt;=$NR$25,174&lt;=$NS$25),IF($NP$25="Single_Point",IF(174=$NR$25,$NN$25,0),IF($NP$25="Bell_Curve",$NN$25*(174-$NR$25+1)*($NS$25-174+1)/$NU$25,$NN$25/$NT$25)),0)</f>
        <v/>
      </c>
      <c r="FW25" s="228">
        <f>IF(AND(175&gt;=$NR$25,175&lt;=$NS$25),IF($NP$25="Single_Point",IF(175=$NR$25,$NN$25,0),IF($NP$25="Bell_Curve",$NN$25*(175-$NR$25+1)*($NS$25-175+1)/$NU$25,$NN$25/$NT$25)),0)</f>
        <v/>
      </c>
      <c r="FX25" s="228">
        <f>IF(AND(176&gt;=$NR$25,176&lt;=$NS$25),IF($NP$25="Single_Point",IF(176=$NR$25,$NN$25,0),IF($NP$25="Bell_Curve",$NN$25*(176-$NR$25+1)*($NS$25-176+1)/$NU$25,$NN$25/$NT$25)),0)</f>
        <v/>
      </c>
      <c r="FY25" s="228">
        <f>IF(AND(177&gt;=$NR$25,177&lt;=$NS$25),IF($NP$25="Single_Point",IF(177=$NR$25,$NN$25,0),IF($NP$25="Bell_Curve",$NN$25*(177-$NR$25+1)*($NS$25-177+1)/$NU$25,$NN$25/$NT$25)),0)</f>
        <v/>
      </c>
      <c r="FZ25" s="228">
        <f>IF(AND(178&gt;=$NR$25,178&lt;=$NS$25),IF($NP$25="Single_Point",IF(178=$NR$25,$NN$25,0),IF($NP$25="Bell_Curve",$NN$25*(178-$NR$25+1)*($NS$25-178+1)/$NU$25,$NN$25/$NT$25)),0)</f>
        <v/>
      </c>
      <c r="GA25" s="228">
        <f>IF(AND(179&gt;=$NR$25,179&lt;=$NS$25),IF($NP$25="Single_Point",IF(179=$NR$25,$NN$25,0),IF($NP$25="Bell_Curve",$NN$25*(179-$NR$25+1)*($NS$25-179+1)/$NU$25,$NN$25/$NT$25)),0)</f>
        <v/>
      </c>
      <c r="GB25" s="228">
        <f>IF(AND(180&gt;=$NR$25,180&lt;=$NS$25),IF($NP$25="Single_Point",IF(180=$NR$25,$NN$25,0),IF($NP$25="Bell_Curve",$NN$25*(180-$NR$25+1)*($NS$25-180+1)/$NU$25,$NN$25/$NT$25)),0)</f>
        <v/>
      </c>
      <c r="GC25" s="228">
        <f>IF(AND(181&gt;=$NR$25,181&lt;=$NS$25),IF($NP$25="Single_Point",IF(181=$NR$25,$NN$25,0),IF($NP$25="Bell_Curve",$NN$25*(181-$NR$25+1)*($NS$25-181+1)/$NU$25,$NN$25/$NT$25)),0)</f>
        <v/>
      </c>
      <c r="GD25" s="228">
        <f>IF(AND(182&gt;=$NR$25,182&lt;=$NS$25),IF($NP$25="Single_Point",IF(182=$NR$25,$NN$25,0),IF($NP$25="Bell_Curve",$NN$25*(182-$NR$25+1)*($NS$25-182+1)/$NU$25,$NN$25/$NT$25)),0)</f>
        <v/>
      </c>
      <c r="GE25" s="228">
        <f>IF(AND(183&gt;=$NR$25,183&lt;=$NS$25),IF($NP$25="Single_Point",IF(183=$NR$25,$NN$25,0),IF($NP$25="Bell_Curve",$NN$25*(183-$NR$25+1)*($NS$25-183+1)/$NU$25,$NN$25/$NT$25)),0)</f>
        <v/>
      </c>
      <c r="GF25" s="228">
        <f>IF(AND(184&gt;=$NR$25,184&lt;=$NS$25),IF($NP$25="Single_Point",IF(184=$NR$25,$NN$25,0),IF($NP$25="Bell_Curve",$NN$25*(184-$NR$25+1)*($NS$25-184+1)/$NU$25,$NN$25/$NT$25)),0)</f>
        <v/>
      </c>
      <c r="GG25" s="228">
        <f>IF(AND(185&gt;=$NR$25,185&lt;=$NS$25),IF($NP$25="Single_Point",IF(185=$NR$25,$NN$25,0),IF($NP$25="Bell_Curve",$NN$25*(185-$NR$25+1)*($NS$25-185+1)/$NU$25,$NN$25/$NT$25)),0)</f>
        <v/>
      </c>
      <c r="GH25" s="228">
        <f>IF(AND(186&gt;=$NR$25,186&lt;=$NS$25),IF($NP$25="Single_Point",IF(186=$NR$25,$NN$25,0),IF($NP$25="Bell_Curve",$NN$25*(186-$NR$25+1)*($NS$25-186+1)/$NU$25,$NN$25/$NT$25)),0)</f>
        <v/>
      </c>
      <c r="GI25" s="228">
        <f>IF(AND(187&gt;=$NR$25,187&lt;=$NS$25),IF($NP$25="Single_Point",IF(187=$NR$25,$NN$25,0),IF($NP$25="Bell_Curve",$NN$25*(187-$NR$25+1)*($NS$25-187+1)/$NU$25,$NN$25/$NT$25)),0)</f>
        <v/>
      </c>
      <c r="GJ25" s="228">
        <f>IF(AND(188&gt;=$NR$25,188&lt;=$NS$25),IF($NP$25="Single_Point",IF(188=$NR$25,$NN$25,0),IF($NP$25="Bell_Curve",$NN$25*(188-$NR$25+1)*($NS$25-188+1)/$NU$25,$NN$25/$NT$25)),0)</f>
        <v/>
      </c>
      <c r="GK25" s="228">
        <f>IF(AND(189&gt;=$NR$25,189&lt;=$NS$25),IF($NP$25="Single_Point",IF(189=$NR$25,$NN$25,0),IF($NP$25="Bell_Curve",$NN$25*(189-$NR$25+1)*($NS$25-189+1)/$NU$25,$NN$25/$NT$25)),0)</f>
        <v/>
      </c>
      <c r="GL25" s="228">
        <f>IF(AND(190&gt;=$NR$25,190&lt;=$NS$25),IF($NP$25="Single_Point",IF(190=$NR$25,$NN$25,0),IF($NP$25="Bell_Curve",$NN$25*(190-$NR$25+1)*($NS$25-190+1)/$NU$25,$NN$25/$NT$25)),0)</f>
        <v/>
      </c>
      <c r="GM25" s="228">
        <f>IF(AND(191&gt;=$NR$25,191&lt;=$NS$25),IF($NP$25="Single_Point",IF(191=$NR$25,$NN$25,0),IF($NP$25="Bell_Curve",$NN$25*(191-$NR$25+1)*($NS$25-191+1)/$NU$25,$NN$25/$NT$25)),0)</f>
        <v/>
      </c>
      <c r="GN25" s="228">
        <f>IF(AND(192&gt;=$NR$25,192&lt;=$NS$25),IF($NP$25="Single_Point",IF(192=$NR$25,$NN$25,0),IF($NP$25="Bell_Curve",$NN$25*(192-$NR$25+1)*($NS$25-192+1)/$NU$25,$NN$25/$NT$25)),0)</f>
        <v/>
      </c>
      <c r="GO25" s="228">
        <f>IF(AND(193&gt;=$NR$25,193&lt;=$NS$25),IF($NP$25="Single_Point",IF(193=$NR$25,$NN$25,0),IF($NP$25="Bell_Curve",$NN$25*(193-$NR$25+1)*($NS$25-193+1)/$NU$25,$NN$25/$NT$25)),0)</f>
        <v/>
      </c>
      <c r="GP25" s="228">
        <f>IF(AND(194&gt;=$NR$25,194&lt;=$NS$25),IF($NP$25="Single_Point",IF(194=$NR$25,$NN$25,0),IF($NP$25="Bell_Curve",$NN$25*(194-$NR$25+1)*($NS$25-194+1)/$NU$25,$NN$25/$NT$25)),0)</f>
        <v/>
      </c>
      <c r="GQ25" s="228">
        <f>IF(AND(195&gt;=$NR$25,195&lt;=$NS$25),IF($NP$25="Single_Point",IF(195=$NR$25,$NN$25,0),IF($NP$25="Bell_Curve",$NN$25*(195-$NR$25+1)*($NS$25-195+1)/$NU$25,$NN$25/$NT$25)),0)</f>
        <v/>
      </c>
      <c r="GR25" s="228">
        <f>IF(AND(196&gt;=$NR$25,196&lt;=$NS$25),IF($NP$25="Single_Point",IF(196=$NR$25,$NN$25,0),IF($NP$25="Bell_Curve",$NN$25*(196-$NR$25+1)*($NS$25-196+1)/$NU$25,$NN$25/$NT$25)),0)</f>
        <v/>
      </c>
      <c r="GS25" s="228">
        <f>IF(AND(197&gt;=$NR$25,197&lt;=$NS$25),IF($NP$25="Single_Point",IF(197=$NR$25,$NN$25,0),IF($NP$25="Bell_Curve",$NN$25*(197-$NR$25+1)*($NS$25-197+1)/$NU$25,$NN$25/$NT$25)),0)</f>
        <v/>
      </c>
      <c r="GT25" s="228">
        <f>IF(AND(198&gt;=$NR$25,198&lt;=$NS$25),IF($NP$25="Single_Point",IF(198=$NR$25,$NN$25,0),IF($NP$25="Bell_Curve",$NN$25*(198-$NR$25+1)*($NS$25-198+1)/$NU$25,$NN$25/$NT$25)),0)</f>
        <v/>
      </c>
      <c r="GU25" s="228">
        <f>IF(AND(199&gt;=$NR$25,199&lt;=$NS$25),IF($NP$25="Single_Point",IF(199=$NR$25,$NN$25,0),IF($NP$25="Bell_Curve",$NN$25*(199-$NR$25+1)*($NS$25-199+1)/$NU$25,$NN$25/$NT$25)),0)</f>
        <v/>
      </c>
      <c r="GV25" s="228">
        <f>IF(AND(200&gt;=$NR$25,200&lt;=$NS$25),IF($NP$25="Single_Point",IF(200=$NR$25,$NN$25,0),IF($NP$25="Bell_Curve",$NN$25*(200-$NR$25+1)*($NS$25-200+1)/$NU$25,$NN$25/$NT$25)),0)</f>
        <v/>
      </c>
      <c r="GW25" s="228">
        <f>IF(AND(201&gt;=$NR$25,201&lt;=$NS$25),IF($NP$25="Single_Point",IF(201=$NR$25,$NN$25,0),IF($NP$25="Bell_Curve",$NN$25*(201-$NR$25+1)*($NS$25-201+1)/$NU$25,$NN$25/$NT$25)),0)</f>
        <v/>
      </c>
      <c r="GX25" s="228">
        <f>IF(AND(202&gt;=$NR$25,202&lt;=$NS$25),IF($NP$25="Single_Point",IF(202=$NR$25,$NN$25,0),IF($NP$25="Bell_Curve",$NN$25*(202-$NR$25+1)*($NS$25-202+1)/$NU$25,$NN$25/$NT$25)),0)</f>
        <v/>
      </c>
      <c r="GY25" s="228">
        <f>IF(AND(203&gt;=$NR$25,203&lt;=$NS$25),IF($NP$25="Single_Point",IF(203=$NR$25,$NN$25,0),IF($NP$25="Bell_Curve",$NN$25*(203-$NR$25+1)*($NS$25-203+1)/$NU$25,$NN$25/$NT$25)),0)</f>
        <v/>
      </c>
      <c r="GZ25" s="228">
        <f>IF(AND(204&gt;=$NR$25,204&lt;=$NS$25),IF($NP$25="Single_Point",IF(204=$NR$25,$NN$25,0),IF($NP$25="Bell_Curve",$NN$25*(204-$NR$25+1)*($NS$25-204+1)/$NU$25,$NN$25/$NT$25)),0)</f>
        <v/>
      </c>
      <c r="HA25" s="228">
        <f>IF(AND(205&gt;=$NR$25,205&lt;=$NS$25),IF($NP$25="Single_Point",IF(205=$NR$25,$NN$25,0),IF($NP$25="Bell_Curve",$NN$25*(205-$NR$25+1)*($NS$25-205+1)/$NU$25,$NN$25/$NT$25)),0)</f>
        <v/>
      </c>
      <c r="HB25" s="228">
        <f>IF(AND(206&gt;=$NR$25,206&lt;=$NS$25),IF($NP$25="Single_Point",IF(206=$NR$25,$NN$25,0),IF($NP$25="Bell_Curve",$NN$25*(206-$NR$25+1)*($NS$25-206+1)/$NU$25,$NN$25/$NT$25)),0)</f>
        <v/>
      </c>
      <c r="HC25" s="228">
        <f>IF(AND(207&gt;=$NR$25,207&lt;=$NS$25),IF($NP$25="Single_Point",IF(207=$NR$25,$NN$25,0),IF($NP$25="Bell_Curve",$NN$25*(207-$NR$25+1)*($NS$25-207+1)/$NU$25,$NN$25/$NT$25)),0)</f>
        <v/>
      </c>
      <c r="HD25" s="228">
        <f>IF(AND(208&gt;=$NR$25,208&lt;=$NS$25),IF($NP$25="Single_Point",IF(208=$NR$25,$NN$25,0),IF($NP$25="Bell_Curve",$NN$25*(208-$NR$25+1)*($NS$25-208+1)/$NU$25,$NN$25/$NT$25)),0)</f>
        <v/>
      </c>
      <c r="HE25" s="228">
        <f>IF(AND(209&gt;=$NR$25,209&lt;=$NS$25),IF($NP$25="Single_Point",IF(209=$NR$25,$NN$25,0),IF($NP$25="Bell_Curve",$NN$25*(209-$NR$25+1)*($NS$25-209+1)/$NU$25,$NN$25/$NT$25)),0)</f>
        <v/>
      </c>
      <c r="HF25" s="228">
        <f>IF(AND(210&gt;=$NR$25,210&lt;=$NS$25),IF($NP$25="Single_Point",IF(210=$NR$25,$NN$25,0),IF($NP$25="Bell_Curve",$NN$25*(210-$NR$25+1)*($NS$25-210+1)/$NU$25,$NN$25/$NT$25)),0)</f>
        <v/>
      </c>
      <c r="HG25" s="228">
        <f>IF(AND(211&gt;=$NR$25,211&lt;=$NS$25),IF($NP$25="Single_Point",IF(211=$NR$25,$NN$25,0),IF($NP$25="Bell_Curve",$NN$25*(211-$NR$25+1)*($NS$25-211+1)/$NU$25,$NN$25/$NT$25)),0)</f>
        <v/>
      </c>
      <c r="HH25" s="228">
        <f>IF(AND(212&gt;=$NR$25,212&lt;=$NS$25),IF($NP$25="Single_Point",IF(212=$NR$25,$NN$25,0),IF($NP$25="Bell_Curve",$NN$25*(212-$NR$25+1)*($NS$25-212+1)/$NU$25,$NN$25/$NT$25)),0)</f>
        <v/>
      </c>
      <c r="HI25" s="228">
        <f>IF(AND(213&gt;=$NR$25,213&lt;=$NS$25),IF($NP$25="Single_Point",IF(213=$NR$25,$NN$25,0),IF($NP$25="Bell_Curve",$NN$25*(213-$NR$25+1)*($NS$25-213+1)/$NU$25,$NN$25/$NT$25)),0)</f>
        <v/>
      </c>
      <c r="HJ25" s="228">
        <f>IF(AND(214&gt;=$NR$25,214&lt;=$NS$25),IF($NP$25="Single_Point",IF(214=$NR$25,$NN$25,0),IF($NP$25="Bell_Curve",$NN$25*(214-$NR$25+1)*($NS$25-214+1)/$NU$25,$NN$25/$NT$25)),0)</f>
        <v/>
      </c>
      <c r="HK25" s="228">
        <f>IF(AND(215&gt;=$NR$25,215&lt;=$NS$25),IF($NP$25="Single_Point",IF(215=$NR$25,$NN$25,0),IF($NP$25="Bell_Curve",$NN$25*(215-$NR$25+1)*($NS$25-215+1)/$NU$25,$NN$25/$NT$25)),0)</f>
        <v/>
      </c>
      <c r="HL25" s="228">
        <f>IF(AND(216&gt;=$NR$25,216&lt;=$NS$25),IF($NP$25="Single_Point",IF(216=$NR$25,$NN$25,0),IF($NP$25="Bell_Curve",$NN$25*(216-$NR$25+1)*($NS$25-216+1)/$NU$25,$NN$25/$NT$25)),0)</f>
        <v/>
      </c>
      <c r="HM25" s="228">
        <f>IF(AND(217&gt;=$NR$25,217&lt;=$NS$25),IF($NP$25="Single_Point",IF(217=$NR$25,$NN$25,0),IF($NP$25="Bell_Curve",$NN$25*(217-$NR$25+1)*($NS$25-217+1)/$NU$25,$NN$25/$NT$25)),0)</f>
        <v/>
      </c>
      <c r="HN25" s="228">
        <f>IF(AND(218&gt;=$NR$25,218&lt;=$NS$25),IF($NP$25="Single_Point",IF(218=$NR$25,$NN$25,0),IF($NP$25="Bell_Curve",$NN$25*(218-$NR$25+1)*($NS$25-218+1)/$NU$25,$NN$25/$NT$25)),0)</f>
        <v/>
      </c>
      <c r="HO25" s="228">
        <f>IF(AND(219&gt;=$NR$25,219&lt;=$NS$25),IF($NP$25="Single_Point",IF(219=$NR$25,$NN$25,0),IF($NP$25="Bell_Curve",$NN$25*(219-$NR$25+1)*($NS$25-219+1)/$NU$25,$NN$25/$NT$25)),0)</f>
        <v/>
      </c>
      <c r="HP25" s="228">
        <f>IF(AND(220&gt;=$NR$25,220&lt;=$NS$25),IF($NP$25="Single_Point",IF(220=$NR$25,$NN$25,0),IF($NP$25="Bell_Curve",$NN$25*(220-$NR$25+1)*($NS$25-220+1)/$NU$25,$NN$25/$NT$25)),0)</f>
        <v/>
      </c>
      <c r="HQ25" s="228">
        <f>IF(AND(221&gt;=$NR$25,221&lt;=$NS$25),IF($NP$25="Single_Point",IF(221=$NR$25,$NN$25,0),IF($NP$25="Bell_Curve",$NN$25*(221-$NR$25+1)*($NS$25-221+1)/$NU$25,$NN$25/$NT$25)),0)</f>
        <v/>
      </c>
      <c r="HR25" s="228">
        <f>IF(AND(222&gt;=$NR$25,222&lt;=$NS$25),IF($NP$25="Single_Point",IF(222=$NR$25,$NN$25,0),IF($NP$25="Bell_Curve",$NN$25*(222-$NR$25+1)*($NS$25-222+1)/$NU$25,$NN$25/$NT$25)),0)</f>
        <v/>
      </c>
      <c r="HS25" s="228">
        <f>IF(AND(223&gt;=$NR$25,223&lt;=$NS$25),IF($NP$25="Single_Point",IF(223=$NR$25,$NN$25,0),IF($NP$25="Bell_Curve",$NN$25*(223-$NR$25+1)*($NS$25-223+1)/$NU$25,$NN$25/$NT$25)),0)</f>
        <v/>
      </c>
      <c r="HT25" s="228">
        <f>IF(AND(224&gt;=$NR$25,224&lt;=$NS$25),IF($NP$25="Single_Point",IF(224=$NR$25,$NN$25,0),IF($NP$25="Bell_Curve",$NN$25*(224-$NR$25+1)*($NS$25-224+1)/$NU$25,$NN$25/$NT$25)),0)</f>
        <v/>
      </c>
      <c r="HU25" s="228">
        <f>IF(AND(225&gt;=$NR$25,225&lt;=$NS$25),IF($NP$25="Single_Point",IF(225=$NR$25,$NN$25,0),IF($NP$25="Bell_Curve",$NN$25*(225-$NR$25+1)*($NS$25-225+1)/$NU$25,$NN$25/$NT$25)),0)</f>
        <v/>
      </c>
      <c r="HV25" s="228">
        <f>IF(AND(226&gt;=$NR$25,226&lt;=$NS$25),IF($NP$25="Single_Point",IF(226=$NR$25,$NN$25,0),IF($NP$25="Bell_Curve",$NN$25*(226-$NR$25+1)*($NS$25-226+1)/$NU$25,$NN$25/$NT$25)),0)</f>
        <v/>
      </c>
      <c r="HW25" s="228">
        <f>IF(AND(227&gt;=$NR$25,227&lt;=$NS$25),IF($NP$25="Single_Point",IF(227=$NR$25,$NN$25,0),IF($NP$25="Bell_Curve",$NN$25*(227-$NR$25+1)*($NS$25-227+1)/$NU$25,$NN$25/$NT$25)),0)</f>
        <v/>
      </c>
      <c r="HX25" s="228">
        <f>IF(AND(228&gt;=$NR$25,228&lt;=$NS$25),IF($NP$25="Single_Point",IF(228=$NR$25,$NN$25,0),IF($NP$25="Bell_Curve",$NN$25*(228-$NR$25+1)*($NS$25-228+1)/$NU$25,$NN$25/$NT$25)),0)</f>
        <v/>
      </c>
      <c r="HY25" s="228">
        <f>IF(AND(229&gt;=$NR$25,229&lt;=$NS$25),IF($NP$25="Single_Point",IF(229=$NR$25,$NN$25,0),IF($NP$25="Bell_Curve",$NN$25*(229-$NR$25+1)*($NS$25-229+1)/$NU$25,$NN$25/$NT$25)),0)</f>
        <v/>
      </c>
      <c r="HZ25" s="228">
        <f>IF(AND(230&gt;=$NR$25,230&lt;=$NS$25),IF($NP$25="Single_Point",IF(230=$NR$25,$NN$25,0),IF($NP$25="Bell_Curve",$NN$25*(230-$NR$25+1)*($NS$25-230+1)/$NU$25,$NN$25/$NT$25)),0)</f>
        <v/>
      </c>
      <c r="IA25" s="228">
        <f>IF(AND(231&gt;=$NR$25,231&lt;=$NS$25),IF($NP$25="Single_Point",IF(231=$NR$25,$NN$25,0),IF($NP$25="Bell_Curve",$NN$25*(231-$NR$25+1)*($NS$25-231+1)/$NU$25,$NN$25/$NT$25)),0)</f>
        <v/>
      </c>
      <c r="IB25" s="228">
        <f>IF(AND(232&gt;=$NR$25,232&lt;=$NS$25),IF($NP$25="Single_Point",IF(232=$NR$25,$NN$25,0),IF($NP$25="Bell_Curve",$NN$25*(232-$NR$25+1)*($NS$25-232+1)/$NU$25,$NN$25/$NT$25)),0)</f>
        <v/>
      </c>
      <c r="IC25" s="228">
        <f>IF(AND(233&gt;=$NR$25,233&lt;=$NS$25),IF($NP$25="Single_Point",IF(233=$NR$25,$NN$25,0),IF($NP$25="Bell_Curve",$NN$25*(233-$NR$25+1)*($NS$25-233+1)/$NU$25,$NN$25/$NT$25)),0)</f>
        <v/>
      </c>
      <c r="ID25" s="228">
        <f>IF(AND(234&gt;=$NR$25,234&lt;=$NS$25),IF($NP$25="Single_Point",IF(234=$NR$25,$NN$25,0),IF($NP$25="Bell_Curve",$NN$25*(234-$NR$25+1)*($NS$25-234+1)/$NU$25,$NN$25/$NT$25)),0)</f>
        <v/>
      </c>
      <c r="IE25" s="228">
        <f>IF(AND(235&gt;=$NR$25,235&lt;=$NS$25),IF($NP$25="Single_Point",IF(235=$NR$25,$NN$25,0),IF($NP$25="Bell_Curve",$NN$25*(235-$NR$25+1)*($NS$25-235+1)/$NU$25,$NN$25/$NT$25)),0)</f>
        <v/>
      </c>
      <c r="IF25" s="228">
        <f>IF(AND(236&gt;=$NR$25,236&lt;=$NS$25),IF($NP$25="Single_Point",IF(236=$NR$25,$NN$25,0),IF($NP$25="Bell_Curve",$NN$25*(236-$NR$25+1)*($NS$25-236+1)/$NU$25,$NN$25/$NT$25)),0)</f>
        <v/>
      </c>
      <c r="IG25" s="228">
        <f>IF(AND(237&gt;=$NR$25,237&lt;=$NS$25),IF($NP$25="Single_Point",IF(237=$NR$25,$NN$25,0),IF($NP$25="Bell_Curve",$NN$25*(237-$NR$25+1)*($NS$25-237+1)/$NU$25,$NN$25/$NT$25)),0)</f>
        <v/>
      </c>
      <c r="IH25" s="228">
        <f>IF(AND(238&gt;=$NR$25,238&lt;=$NS$25),IF($NP$25="Single_Point",IF(238=$NR$25,$NN$25,0),IF($NP$25="Bell_Curve",$NN$25*(238-$NR$25+1)*($NS$25-238+1)/$NU$25,$NN$25/$NT$25)),0)</f>
        <v/>
      </c>
      <c r="II25" s="228">
        <f>IF(AND(239&gt;=$NR$25,239&lt;=$NS$25),IF($NP$25="Single_Point",IF(239=$NR$25,$NN$25,0),IF($NP$25="Bell_Curve",$NN$25*(239-$NR$25+1)*($NS$25-239+1)/$NU$25,$NN$25/$NT$25)),0)</f>
        <v/>
      </c>
      <c r="IJ25" s="228">
        <f>IF(AND(240&gt;=$NR$25,240&lt;=$NS$25),IF($NP$25="Single_Point",IF(240=$NR$25,$NN$25,0),IF($NP$25="Bell_Curve",$NN$25*(240-$NR$25+1)*($NS$25-240+1)/$NU$25,$NN$25/$NT$25)),0)</f>
        <v/>
      </c>
      <c r="IK25" s="228">
        <f>IF(AND(241&gt;=$NR$25,241&lt;=$NS$25),IF($NP$25="Single_Point",IF(241=$NR$25,$NN$25,0),IF($NP$25="Bell_Curve",$NN$25*(241-$NR$25+1)*($NS$25-241+1)/$NU$25,$NN$25/$NT$25)),0)</f>
        <v/>
      </c>
      <c r="IL25" s="228">
        <f>IF(AND(242&gt;=$NR$25,242&lt;=$NS$25),IF($NP$25="Single_Point",IF(242=$NR$25,$NN$25,0),IF($NP$25="Bell_Curve",$NN$25*(242-$NR$25+1)*($NS$25-242+1)/$NU$25,$NN$25/$NT$25)),0)</f>
        <v/>
      </c>
      <c r="IM25" s="228">
        <f>IF(AND(243&gt;=$NR$25,243&lt;=$NS$25),IF($NP$25="Single_Point",IF(243=$NR$25,$NN$25,0),IF($NP$25="Bell_Curve",$NN$25*(243-$NR$25+1)*($NS$25-243+1)/$NU$25,$NN$25/$NT$25)),0)</f>
        <v/>
      </c>
      <c r="IN25" s="228">
        <f>IF(AND(244&gt;=$NR$25,244&lt;=$NS$25),IF($NP$25="Single_Point",IF(244=$NR$25,$NN$25,0),IF($NP$25="Bell_Curve",$NN$25*(244-$NR$25+1)*($NS$25-244+1)/$NU$25,$NN$25/$NT$25)),0)</f>
        <v/>
      </c>
      <c r="IO25" s="228">
        <f>IF(AND(245&gt;=$NR$25,245&lt;=$NS$25),IF($NP$25="Single_Point",IF(245=$NR$25,$NN$25,0),IF($NP$25="Bell_Curve",$NN$25*(245-$NR$25+1)*($NS$25-245+1)/$NU$25,$NN$25/$NT$25)),0)</f>
        <v/>
      </c>
      <c r="IP25" s="228">
        <f>IF(AND(246&gt;=$NR$25,246&lt;=$NS$25),IF($NP$25="Single_Point",IF(246=$NR$25,$NN$25,0),IF($NP$25="Bell_Curve",$NN$25*(246-$NR$25+1)*($NS$25-246+1)/$NU$25,$NN$25/$NT$25)),0)</f>
        <v/>
      </c>
      <c r="IQ25" s="228">
        <f>IF(AND(247&gt;=$NR$25,247&lt;=$NS$25),IF($NP$25="Single_Point",IF(247=$NR$25,$NN$25,0),IF($NP$25="Bell_Curve",$NN$25*(247-$NR$25+1)*($NS$25-247+1)/$NU$25,$NN$25/$NT$25)),0)</f>
        <v/>
      </c>
      <c r="IR25" s="228">
        <f>IF(AND(248&gt;=$NR$25,248&lt;=$NS$25),IF($NP$25="Single_Point",IF(248=$NR$25,$NN$25,0),IF($NP$25="Bell_Curve",$NN$25*(248-$NR$25+1)*($NS$25-248+1)/$NU$25,$NN$25/$NT$25)),0)</f>
        <v/>
      </c>
      <c r="IS25" s="228">
        <f>IF(AND(249&gt;=$NR$25,249&lt;=$NS$25),IF($NP$25="Single_Point",IF(249=$NR$25,$NN$25,0),IF($NP$25="Bell_Curve",$NN$25*(249-$NR$25+1)*($NS$25-249+1)/$NU$25,$NN$25/$NT$25)),0)</f>
        <v/>
      </c>
      <c r="IT25" s="228">
        <f>IF(AND(250&gt;=$NR$25,250&lt;=$NS$25),IF($NP$25="Single_Point",IF(250=$NR$25,$NN$25,0),IF($NP$25="Bell_Curve",$NN$25*(250-$NR$25+1)*($NS$25-250+1)/$NU$25,$NN$25/$NT$25)),0)</f>
        <v/>
      </c>
      <c r="IU25" s="228">
        <f>IF(AND(251&gt;=$NR$25,251&lt;=$NS$25),IF($NP$25="Single_Point",IF(251=$NR$25,$NN$25,0),IF($NP$25="Bell_Curve",$NN$25*(251-$NR$25+1)*($NS$25-251+1)/$NU$25,$NN$25/$NT$25)),0)</f>
        <v/>
      </c>
      <c r="IV25" s="228">
        <f>IF(AND(252&gt;=$NR$25,252&lt;=$NS$25),IF($NP$25="Single_Point",IF(252=$NR$25,$NN$25,0),IF($NP$25="Bell_Curve",$NN$25*(252-$NR$25+1)*($NS$25-252+1)/$NU$25,$NN$25/$NT$25)),0)</f>
        <v/>
      </c>
      <c r="IW25" s="228">
        <f>IF(AND(253&gt;=$NR$25,253&lt;=$NS$25),IF($NP$25="Single_Point",IF(253=$NR$25,$NN$25,0),IF($NP$25="Bell_Curve",$NN$25*(253-$NR$25+1)*($NS$25-253+1)/$NU$25,$NN$25/$NT$25)),0)</f>
        <v/>
      </c>
      <c r="IX25" s="228">
        <f>IF(AND(254&gt;=$NR$25,254&lt;=$NS$25),IF($NP$25="Single_Point",IF(254=$NR$25,$NN$25,0),IF($NP$25="Bell_Curve",$NN$25*(254-$NR$25+1)*($NS$25-254+1)/$NU$25,$NN$25/$NT$25)),0)</f>
        <v/>
      </c>
      <c r="IY25" s="228">
        <f>IF(AND(255&gt;=$NR$25,255&lt;=$NS$25),IF($NP$25="Single_Point",IF(255=$NR$25,$NN$25,0),IF($NP$25="Bell_Curve",$NN$25*(255-$NR$25+1)*($NS$25-255+1)/$NU$25,$NN$25/$NT$25)),0)</f>
        <v/>
      </c>
      <c r="IZ25" s="228">
        <f>IF(AND(256&gt;=$NR$25,256&lt;=$NS$25),IF($NP$25="Single_Point",IF(256=$NR$25,$NN$25,0),IF($NP$25="Bell_Curve",$NN$25*(256-$NR$25+1)*($NS$25-256+1)/$NU$25,$NN$25/$NT$25)),0)</f>
        <v/>
      </c>
      <c r="JA25" s="228">
        <f>IF(AND(257&gt;=$NR$25,257&lt;=$NS$25),IF($NP$25="Single_Point",IF(257=$NR$25,$NN$25,0),IF($NP$25="Bell_Curve",$NN$25*(257-$NR$25+1)*($NS$25-257+1)/$NU$25,$NN$25/$NT$25)),0)</f>
        <v/>
      </c>
      <c r="JB25" s="228">
        <f>IF(AND(258&gt;=$NR$25,258&lt;=$NS$25),IF($NP$25="Single_Point",IF(258=$NR$25,$NN$25,0),IF($NP$25="Bell_Curve",$NN$25*(258-$NR$25+1)*($NS$25-258+1)/$NU$25,$NN$25/$NT$25)),0)</f>
        <v/>
      </c>
      <c r="JC25" s="228">
        <f>IF(AND(259&gt;=$NR$25,259&lt;=$NS$25),IF($NP$25="Single_Point",IF(259=$NR$25,$NN$25,0),IF($NP$25="Bell_Curve",$NN$25*(259-$NR$25+1)*($NS$25-259+1)/$NU$25,$NN$25/$NT$25)),0)</f>
        <v/>
      </c>
      <c r="JD25" s="228">
        <f>IF(AND(260&gt;=$NR$25,260&lt;=$NS$25),IF($NP$25="Single_Point",IF(260=$NR$25,$NN$25,0),IF($NP$25="Bell_Curve",$NN$25*(260-$NR$25+1)*($NS$25-260+1)/$NU$25,$NN$25/$NT$25)),0)</f>
        <v/>
      </c>
      <c r="JE25" s="228">
        <f>IF(AND(261&gt;=$NR$25,261&lt;=$NS$25),IF($NP$25="Single_Point",IF(261=$NR$25,$NN$25,0),IF($NP$25="Bell_Curve",$NN$25*(261-$NR$25+1)*($NS$25-261+1)/$NU$25,$NN$25/$NT$25)),0)</f>
        <v/>
      </c>
      <c r="JF25" s="228">
        <f>IF(AND(262&gt;=$NR$25,262&lt;=$NS$25),IF($NP$25="Single_Point",IF(262=$NR$25,$NN$25,0),IF($NP$25="Bell_Curve",$NN$25*(262-$NR$25+1)*($NS$25-262+1)/$NU$25,$NN$25/$NT$25)),0)</f>
        <v/>
      </c>
      <c r="JG25" s="228">
        <f>IF(AND(263&gt;=$NR$25,263&lt;=$NS$25),IF($NP$25="Single_Point",IF(263=$NR$25,$NN$25,0),IF($NP$25="Bell_Curve",$NN$25*(263-$NR$25+1)*($NS$25-263+1)/$NU$25,$NN$25/$NT$25)),0)</f>
        <v/>
      </c>
      <c r="JH25" s="228">
        <f>IF(AND(264&gt;=$NR$25,264&lt;=$NS$25),IF($NP$25="Single_Point",IF(264=$NR$25,$NN$25,0),IF($NP$25="Bell_Curve",$NN$25*(264-$NR$25+1)*($NS$25-264+1)/$NU$25,$NN$25/$NT$25)),0)</f>
        <v/>
      </c>
      <c r="JI25" s="228">
        <f>IF(AND(265&gt;=$NR$25,265&lt;=$NS$25),IF($NP$25="Single_Point",IF(265=$NR$25,$NN$25,0),IF($NP$25="Bell_Curve",$NN$25*(265-$NR$25+1)*($NS$25-265+1)/$NU$25,$NN$25/$NT$25)),0)</f>
        <v/>
      </c>
      <c r="JJ25" s="228">
        <f>IF(AND(266&gt;=$NR$25,266&lt;=$NS$25),IF($NP$25="Single_Point",IF(266=$NR$25,$NN$25,0),IF($NP$25="Bell_Curve",$NN$25*(266-$NR$25+1)*($NS$25-266+1)/$NU$25,$NN$25/$NT$25)),0)</f>
        <v/>
      </c>
      <c r="JK25" s="228">
        <f>IF(AND(267&gt;=$NR$25,267&lt;=$NS$25),IF($NP$25="Single_Point",IF(267=$NR$25,$NN$25,0),IF($NP$25="Bell_Curve",$NN$25*(267-$NR$25+1)*($NS$25-267+1)/$NU$25,$NN$25/$NT$25)),0)</f>
        <v/>
      </c>
      <c r="JL25" s="228">
        <f>IF(AND(268&gt;=$NR$25,268&lt;=$NS$25),IF($NP$25="Single_Point",IF(268=$NR$25,$NN$25,0),IF($NP$25="Bell_Curve",$NN$25*(268-$NR$25+1)*($NS$25-268+1)/$NU$25,$NN$25/$NT$25)),0)</f>
        <v/>
      </c>
      <c r="JM25" s="228">
        <f>IF(AND(269&gt;=$NR$25,269&lt;=$NS$25),IF($NP$25="Single_Point",IF(269=$NR$25,$NN$25,0),IF($NP$25="Bell_Curve",$NN$25*(269-$NR$25+1)*($NS$25-269+1)/$NU$25,$NN$25/$NT$25)),0)</f>
        <v/>
      </c>
      <c r="JN25" s="228">
        <f>IF(AND(270&gt;=$NR$25,270&lt;=$NS$25),IF($NP$25="Single_Point",IF(270=$NR$25,$NN$25,0),IF($NP$25="Bell_Curve",$NN$25*(270-$NR$25+1)*($NS$25-270+1)/$NU$25,$NN$25/$NT$25)),0)</f>
        <v/>
      </c>
      <c r="JO25" s="228">
        <f>IF(AND(271&gt;=$NR$25,271&lt;=$NS$25),IF($NP$25="Single_Point",IF(271=$NR$25,$NN$25,0),IF($NP$25="Bell_Curve",$NN$25*(271-$NR$25+1)*($NS$25-271+1)/$NU$25,$NN$25/$NT$25)),0)</f>
        <v/>
      </c>
      <c r="JP25" s="228">
        <f>IF(AND(272&gt;=$NR$25,272&lt;=$NS$25),IF($NP$25="Single_Point",IF(272=$NR$25,$NN$25,0),IF($NP$25="Bell_Curve",$NN$25*(272-$NR$25+1)*($NS$25-272+1)/$NU$25,$NN$25/$NT$25)),0)</f>
        <v/>
      </c>
      <c r="JQ25" s="228">
        <f>IF(AND(273&gt;=$NR$25,273&lt;=$NS$25),IF($NP$25="Single_Point",IF(273=$NR$25,$NN$25,0),IF($NP$25="Bell_Curve",$NN$25*(273-$NR$25+1)*($NS$25-273+1)/$NU$25,$NN$25/$NT$25)),0)</f>
        <v/>
      </c>
      <c r="JR25" s="228">
        <f>IF(AND(274&gt;=$NR$25,274&lt;=$NS$25),IF($NP$25="Single_Point",IF(274=$NR$25,$NN$25,0),IF($NP$25="Bell_Curve",$NN$25*(274-$NR$25+1)*($NS$25-274+1)/$NU$25,$NN$25/$NT$25)),0)</f>
        <v/>
      </c>
      <c r="JS25" s="228">
        <f>IF(AND(275&gt;=$NR$25,275&lt;=$NS$25),IF($NP$25="Single_Point",IF(275=$NR$25,$NN$25,0),IF($NP$25="Bell_Curve",$NN$25*(275-$NR$25+1)*($NS$25-275+1)/$NU$25,$NN$25/$NT$25)),0)</f>
        <v/>
      </c>
      <c r="JT25" s="228">
        <f>IF(AND(276&gt;=$NR$25,276&lt;=$NS$25),IF($NP$25="Single_Point",IF(276=$NR$25,$NN$25,0),IF($NP$25="Bell_Curve",$NN$25*(276-$NR$25+1)*($NS$25-276+1)/$NU$25,$NN$25/$NT$25)),0)</f>
        <v/>
      </c>
      <c r="JU25" s="228">
        <f>IF(AND(277&gt;=$NR$25,277&lt;=$NS$25),IF($NP$25="Single_Point",IF(277=$NR$25,$NN$25,0),IF($NP$25="Bell_Curve",$NN$25*(277-$NR$25+1)*($NS$25-277+1)/$NU$25,$NN$25/$NT$25)),0)</f>
        <v/>
      </c>
      <c r="JV25" s="228">
        <f>IF(AND(278&gt;=$NR$25,278&lt;=$NS$25),IF($NP$25="Single_Point",IF(278=$NR$25,$NN$25,0),IF($NP$25="Bell_Curve",$NN$25*(278-$NR$25+1)*($NS$25-278+1)/$NU$25,$NN$25/$NT$25)),0)</f>
        <v/>
      </c>
      <c r="JW25" s="228">
        <f>IF(AND(279&gt;=$NR$25,279&lt;=$NS$25),IF($NP$25="Single_Point",IF(279=$NR$25,$NN$25,0),IF($NP$25="Bell_Curve",$NN$25*(279-$NR$25+1)*($NS$25-279+1)/$NU$25,$NN$25/$NT$25)),0)</f>
        <v/>
      </c>
      <c r="JX25" s="228">
        <f>IF(AND(280&gt;=$NR$25,280&lt;=$NS$25),IF($NP$25="Single_Point",IF(280=$NR$25,$NN$25,0),IF($NP$25="Bell_Curve",$NN$25*(280-$NR$25+1)*($NS$25-280+1)/$NU$25,$NN$25/$NT$25)),0)</f>
        <v/>
      </c>
      <c r="JY25" s="228">
        <f>IF(AND(281&gt;=$NR$25,281&lt;=$NS$25),IF($NP$25="Single_Point",IF(281=$NR$25,$NN$25,0),IF($NP$25="Bell_Curve",$NN$25*(281-$NR$25+1)*($NS$25-281+1)/$NU$25,$NN$25/$NT$25)),0)</f>
        <v/>
      </c>
      <c r="JZ25" s="228">
        <f>IF(AND(282&gt;=$NR$25,282&lt;=$NS$25),IF($NP$25="Single_Point",IF(282=$NR$25,$NN$25,0),IF($NP$25="Bell_Curve",$NN$25*(282-$NR$25+1)*($NS$25-282+1)/$NU$25,$NN$25/$NT$25)),0)</f>
        <v/>
      </c>
      <c r="KA25" s="228">
        <f>IF(AND(283&gt;=$NR$25,283&lt;=$NS$25),IF($NP$25="Single_Point",IF(283=$NR$25,$NN$25,0),IF($NP$25="Bell_Curve",$NN$25*(283-$NR$25+1)*($NS$25-283+1)/$NU$25,$NN$25/$NT$25)),0)</f>
        <v/>
      </c>
      <c r="KB25" s="228">
        <f>IF(AND(284&gt;=$NR$25,284&lt;=$NS$25),IF($NP$25="Single_Point",IF(284=$NR$25,$NN$25,0),IF($NP$25="Bell_Curve",$NN$25*(284-$NR$25+1)*($NS$25-284+1)/$NU$25,$NN$25/$NT$25)),0)</f>
        <v/>
      </c>
      <c r="KC25" s="228">
        <f>IF(AND(285&gt;=$NR$25,285&lt;=$NS$25),IF($NP$25="Single_Point",IF(285=$NR$25,$NN$25,0),IF($NP$25="Bell_Curve",$NN$25*(285-$NR$25+1)*($NS$25-285+1)/$NU$25,$NN$25/$NT$25)),0)</f>
        <v/>
      </c>
      <c r="KD25" s="228">
        <f>IF(AND(286&gt;=$NR$25,286&lt;=$NS$25),IF($NP$25="Single_Point",IF(286=$NR$25,$NN$25,0),IF($NP$25="Bell_Curve",$NN$25*(286-$NR$25+1)*($NS$25-286+1)/$NU$25,$NN$25/$NT$25)),0)</f>
        <v/>
      </c>
      <c r="KE25" s="228">
        <f>IF(AND(287&gt;=$NR$25,287&lt;=$NS$25),IF($NP$25="Single_Point",IF(287=$NR$25,$NN$25,0),IF($NP$25="Bell_Curve",$NN$25*(287-$NR$25+1)*($NS$25-287+1)/$NU$25,$NN$25/$NT$25)),0)</f>
        <v/>
      </c>
      <c r="KF25" s="228">
        <f>IF(AND(288&gt;=$NR$25,288&lt;=$NS$25),IF($NP$25="Single_Point",IF(288=$NR$25,$NN$25,0),IF($NP$25="Bell_Curve",$NN$25*(288-$NR$25+1)*($NS$25-288+1)/$NU$25,$NN$25/$NT$25)),0)</f>
        <v/>
      </c>
      <c r="KG25" s="228">
        <f>IF(AND(289&gt;=$NR$25,289&lt;=$NS$25),IF($NP$25="Single_Point",IF(289=$NR$25,$NN$25,0),IF($NP$25="Bell_Curve",$NN$25*(289-$NR$25+1)*($NS$25-289+1)/$NU$25,$NN$25/$NT$25)),0)</f>
        <v/>
      </c>
      <c r="KH25" s="228">
        <f>IF(AND(290&gt;=$NR$25,290&lt;=$NS$25),IF($NP$25="Single_Point",IF(290=$NR$25,$NN$25,0),IF($NP$25="Bell_Curve",$NN$25*(290-$NR$25+1)*($NS$25-290+1)/$NU$25,$NN$25/$NT$25)),0)</f>
        <v/>
      </c>
      <c r="KI25" s="228">
        <f>IF(AND(291&gt;=$NR$25,291&lt;=$NS$25),IF($NP$25="Single_Point",IF(291=$NR$25,$NN$25,0),IF($NP$25="Bell_Curve",$NN$25*(291-$NR$25+1)*($NS$25-291+1)/$NU$25,$NN$25/$NT$25)),0)</f>
        <v/>
      </c>
      <c r="KJ25" s="228">
        <f>IF(AND(292&gt;=$NR$25,292&lt;=$NS$25),IF($NP$25="Single_Point",IF(292=$NR$25,$NN$25,0),IF($NP$25="Bell_Curve",$NN$25*(292-$NR$25+1)*($NS$25-292+1)/$NU$25,$NN$25/$NT$25)),0)</f>
        <v/>
      </c>
      <c r="KK25" s="228">
        <f>IF(AND(293&gt;=$NR$25,293&lt;=$NS$25),IF($NP$25="Single_Point",IF(293=$NR$25,$NN$25,0),IF($NP$25="Bell_Curve",$NN$25*(293-$NR$25+1)*($NS$25-293+1)/$NU$25,$NN$25/$NT$25)),0)</f>
        <v/>
      </c>
      <c r="KL25" s="228">
        <f>IF(AND(294&gt;=$NR$25,294&lt;=$NS$25),IF($NP$25="Single_Point",IF(294=$NR$25,$NN$25,0),IF($NP$25="Bell_Curve",$NN$25*(294-$NR$25+1)*($NS$25-294+1)/$NU$25,$NN$25/$NT$25)),0)</f>
        <v/>
      </c>
      <c r="KM25" s="228">
        <f>IF(AND(295&gt;=$NR$25,295&lt;=$NS$25),IF($NP$25="Single_Point",IF(295=$NR$25,$NN$25,0),IF($NP$25="Bell_Curve",$NN$25*(295-$NR$25+1)*($NS$25-295+1)/$NU$25,$NN$25/$NT$25)),0)</f>
        <v/>
      </c>
      <c r="KN25" s="228">
        <f>IF(AND(296&gt;=$NR$25,296&lt;=$NS$25),IF($NP$25="Single_Point",IF(296=$NR$25,$NN$25,0),IF($NP$25="Bell_Curve",$NN$25*(296-$NR$25+1)*($NS$25-296+1)/$NU$25,$NN$25/$NT$25)),0)</f>
        <v/>
      </c>
      <c r="KO25" s="228">
        <f>IF(AND(297&gt;=$NR$25,297&lt;=$NS$25),IF($NP$25="Single_Point",IF(297=$NR$25,$NN$25,0),IF($NP$25="Bell_Curve",$NN$25*(297-$NR$25+1)*($NS$25-297+1)/$NU$25,$NN$25/$NT$25)),0)</f>
        <v/>
      </c>
      <c r="KP25" s="228">
        <f>IF(AND(298&gt;=$NR$25,298&lt;=$NS$25),IF($NP$25="Single_Point",IF(298=$NR$25,$NN$25,0),IF($NP$25="Bell_Curve",$NN$25*(298-$NR$25+1)*($NS$25-298+1)/$NU$25,$NN$25/$NT$25)),0)</f>
        <v/>
      </c>
      <c r="KQ25" s="228">
        <f>IF(AND(299&gt;=$NR$25,299&lt;=$NS$25),IF($NP$25="Single_Point",IF(299=$NR$25,$NN$25,0),IF($NP$25="Bell_Curve",$NN$25*(299-$NR$25+1)*($NS$25-299+1)/$NU$25,$NN$25/$NT$25)),0)</f>
        <v/>
      </c>
      <c r="KR25" s="228">
        <f>IF(AND(300&gt;=$NR$25,300&lt;=$NS$25),IF($NP$25="Single_Point",IF(300=$NR$25,$NN$25,0),IF($NP$25="Bell_Curve",$NN$25*(300-$NR$25+1)*($NS$25-300+1)/$NU$25,$NN$25/$NT$25)),0)</f>
        <v/>
      </c>
      <c r="KS25" s="228">
        <f>IF(AND(301&gt;=$NR$25,301&lt;=$NS$25),IF($NP$25="Single_Point",IF(301=$NR$25,$NN$25,0),IF($NP$25="Bell_Curve",$NN$25*(301-$NR$25+1)*($NS$25-301+1)/$NU$25,$NN$25/$NT$25)),0)</f>
        <v/>
      </c>
      <c r="KT25" s="228">
        <f>IF(AND(302&gt;=$NR$25,302&lt;=$NS$25),IF($NP$25="Single_Point",IF(302=$NR$25,$NN$25,0),IF($NP$25="Bell_Curve",$NN$25*(302-$NR$25+1)*($NS$25-302+1)/$NU$25,$NN$25/$NT$25)),0)</f>
        <v/>
      </c>
      <c r="KU25" s="228">
        <f>IF(AND(303&gt;=$NR$25,303&lt;=$NS$25),IF($NP$25="Single_Point",IF(303=$NR$25,$NN$25,0),IF($NP$25="Bell_Curve",$NN$25*(303-$NR$25+1)*($NS$25-303+1)/$NU$25,$NN$25/$NT$25)),0)</f>
        <v/>
      </c>
      <c r="KV25" s="228">
        <f>IF(AND(304&gt;=$NR$25,304&lt;=$NS$25),IF($NP$25="Single_Point",IF(304=$NR$25,$NN$25,0),IF($NP$25="Bell_Curve",$NN$25*(304-$NR$25+1)*($NS$25-304+1)/$NU$25,$NN$25/$NT$25)),0)</f>
        <v/>
      </c>
      <c r="KW25" s="228">
        <f>IF(AND(305&gt;=$NR$25,305&lt;=$NS$25),IF($NP$25="Single_Point",IF(305=$NR$25,$NN$25,0),IF($NP$25="Bell_Curve",$NN$25*(305-$NR$25+1)*($NS$25-305+1)/$NU$25,$NN$25/$NT$25)),0)</f>
        <v/>
      </c>
      <c r="KX25" s="228">
        <f>IF(AND(306&gt;=$NR$25,306&lt;=$NS$25),IF($NP$25="Single_Point",IF(306=$NR$25,$NN$25,0),IF($NP$25="Bell_Curve",$NN$25*(306-$NR$25+1)*($NS$25-306+1)/$NU$25,$NN$25/$NT$25)),0)</f>
        <v/>
      </c>
      <c r="KY25" s="228">
        <f>IF(AND(307&gt;=$NR$25,307&lt;=$NS$25),IF($NP$25="Single_Point",IF(307=$NR$25,$NN$25,0),IF($NP$25="Bell_Curve",$NN$25*(307-$NR$25+1)*($NS$25-307+1)/$NU$25,$NN$25/$NT$25)),0)</f>
        <v/>
      </c>
      <c r="KZ25" s="228">
        <f>IF(AND(308&gt;=$NR$25,308&lt;=$NS$25),IF($NP$25="Single_Point",IF(308=$NR$25,$NN$25,0),IF($NP$25="Bell_Curve",$NN$25*(308-$NR$25+1)*($NS$25-308+1)/$NU$25,$NN$25/$NT$25)),0)</f>
        <v/>
      </c>
      <c r="LA25" s="228">
        <f>IF(AND(309&gt;=$NR$25,309&lt;=$NS$25),IF($NP$25="Single_Point",IF(309=$NR$25,$NN$25,0),IF($NP$25="Bell_Curve",$NN$25*(309-$NR$25+1)*($NS$25-309+1)/$NU$25,$NN$25/$NT$25)),0)</f>
        <v/>
      </c>
      <c r="LB25" s="228">
        <f>IF(AND(310&gt;=$NR$25,310&lt;=$NS$25),IF($NP$25="Single_Point",IF(310=$NR$25,$NN$25,0),IF($NP$25="Bell_Curve",$NN$25*(310-$NR$25+1)*($NS$25-310+1)/$NU$25,$NN$25/$NT$25)),0)</f>
        <v/>
      </c>
      <c r="LC25" s="228">
        <f>IF(AND(311&gt;=$NR$25,311&lt;=$NS$25),IF($NP$25="Single_Point",IF(311=$NR$25,$NN$25,0),IF($NP$25="Bell_Curve",$NN$25*(311-$NR$25+1)*($NS$25-311+1)/$NU$25,$NN$25/$NT$25)),0)</f>
        <v/>
      </c>
      <c r="LD25" s="228">
        <f>IF(AND(312&gt;=$NR$25,312&lt;=$NS$25),IF($NP$25="Single_Point",IF(312=$NR$25,$NN$25,0),IF($NP$25="Bell_Curve",$NN$25*(312-$NR$25+1)*($NS$25-312+1)/$NU$25,$NN$25/$NT$25)),0)</f>
        <v/>
      </c>
      <c r="LE25" s="228">
        <f>IF(AND(313&gt;=$NR$25,313&lt;=$NS$25),IF($NP$25="Single_Point",IF(313=$NR$25,$NN$25,0),IF($NP$25="Bell_Curve",$NN$25*(313-$NR$25+1)*($NS$25-313+1)/$NU$25,$NN$25/$NT$25)),0)</f>
        <v/>
      </c>
      <c r="LF25" s="228">
        <f>IF(AND(314&gt;=$NR$25,314&lt;=$NS$25),IF($NP$25="Single_Point",IF(314=$NR$25,$NN$25,0),IF($NP$25="Bell_Curve",$NN$25*(314-$NR$25+1)*($NS$25-314+1)/$NU$25,$NN$25/$NT$25)),0)</f>
        <v/>
      </c>
      <c r="LG25" s="228">
        <f>IF(AND(315&gt;=$NR$25,315&lt;=$NS$25),IF($NP$25="Single_Point",IF(315=$NR$25,$NN$25,0),IF($NP$25="Bell_Curve",$NN$25*(315-$NR$25+1)*($NS$25-315+1)/$NU$25,$NN$25/$NT$25)),0)</f>
        <v/>
      </c>
      <c r="LH25" s="228">
        <f>IF(AND(316&gt;=$NR$25,316&lt;=$NS$25),IF($NP$25="Single_Point",IF(316=$NR$25,$NN$25,0),IF($NP$25="Bell_Curve",$NN$25*(316-$NR$25+1)*($NS$25-316+1)/$NU$25,$NN$25/$NT$25)),0)</f>
        <v/>
      </c>
      <c r="LI25" s="228">
        <f>IF(AND(317&gt;=$NR$25,317&lt;=$NS$25),IF($NP$25="Single_Point",IF(317=$NR$25,$NN$25,0),IF($NP$25="Bell_Curve",$NN$25*(317-$NR$25+1)*($NS$25-317+1)/$NU$25,$NN$25/$NT$25)),0)</f>
        <v/>
      </c>
      <c r="LJ25" s="228">
        <f>IF(AND(318&gt;=$NR$25,318&lt;=$NS$25),IF($NP$25="Single_Point",IF(318=$NR$25,$NN$25,0),IF($NP$25="Bell_Curve",$NN$25*(318-$NR$25+1)*($NS$25-318+1)/$NU$25,$NN$25/$NT$25)),0)</f>
        <v/>
      </c>
      <c r="LK25" s="228">
        <f>IF(AND(319&gt;=$NR$25,319&lt;=$NS$25),IF($NP$25="Single_Point",IF(319=$NR$25,$NN$25,0),IF($NP$25="Bell_Curve",$NN$25*(319-$NR$25+1)*($NS$25-319+1)/$NU$25,$NN$25/$NT$25)),0)</f>
        <v/>
      </c>
      <c r="LL25" s="228">
        <f>IF(AND(320&gt;=$NR$25,320&lt;=$NS$25),IF($NP$25="Single_Point",IF(320=$NR$25,$NN$25,0),IF($NP$25="Bell_Curve",$NN$25*(320-$NR$25+1)*($NS$25-320+1)/$NU$25,$NN$25/$NT$25)),0)</f>
        <v/>
      </c>
      <c r="LM25" s="228">
        <f>IF(AND(321&gt;=$NR$25,321&lt;=$NS$25),IF($NP$25="Single_Point",IF(321=$NR$25,$NN$25,0),IF($NP$25="Bell_Curve",$NN$25*(321-$NR$25+1)*($NS$25-321+1)/$NU$25,$NN$25/$NT$25)),0)</f>
        <v/>
      </c>
      <c r="LN25" s="228">
        <f>IF(AND(322&gt;=$NR$25,322&lt;=$NS$25),IF($NP$25="Single_Point",IF(322=$NR$25,$NN$25,0),IF($NP$25="Bell_Curve",$NN$25*(322-$NR$25+1)*($NS$25-322+1)/$NU$25,$NN$25/$NT$25)),0)</f>
        <v/>
      </c>
      <c r="LO25" s="228">
        <f>IF(AND(323&gt;=$NR$25,323&lt;=$NS$25),IF($NP$25="Single_Point",IF(323=$NR$25,$NN$25,0),IF($NP$25="Bell_Curve",$NN$25*(323-$NR$25+1)*($NS$25-323+1)/$NU$25,$NN$25/$NT$25)),0)</f>
        <v/>
      </c>
      <c r="LP25" s="228">
        <f>IF(AND(324&gt;=$NR$25,324&lt;=$NS$25),IF($NP$25="Single_Point",IF(324=$NR$25,$NN$25,0),IF($NP$25="Bell_Curve",$NN$25*(324-$NR$25+1)*($NS$25-324+1)/$NU$25,$NN$25/$NT$25)),0)</f>
        <v/>
      </c>
      <c r="LQ25" s="228">
        <f>IF(AND(325&gt;=$NR$25,325&lt;=$NS$25),IF($NP$25="Single_Point",IF(325=$NR$25,$NN$25,0),IF($NP$25="Bell_Curve",$NN$25*(325-$NR$25+1)*($NS$25-325+1)/$NU$25,$NN$25/$NT$25)),0)</f>
        <v/>
      </c>
      <c r="LR25" s="228">
        <f>IF(AND(326&gt;=$NR$25,326&lt;=$NS$25),IF($NP$25="Single_Point",IF(326=$NR$25,$NN$25,0),IF($NP$25="Bell_Curve",$NN$25*(326-$NR$25+1)*($NS$25-326+1)/$NU$25,$NN$25/$NT$25)),0)</f>
        <v/>
      </c>
      <c r="LS25" s="228">
        <f>IF(AND(327&gt;=$NR$25,327&lt;=$NS$25),IF($NP$25="Single_Point",IF(327=$NR$25,$NN$25,0),IF($NP$25="Bell_Curve",$NN$25*(327-$NR$25+1)*($NS$25-327+1)/$NU$25,$NN$25/$NT$25)),0)</f>
        <v/>
      </c>
      <c r="LT25" s="228">
        <f>IF(AND(328&gt;=$NR$25,328&lt;=$NS$25),IF($NP$25="Single_Point",IF(328=$NR$25,$NN$25,0),IF($NP$25="Bell_Curve",$NN$25*(328-$NR$25+1)*($NS$25-328+1)/$NU$25,$NN$25/$NT$25)),0)</f>
        <v/>
      </c>
      <c r="LU25" s="228">
        <f>IF(AND(329&gt;=$NR$25,329&lt;=$NS$25),IF($NP$25="Single_Point",IF(329=$NR$25,$NN$25,0),IF($NP$25="Bell_Curve",$NN$25*(329-$NR$25+1)*($NS$25-329+1)/$NU$25,$NN$25/$NT$25)),0)</f>
        <v/>
      </c>
      <c r="LV25" s="228">
        <f>IF(AND(330&gt;=$NR$25,330&lt;=$NS$25),IF($NP$25="Single_Point",IF(330=$NR$25,$NN$25,0),IF($NP$25="Bell_Curve",$NN$25*(330-$NR$25+1)*($NS$25-330+1)/$NU$25,$NN$25/$NT$25)),0)</f>
        <v/>
      </c>
      <c r="LW25" s="228">
        <f>IF(AND(331&gt;=$NR$25,331&lt;=$NS$25),IF($NP$25="Single_Point",IF(331=$NR$25,$NN$25,0),IF($NP$25="Bell_Curve",$NN$25*(331-$NR$25+1)*($NS$25-331+1)/$NU$25,$NN$25/$NT$25)),0)</f>
        <v/>
      </c>
      <c r="LX25" s="228">
        <f>IF(AND(332&gt;=$NR$25,332&lt;=$NS$25),IF($NP$25="Single_Point",IF(332=$NR$25,$NN$25,0),IF($NP$25="Bell_Curve",$NN$25*(332-$NR$25+1)*($NS$25-332+1)/$NU$25,$NN$25/$NT$25)),0)</f>
        <v/>
      </c>
      <c r="LY25" s="228">
        <f>IF(AND(333&gt;=$NR$25,333&lt;=$NS$25),IF($NP$25="Single_Point",IF(333=$NR$25,$NN$25,0),IF($NP$25="Bell_Curve",$NN$25*(333-$NR$25+1)*($NS$25-333+1)/$NU$25,$NN$25/$NT$25)),0)</f>
        <v/>
      </c>
      <c r="LZ25" s="228">
        <f>IF(AND(334&gt;=$NR$25,334&lt;=$NS$25),IF($NP$25="Single_Point",IF(334=$NR$25,$NN$25,0),IF($NP$25="Bell_Curve",$NN$25*(334-$NR$25+1)*($NS$25-334+1)/$NU$25,$NN$25/$NT$25)),0)</f>
        <v/>
      </c>
      <c r="MA25" s="228">
        <f>IF(AND(335&gt;=$NR$25,335&lt;=$NS$25),IF($NP$25="Single_Point",IF(335=$NR$25,$NN$25,0),IF($NP$25="Bell_Curve",$NN$25*(335-$NR$25+1)*($NS$25-335+1)/$NU$25,$NN$25/$NT$25)),0)</f>
        <v/>
      </c>
      <c r="MB25" s="228">
        <f>IF(AND(336&gt;=$NR$25,336&lt;=$NS$25),IF($NP$25="Single_Point",IF(336=$NR$25,$NN$25,0),IF($NP$25="Bell_Curve",$NN$25*(336-$NR$25+1)*($NS$25-336+1)/$NU$25,$NN$25/$NT$25)),0)</f>
        <v/>
      </c>
      <c r="MC25" s="228">
        <f>IF(AND(337&gt;=$NR$25,337&lt;=$NS$25),IF($NP$25="Single_Point",IF(337=$NR$25,$NN$25,0),IF($NP$25="Bell_Curve",$NN$25*(337-$NR$25+1)*($NS$25-337+1)/$NU$25,$NN$25/$NT$25)),0)</f>
        <v/>
      </c>
      <c r="MD25" s="228">
        <f>IF(AND(338&gt;=$NR$25,338&lt;=$NS$25),IF($NP$25="Single_Point",IF(338=$NR$25,$NN$25,0),IF($NP$25="Bell_Curve",$NN$25*(338-$NR$25+1)*($NS$25-338+1)/$NU$25,$NN$25/$NT$25)),0)</f>
        <v/>
      </c>
      <c r="ME25" s="228">
        <f>IF(AND(339&gt;=$NR$25,339&lt;=$NS$25),IF($NP$25="Single_Point",IF(339=$NR$25,$NN$25,0),IF($NP$25="Bell_Curve",$NN$25*(339-$NR$25+1)*($NS$25-339+1)/$NU$25,$NN$25/$NT$25)),0)</f>
        <v/>
      </c>
      <c r="MF25" s="228">
        <f>IF(AND(340&gt;=$NR$25,340&lt;=$NS$25),IF($NP$25="Single_Point",IF(340=$NR$25,$NN$25,0),IF($NP$25="Bell_Curve",$NN$25*(340-$NR$25+1)*($NS$25-340+1)/$NU$25,$NN$25/$NT$25)),0)</f>
        <v/>
      </c>
      <c r="MG25" s="228">
        <f>IF(AND(341&gt;=$NR$25,341&lt;=$NS$25),IF($NP$25="Single_Point",IF(341=$NR$25,$NN$25,0),IF($NP$25="Bell_Curve",$NN$25*(341-$NR$25+1)*($NS$25-341+1)/$NU$25,$NN$25/$NT$25)),0)</f>
        <v/>
      </c>
      <c r="MH25" s="228">
        <f>IF(AND(342&gt;=$NR$25,342&lt;=$NS$25),IF($NP$25="Single_Point",IF(342=$NR$25,$NN$25,0),IF($NP$25="Bell_Curve",$NN$25*(342-$NR$25+1)*($NS$25-342+1)/$NU$25,$NN$25/$NT$25)),0)</f>
        <v/>
      </c>
      <c r="MI25" s="228">
        <f>IF(AND(343&gt;=$NR$25,343&lt;=$NS$25),IF($NP$25="Single_Point",IF(343=$NR$25,$NN$25,0),IF($NP$25="Bell_Curve",$NN$25*(343-$NR$25+1)*($NS$25-343+1)/$NU$25,$NN$25/$NT$25)),0)</f>
        <v/>
      </c>
      <c r="MJ25" s="228">
        <f>IF(AND(344&gt;=$NR$25,344&lt;=$NS$25),IF($NP$25="Single_Point",IF(344=$NR$25,$NN$25,0),IF($NP$25="Bell_Curve",$NN$25*(344-$NR$25+1)*($NS$25-344+1)/$NU$25,$NN$25/$NT$25)),0)</f>
        <v/>
      </c>
      <c r="MK25" s="228">
        <f>IF(AND(345&gt;=$NR$25,345&lt;=$NS$25),IF($NP$25="Single_Point",IF(345=$NR$25,$NN$25,0),IF($NP$25="Bell_Curve",$NN$25*(345-$NR$25+1)*($NS$25-345+1)/$NU$25,$NN$25/$NT$25)),0)</f>
        <v/>
      </c>
      <c r="ML25" s="228">
        <f>IF(AND(346&gt;=$NR$25,346&lt;=$NS$25),IF($NP$25="Single_Point",IF(346=$NR$25,$NN$25,0),IF($NP$25="Bell_Curve",$NN$25*(346-$NR$25+1)*($NS$25-346+1)/$NU$25,$NN$25/$NT$25)),0)</f>
        <v/>
      </c>
      <c r="MM25" s="228">
        <f>IF(AND(347&gt;=$NR$25,347&lt;=$NS$25),IF($NP$25="Single_Point",IF(347=$NR$25,$NN$25,0),IF($NP$25="Bell_Curve",$NN$25*(347-$NR$25+1)*($NS$25-347+1)/$NU$25,$NN$25/$NT$25)),0)</f>
        <v/>
      </c>
      <c r="MN25" s="228">
        <f>IF(AND(348&gt;=$NR$25,348&lt;=$NS$25),IF($NP$25="Single_Point",IF(348=$NR$25,$NN$25,0),IF($NP$25="Bell_Curve",$NN$25*(348-$NR$25+1)*($NS$25-348+1)/$NU$25,$NN$25/$NT$25)),0)</f>
        <v/>
      </c>
      <c r="MO25" s="228">
        <f>IF(AND(349&gt;=$NR$25,349&lt;=$NS$25),IF($NP$25="Single_Point",IF(349=$NR$25,$NN$25,0),IF($NP$25="Bell_Curve",$NN$25*(349-$NR$25+1)*($NS$25-349+1)/$NU$25,$NN$25/$NT$25)),0)</f>
        <v/>
      </c>
      <c r="MP25" s="228">
        <f>IF(AND(350&gt;=$NR$25,350&lt;=$NS$25),IF($NP$25="Single_Point",IF(350=$NR$25,$NN$25,0),IF($NP$25="Bell_Curve",$NN$25*(350-$NR$25+1)*($NS$25-350+1)/$NU$25,$NN$25/$NT$25)),0)</f>
        <v/>
      </c>
      <c r="MQ25" s="228">
        <f>IF(AND(351&gt;=$NR$25,351&lt;=$NS$25),IF($NP$25="Single_Point",IF(351=$NR$25,$NN$25,0),IF($NP$25="Bell_Curve",$NN$25*(351-$NR$25+1)*($NS$25-351+1)/$NU$25,$NN$25/$NT$25)),0)</f>
        <v/>
      </c>
      <c r="MR25" s="228">
        <f>IF(AND(352&gt;=$NR$25,352&lt;=$NS$25),IF($NP$25="Single_Point",IF(352=$NR$25,$NN$25,0),IF($NP$25="Bell_Curve",$NN$25*(352-$NR$25+1)*($NS$25-352+1)/$NU$25,$NN$25/$NT$25)),0)</f>
        <v/>
      </c>
      <c r="MS25" s="228">
        <f>IF(AND(353&gt;=$NR$25,353&lt;=$NS$25),IF($NP$25="Single_Point",IF(353=$NR$25,$NN$25,0),IF($NP$25="Bell_Curve",$NN$25*(353-$NR$25+1)*($NS$25-353+1)/$NU$25,$NN$25/$NT$25)),0)</f>
        <v/>
      </c>
      <c r="MT25" s="228">
        <f>IF(AND(354&gt;=$NR$25,354&lt;=$NS$25),IF($NP$25="Single_Point",IF(354=$NR$25,$NN$25,0),IF($NP$25="Bell_Curve",$NN$25*(354-$NR$25+1)*($NS$25-354+1)/$NU$25,$NN$25/$NT$25)),0)</f>
        <v/>
      </c>
      <c r="MU25" s="228">
        <f>IF(AND(355&gt;=$NR$25,355&lt;=$NS$25),IF($NP$25="Single_Point",IF(355=$NR$25,$NN$25,0),IF($NP$25="Bell_Curve",$NN$25*(355-$NR$25+1)*($NS$25-355+1)/$NU$25,$NN$25/$NT$25)),0)</f>
        <v/>
      </c>
      <c r="MV25" s="228">
        <f>IF(AND(356&gt;=$NR$25,356&lt;=$NS$25),IF($NP$25="Single_Point",IF(356=$NR$25,$NN$25,0),IF($NP$25="Bell_Curve",$NN$25*(356-$NR$25+1)*($NS$25-356+1)/$NU$25,$NN$25/$NT$25)),0)</f>
        <v/>
      </c>
      <c r="MW25" s="228">
        <f>IF(AND(357&gt;=$NR$25,357&lt;=$NS$25),IF($NP$25="Single_Point",IF(357=$NR$25,$NN$25,0),IF($NP$25="Bell_Curve",$NN$25*(357-$NR$25+1)*($NS$25-357+1)/$NU$25,$NN$25/$NT$25)),0)</f>
        <v/>
      </c>
      <c r="MX25" s="228">
        <f>IF(AND(358&gt;=$NR$25,358&lt;=$NS$25),IF($NP$25="Single_Point",IF(358=$NR$25,$NN$25,0),IF($NP$25="Bell_Curve",$NN$25*(358-$NR$25+1)*($NS$25-358+1)/$NU$25,$NN$25/$NT$25)),0)</f>
        <v/>
      </c>
      <c r="MY25" s="228">
        <f>IF(AND(359&gt;=$NR$25,359&lt;=$NS$25),IF($NP$25="Single_Point",IF(359=$NR$25,$NN$25,0),IF($NP$25="Bell_Curve",$NN$25*(359-$NR$25+1)*($NS$25-359+1)/$NU$25,$NN$25/$NT$25)),0)</f>
        <v/>
      </c>
      <c r="MZ25" s="228">
        <f>IF(AND(360&gt;=$NR$25,360&lt;=$NS$25),IF($NP$25="Single_Point",IF(360=$NR$25,$NN$25,0),IF($NP$25="Bell_Curve",$NN$25*(360-$NR$25+1)*($NS$25-360+1)/$NU$25,$NN$25/$NT$25)),0)</f>
        <v/>
      </c>
      <c r="NA25" s="228">
        <f>IF(AND(361&gt;=$NR$25,361&lt;=$NS$25),IF($NP$25="Single_Point",IF(361=$NR$25,$NN$25,0),IF($NP$25="Bell_Curve",$NN$25*(361-$NR$25+1)*($NS$25-361+1)/$NU$25,$NN$25/$NT$25)),0)</f>
        <v/>
      </c>
      <c r="NB25" s="228">
        <f>IF(AND(362&gt;=$NR$25,362&lt;=$NS$25),IF($NP$25="Single_Point",IF(362=$NR$25,$NN$25,0),IF($NP$25="Bell_Curve",$NN$25*(362-$NR$25+1)*($NS$25-362+1)/$NU$25,$NN$25/$NT$25)),0)</f>
        <v/>
      </c>
      <c r="NC25" s="228">
        <f>IF(AND(363&gt;=$NR$25,363&lt;=$NS$25),IF($NP$25="Single_Point",IF(363=$NR$25,$NN$25,0),IF($NP$25="Bell_Curve",$NN$25*(363-$NR$25+1)*($NS$25-363+1)/$NU$25,$NN$25/$NT$25)),0)</f>
        <v/>
      </c>
      <c r="ND25" s="228">
        <f>IF(AND(364&gt;=$NR$25,364&lt;=$NS$25),IF($NP$25="Single_Point",IF(364=$NR$25,$NN$25,0),IF($NP$25="Bell_Curve",$NN$25*(364-$NR$25+1)*($NS$25-364+1)/$NU$25,$NN$25/$NT$25)),0)</f>
        <v/>
      </c>
      <c r="NE25" s="228">
        <f>IF(AND(365&gt;=$NR$25,365&lt;=$NS$25),IF($NP$25="Single_Point",IF(365=$NR$25,$NN$25,0),IF($NP$25="Bell_Curve",$NN$25*(365-$NR$25+1)*($NS$25-365+1)/$NU$25,$NN$25/$NT$25)),0)</f>
        <v/>
      </c>
      <c r="NF25" s="228">
        <f>IF(AND(366&gt;=$NR$25,366&lt;=$NS$25),IF($NP$25="Single_Point",IF(366=$NR$25,$NN$25,0),IF($NP$25="Bell_Curve",$NN$25*(366-$NR$25+1)*($NS$25-366+1)/$NU$25,$NN$25/$NT$25)),0)</f>
        <v/>
      </c>
      <c r="NG25" s="228">
        <f>IF(AND(367&gt;=$NR$25,367&lt;=$NS$25),IF($NP$25="Single_Point",IF(367=$NR$25,$NN$25,0),IF($NP$25="Bell_Curve",$NN$25*(367-$NR$25+1)*($NS$25-367+1)/$NU$25,$NN$25/$NT$25)),0)</f>
        <v/>
      </c>
      <c r="NH25" s="228">
        <f>IF(AND(368&gt;=$NR$25,368&lt;=$NS$25),IF($NP$25="Single_Point",IF(368=$NR$25,$NN$25,0),IF($NP$25="Bell_Curve",$NN$25*(368-$NR$25+1)*($NS$25-368+1)/$NU$25,$NN$25/$NT$25)),0)</f>
        <v/>
      </c>
      <c r="NI25" s="228">
        <f>IF(AND(369&gt;=$NR$25,369&lt;=$NS$25),IF($NP$25="Single_Point",IF(369=$NR$25,$NN$25,0),IF($NP$25="Bell_Curve",$NN$25*(369-$NR$25+1)*($NS$25-369+1)/$NU$25,$NN$25/$NT$25)),0)</f>
        <v/>
      </c>
      <c r="NJ25" s="228">
        <f>IF(AND(370&gt;=$NR$25,370&lt;=$NS$25),IF($NP$25="Single_Point",IF(370=$NR$25,$NN$25,0),IF($NP$25="Bell_Curve",$NN$25*(370-$NR$25+1)*($NS$25-370+1)/$NU$25,$NN$25/$NT$25)),0)</f>
        <v/>
      </c>
      <c r="NK25" s="228">
        <f>IF(AND(371&gt;=$NR$25,371&lt;=$NS$25),IF($NP$25="Single_Point",IF(371=$NR$25,$NN$25,0),IF($NP$25="Bell_Curve",$NN$25*(371-$NR$25+1)*($NS$25-371+1)/$NU$25,$NN$25/$NT$25)),0)</f>
        <v/>
      </c>
      <c r="NL25" s="247">
        <f>IF(AND(372&gt;=$NR$25,372&lt;=$NS$25),IF($NP$25="Single_Point",IF(372=$NR$25,$NN$25,0),IF($NP$25="Bell_Curve",$NN$25*(372-$NR$25+1)*($NS$25-372+1)/$NU$25,$NN$25/$NT$25)),0)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36" t="inlineStr">
        <is>
          <t>Other Soft Cost 6</t>
        </is>
      </c>
      <c r="D26" s="246">
        <f>SUM(E26:NL26)</f>
        <v/>
      </c>
      <c r="E26" s="228">
        <f>IF(AND(1&gt;=$NR$26,1&lt;=$NS$26),IF($NP$26="Single_Point",IF(1=$NR$26,$NN$26,0),IF($NP$26="Bell_Curve",$NN$26*(1-$NR$26+1)*($NS$26-1+1)/$NU$26,$NN$26/$NT$26)),0)</f>
        <v/>
      </c>
      <c r="F26" s="228">
        <f>IF(AND(2&gt;=$NR$26,2&lt;=$NS$26),IF($NP$26="Single_Point",IF(2=$NR$26,$NN$26,0),IF($NP$26="Bell_Curve",$NN$26*(2-$NR$26+1)*($NS$26-2+1)/$NU$26,$NN$26/$NT$26)),0)</f>
        <v/>
      </c>
      <c r="G26" s="228">
        <f>IF(AND(3&gt;=$NR$26,3&lt;=$NS$26),IF($NP$26="Single_Point",IF(3=$NR$26,$NN$26,0),IF($NP$26="Bell_Curve",$NN$26*(3-$NR$26+1)*($NS$26-3+1)/$NU$26,$NN$26/$NT$26)),0)</f>
        <v/>
      </c>
      <c r="H26" s="228">
        <f>IF(AND(4&gt;=$NR$26,4&lt;=$NS$26),IF($NP$26="Single_Point",IF(4=$NR$26,$NN$26,0),IF($NP$26="Bell_Curve",$NN$26*(4-$NR$26+1)*($NS$26-4+1)/$NU$26,$NN$26/$NT$26)),0)</f>
        <v/>
      </c>
      <c r="I26" s="228">
        <f>IF(AND(5&gt;=$NR$26,5&lt;=$NS$26),IF($NP$26="Single_Point",IF(5=$NR$26,$NN$26,0),IF($NP$26="Bell_Curve",$NN$26*(5-$NR$26+1)*($NS$26-5+1)/$NU$26,$NN$26/$NT$26)),0)</f>
        <v/>
      </c>
      <c r="J26" s="228">
        <f>IF(AND(6&gt;=$NR$26,6&lt;=$NS$26),IF($NP$26="Single_Point",IF(6=$NR$26,$NN$26,0),IF($NP$26="Bell_Curve",$NN$26*(6-$NR$26+1)*($NS$26-6+1)/$NU$26,$NN$26/$NT$26)),0)</f>
        <v/>
      </c>
      <c r="K26" s="228">
        <f>IF(AND(7&gt;=$NR$26,7&lt;=$NS$26),IF($NP$26="Single_Point",IF(7=$NR$26,$NN$26,0),IF($NP$26="Bell_Curve",$NN$26*(7-$NR$26+1)*($NS$26-7+1)/$NU$26,$NN$26/$NT$26)),0)</f>
        <v/>
      </c>
      <c r="L26" s="228">
        <f>IF(AND(8&gt;=$NR$26,8&lt;=$NS$26),IF($NP$26="Single_Point",IF(8=$NR$26,$NN$26,0),IF($NP$26="Bell_Curve",$NN$26*(8-$NR$26+1)*($NS$26-8+1)/$NU$26,$NN$26/$NT$26)),0)</f>
        <v/>
      </c>
      <c r="M26" s="228">
        <f>IF(AND(9&gt;=$NR$26,9&lt;=$NS$26),IF($NP$26="Single_Point",IF(9=$NR$26,$NN$26,0),IF($NP$26="Bell_Curve",$NN$26*(9-$NR$26+1)*($NS$26-9+1)/$NU$26,$NN$26/$NT$26)),0)</f>
        <v/>
      </c>
      <c r="N26" s="228">
        <f>IF(AND(10&gt;=$NR$26,10&lt;=$NS$26),IF($NP$26="Single_Point",IF(10=$NR$26,$NN$26,0),IF($NP$26="Bell_Curve",$NN$26*(10-$NR$26+1)*($NS$26-10+1)/$NU$26,$NN$26/$NT$26)),0)</f>
        <v/>
      </c>
      <c r="O26" s="228">
        <f>IF(AND(11&gt;=$NR$26,11&lt;=$NS$26),IF($NP$26="Single_Point",IF(11=$NR$26,$NN$26,0),IF($NP$26="Bell_Curve",$NN$26*(11-$NR$26+1)*($NS$26-11+1)/$NU$26,$NN$26/$NT$26)),0)</f>
        <v/>
      </c>
      <c r="P26" s="228">
        <f>IF(AND(12&gt;=$NR$26,12&lt;=$NS$26),IF($NP$26="Single_Point",IF(12=$NR$26,$NN$26,0),IF($NP$26="Bell_Curve",$NN$26*(12-$NR$26+1)*($NS$26-12+1)/$NU$26,$NN$26/$NT$26)),0)</f>
        <v/>
      </c>
      <c r="Q26" s="228">
        <f>IF(AND(13&gt;=$NR$26,13&lt;=$NS$26),IF($NP$26="Single_Point",IF(13=$NR$26,$NN$26,0),IF($NP$26="Bell_Curve",$NN$26*(13-$NR$26+1)*($NS$26-13+1)/$NU$26,$NN$26/$NT$26)),0)</f>
        <v/>
      </c>
      <c r="R26" s="228">
        <f>IF(AND(14&gt;=$NR$26,14&lt;=$NS$26),IF($NP$26="Single_Point",IF(14=$NR$26,$NN$26,0),IF($NP$26="Bell_Curve",$NN$26*(14-$NR$26+1)*($NS$26-14+1)/$NU$26,$NN$26/$NT$26)),0)</f>
        <v/>
      </c>
      <c r="S26" s="228">
        <f>IF(AND(15&gt;=$NR$26,15&lt;=$NS$26),IF($NP$26="Single_Point",IF(15=$NR$26,$NN$26,0),IF($NP$26="Bell_Curve",$NN$26*(15-$NR$26+1)*($NS$26-15+1)/$NU$26,$NN$26/$NT$26)),0)</f>
        <v/>
      </c>
      <c r="T26" s="228">
        <f>IF(AND(16&gt;=$NR$26,16&lt;=$NS$26),IF($NP$26="Single_Point",IF(16=$NR$26,$NN$26,0),IF($NP$26="Bell_Curve",$NN$26*(16-$NR$26+1)*($NS$26-16+1)/$NU$26,$NN$26/$NT$26)),0)</f>
        <v/>
      </c>
      <c r="U26" s="228">
        <f>IF(AND(17&gt;=$NR$26,17&lt;=$NS$26),IF($NP$26="Single_Point",IF(17=$NR$26,$NN$26,0),IF($NP$26="Bell_Curve",$NN$26*(17-$NR$26+1)*($NS$26-17+1)/$NU$26,$NN$26/$NT$26)),0)</f>
        <v/>
      </c>
      <c r="V26" s="228">
        <f>IF(AND(18&gt;=$NR$26,18&lt;=$NS$26),IF($NP$26="Single_Point",IF(18=$NR$26,$NN$26,0),IF($NP$26="Bell_Curve",$NN$26*(18-$NR$26+1)*($NS$26-18+1)/$NU$26,$NN$26/$NT$26)),0)</f>
        <v/>
      </c>
      <c r="W26" s="228">
        <f>IF(AND(19&gt;=$NR$26,19&lt;=$NS$26),IF($NP$26="Single_Point",IF(19=$NR$26,$NN$26,0),IF($NP$26="Bell_Curve",$NN$26*(19-$NR$26+1)*($NS$26-19+1)/$NU$26,$NN$26/$NT$26)),0)</f>
        <v/>
      </c>
      <c r="X26" s="228">
        <f>IF(AND(20&gt;=$NR$26,20&lt;=$NS$26),IF($NP$26="Single_Point",IF(20=$NR$26,$NN$26,0),IF($NP$26="Bell_Curve",$NN$26*(20-$NR$26+1)*($NS$26-20+1)/$NU$26,$NN$26/$NT$26)),0)</f>
        <v/>
      </c>
      <c r="Y26" s="228">
        <f>IF(AND(21&gt;=$NR$26,21&lt;=$NS$26),IF($NP$26="Single_Point",IF(21=$NR$26,$NN$26,0),IF($NP$26="Bell_Curve",$NN$26*(21-$NR$26+1)*($NS$26-21+1)/$NU$26,$NN$26/$NT$26)),0)</f>
        <v/>
      </c>
      <c r="Z26" s="228">
        <f>IF(AND(22&gt;=$NR$26,22&lt;=$NS$26),IF($NP$26="Single_Point",IF(22=$NR$26,$NN$26,0),IF($NP$26="Bell_Curve",$NN$26*(22-$NR$26+1)*($NS$26-22+1)/$NU$26,$NN$26/$NT$26)),0)</f>
        <v/>
      </c>
      <c r="AA26" s="228">
        <f>IF(AND(23&gt;=$NR$26,23&lt;=$NS$26),IF($NP$26="Single_Point",IF(23=$NR$26,$NN$26,0),IF($NP$26="Bell_Curve",$NN$26*(23-$NR$26+1)*($NS$26-23+1)/$NU$26,$NN$26/$NT$26)),0)</f>
        <v/>
      </c>
      <c r="AB26" s="228">
        <f>IF(AND(24&gt;=$NR$26,24&lt;=$NS$26),IF($NP$26="Single_Point",IF(24=$NR$26,$NN$26,0),IF($NP$26="Bell_Curve",$NN$26*(24-$NR$26+1)*($NS$26-24+1)/$NU$26,$NN$26/$NT$26)),0)</f>
        <v/>
      </c>
      <c r="AC26" s="228">
        <f>IF(AND(25&gt;=$NR$26,25&lt;=$NS$26),IF($NP$26="Single_Point",IF(25=$NR$26,$NN$26,0),IF($NP$26="Bell_Curve",$NN$26*(25-$NR$26+1)*($NS$26-25+1)/$NU$26,$NN$26/$NT$26)),0)</f>
        <v/>
      </c>
      <c r="AD26" s="228">
        <f>IF(AND(26&gt;=$NR$26,26&lt;=$NS$26),IF($NP$26="Single_Point",IF(26=$NR$26,$NN$26,0),IF($NP$26="Bell_Curve",$NN$26*(26-$NR$26+1)*($NS$26-26+1)/$NU$26,$NN$26/$NT$26)),0)</f>
        <v/>
      </c>
      <c r="AE26" s="228">
        <f>IF(AND(27&gt;=$NR$26,27&lt;=$NS$26),IF($NP$26="Single_Point",IF(27=$NR$26,$NN$26,0),IF($NP$26="Bell_Curve",$NN$26*(27-$NR$26+1)*($NS$26-27+1)/$NU$26,$NN$26/$NT$26)),0)</f>
        <v/>
      </c>
      <c r="AF26" s="228">
        <f>IF(AND(28&gt;=$NR$26,28&lt;=$NS$26),IF($NP$26="Single_Point",IF(28=$NR$26,$NN$26,0),IF($NP$26="Bell_Curve",$NN$26*(28-$NR$26+1)*($NS$26-28+1)/$NU$26,$NN$26/$NT$26)),0)</f>
        <v/>
      </c>
      <c r="AG26" s="228">
        <f>IF(AND(29&gt;=$NR$26,29&lt;=$NS$26),IF($NP$26="Single_Point",IF(29=$NR$26,$NN$26,0),IF($NP$26="Bell_Curve",$NN$26*(29-$NR$26+1)*($NS$26-29+1)/$NU$26,$NN$26/$NT$26)),0)</f>
        <v/>
      </c>
      <c r="AH26" s="228">
        <f>IF(AND(30&gt;=$NR$26,30&lt;=$NS$26),IF($NP$26="Single_Point",IF(30=$NR$26,$NN$26,0),IF($NP$26="Bell_Curve",$NN$26*(30-$NR$26+1)*($NS$26-30+1)/$NU$26,$NN$26/$NT$26)),0)</f>
        <v/>
      </c>
      <c r="AI26" s="228">
        <f>IF(AND(31&gt;=$NR$26,31&lt;=$NS$26),IF($NP$26="Single_Point",IF(31=$NR$26,$NN$26,0),IF($NP$26="Bell_Curve",$NN$26*(31-$NR$26+1)*($NS$26-31+1)/$NU$26,$NN$26/$NT$26)),0)</f>
        <v/>
      </c>
      <c r="AJ26" s="228">
        <f>IF(AND(32&gt;=$NR$26,32&lt;=$NS$26),IF($NP$26="Single_Point",IF(32=$NR$26,$NN$26,0),IF($NP$26="Bell_Curve",$NN$26*(32-$NR$26+1)*($NS$26-32+1)/$NU$26,$NN$26/$NT$26)),0)</f>
        <v/>
      </c>
      <c r="AK26" s="228">
        <f>IF(AND(33&gt;=$NR$26,33&lt;=$NS$26),IF($NP$26="Single_Point",IF(33=$NR$26,$NN$26,0),IF($NP$26="Bell_Curve",$NN$26*(33-$NR$26+1)*($NS$26-33+1)/$NU$26,$NN$26/$NT$26)),0)</f>
        <v/>
      </c>
      <c r="AL26" s="228">
        <f>IF(AND(34&gt;=$NR$26,34&lt;=$NS$26),IF($NP$26="Single_Point",IF(34=$NR$26,$NN$26,0),IF($NP$26="Bell_Curve",$NN$26*(34-$NR$26+1)*($NS$26-34+1)/$NU$26,$NN$26/$NT$26)),0)</f>
        <v/>
      </c>
      <c r="AM26" s="228">
        <f>IF(AND(35&gt;=$NR$26,35&lt;=$NS$26),IF($NP$26="Single_Point",IF(35=$NR$26,$NN$26,0),IF($NP$26="Bell_Curve",$NN$26*(35-$NR$26+1)*($NS$26-35+1)/$NU$26,$NN$26/$NT$26)),0)</f>
        <v/>
      </c>
      <c r="AN26" s="228">
        <f>IF(AND(36&gt;=$NR$26,36&lt;=$NS$26),IF($NP$26="Single_Point",IF(36=$NR$26,$NN$26,0),IF($NP$26="Bell_Curve",$NN$26*(36-$NR$26+1)*($NS$26-36+1)/$NU$26,$NN$26/$NT$26)),0)</f>
        <v/>
      </c>
      <c r="AO26" s="228">
        <f>IF(AND(37&gt;=$NR$26,37&lt;=$NS$26),IF($NP$26="Single_Point",IF(37=$NR$26,$NN$26,0),IF($NP$26="Bell_Curve",$NN$26*(37-$NR$26+1)*($NS$26-37+1)/$NU$26,$NN$26/$NT$26)),0)</f>
        <v/>
      </c>
      <c r="AP26" s="228">
        <f>IF(AND(38&gt;=$NR$26,38&lt;=$NS$26),IF($NP$26="Single_Point",IF(38=$NR$26,$NN$26,0),IF($NP$26="Bell_Curve",$NN$26*(38-$NR$26+1)*($NS$26-38+1)/$NU$26,$NN$26/$NT$26)),0)</f>
        <v/>
      </c>
      <c r="AQ26" s="228">
        <f>IF(AND(39&gt;=$NR$26,39&lt;=$NS$26),IF($NP$26="Single_Point",IF(39=$NR$26,$NN$26,0),IF($NP$26="Bell_Curve",$NN$26*(39-$NR$26+1)*($NS$26-39+1)/$NU$26,$NN$26/$NT$26)),0)</f>
        <v/>
      </c>
      <c r="AR26" s="228">
        <f>IF(AND(40&gt;=$NR$26,40&lt;=$NS$26),IF($NP$26="Single_Point",IF(40=$NR$26,$NN$26,0),IF($NP$26="Bell_Curve",$NN$26*(40-$NR$26+1)*($NS$26-40+1)/$NU$26,$NN$26/$NT$26)),0)</f>
        <v/>
      </c>
      <c r="AS26" s="228">
        <f>IF(AND(41&gt;=$NR$26,41&lt;=$NS$26),IF($NP$26="Single_Point",IF(41=$NR$26,$NN$26,0),IF($NP$26="Bell_Curve",$NN$26*(41-$NR$26+1)*($NS$26-41+1)/$NU$26,$NN$26/$NT$26)),0)</f>
        <v/>
      </c>
      <c r="AT26" s="228">
        <f>IF(AND(42&gt;=$NR$26,42&lt;=$NS$26),IF($NP$26="Single_Point",IF(42=$NR$26,$NN$26,0),IF($NP$26="Bell_Curve",$NN$26*(42-$NR$26+1)*($NS$26-42+1)/$NU$26,$NN$26/$NT$26)),0)</f>
        <v/>
      </c>
      <c r="AU26" s="228">
        <f>IF(AND(43&gt;=$NR$26,43&lt;=$NS$26),IF($NP$26="Single_Point",IF(43=$NR$26,$NN$26,0),IF($NP$26="Bell_Curve",$NN$26*(43-$NR$26+1)*($NS$26-43+1)/$NU$26,$NN$26/$NT$26)),0)</f>
        <v/>
      </c>
      <c r="AV26" s="228">
        <f>IF(AND(44&gt;=$NR$26,44&lt;=$NS$26),IF($NP$26="Single_Point",IF(44=$NR$26,$NN$26,0),IF($NP$26="Bell_Curve",$NN$26*(44-$NR$26+1)*($NS$26-44+1)/$NU$26,$NN$26/$NT$26)),0)</f>
        <v/>
      </c>
      <c r="AW26" s="228">
        <f>IF(AND(45&gt;=$NR$26,45&lt;=$NS$26),IF($NP$26="Single_Point",IF(45=$NR$26,$NN$26,0),IF($NP$26="Bell_Curve",$NN$26*(45-$NR$26+1)*($NS$26-45+1)/$NU$26,$NN$26/$NT$26)),0)</f>
        <v/>
      </c>
      <c r="AX26" s="228">
        <f>IF(AND(46&gt;=$NR$26,46&lt;=$NS$26),IF($NP$26="Single_Point",IF(46=$NR$26,$NN$26,0),IF($NP$26="Bell_Curve",$NN$26*(46-$NR$26+1)*($NS$26-46+1)/$NU$26,$NN$26/$NT$26)),0)</f>
        <v/>
      </c>
      <c r="AY26" s="228">
        <f>IF(AND(47&gt;=$NR$26,47&lt;=$NS$26),IF($NP$26="Single_Point",IF(47=$NR$26,$NN$26,0),IF($NP$26="Bell_Curve",$NN$26*(47-$NR$26+1)*($NS$26-47+1)/$NU$26,$NN$26/$NT$26)),0)</f>
        <v/>
      </c>
      <c r="AZ26" s="228">
        <f>IF(AND(48&gt;=$NR$26,48&lt;=$NS$26),IF($NP$26="Single_Point",IF(48=$NR$26,$NN$26,0),IF($NP$26="Bell_Curve",$NN$26*(48-$NR$26+1)*($NS$26-48+1)/$NU$26,$NN$26/$NT$26)),0)</f>
        <v/>
      </c>
      <c r="BA26" s="228">
        <f>IF(AND(49&gt;=$NR$26,49&lt;=$NS$26),IF($NP$26="Single_Point",IF(49=$NR$26,$NN$26,0),IF($NP$26="Bell_Curve",$NN$26*(49-$NR$26+1)*($NS$26-49+1)/$NU$26,$NN$26/$NT$26)),0)</f>
        <v/>
      </c>
      <c r="BB26" s="228">
        <f>IF(AND(50&gt;=$NR$26,50&lt;=$NS$26),IF($NP$26="Single_Point",IF(50=$NR$26,$NN$26,0),IF($NP$26="Bell_Curve",$NN$26*(50-$NR$26+1)*($NS$26-50+1)/$NU$26,$NN$26/$NT$26)),0)</f>
        <v/>
      </c>
      <c r="BC26" s="228">
        <f>IF(AND(51&gt;=$NR$26,51&lt;=$NS$26),IF($NP$26="Single_Point",IF(51=$NR$26,$NN$26,0),IF($NP$26="Bell_Curve",$NN$26*(51-$NR$26+1)*($NS$26-51+1)/$NU$26,$NN$26/$NT$26)),0)</f>
        <v/>
      </c>
      <c r="BD26" s="228">
        <f>IF(AND(52&gt;=$NR$26,52&lt;=$NS$26),IF($NP$26="Single_Point",IF(52=$NR$26,$NN$26,0),IF($NP$26="Bell_Curve",$NN$26*(52-$NR$26+1)*($NS$26-52+1)/$NU$26,$NN$26/$NT$26)),0)</f>
        <v/>
      </c>
      <c r="BE26" s="228">
        <f>IF(AND(53&gt;=$NR$26,53&lt;=$NS$26),IF($NP$26="Single_Point",IF(53=$NR$26,$NN$26,0),IF($NP$26="Bell_Curve",$NN$26*(53-$NR$26+1)*($NS$26-53+1)/$NU$26,$NN$26/$NT$26)),0)</f>
        <v/>
      </c>
      <c r="BF26" s="228">
        <f>IF(AND(54&gt;=$NR$26,54&lt;=$NS$26),IF($NP$26="Single_Point",IF(54=$NR$26,$NN$26,0),IF($NP$26="Bell_Curve",$NN$26*(54-$NR$26+1)*($NS$26-54+1)/$NU$26,$NN$26/$NT$26)),0)</f>
        <v/>
      </c>
      <c r="BG26" s="228">
        <f>IF(AND(55&gt;=$NR$26,55&lt;=$NS$26),IF($NP$26="Single_Point",IF(55=$NR$26,$NN$26,0),IF($NP$26="Bell_Curve",$NN$26*(55-$NR$26+1)*($NS$26-55+1)/$NU$26,$NN$26/$NT$26)),0)</f>
        <v/>
      </c>
      <c r="BH26" s="228">
        <f>IF(AND(56&gt;=$NR$26,56&lt;=$NS$26),IF($NP$26="Single_Point",IF(56=$NR$26,$NN$26,0),IF($NP$26="Bell_Curve",$NN$26*(56-$NR$26+1)*($NS$26-56+1)/$NU$26,$NN$26/$NT$26)),0)</f>
        <v/>
      </c>
      <c r="BI26" s="228">
        <f>IF(AND(57&gt;=$NR$26,57&lt;=$NS$26),IF($NP$26="Single_Point",IF(57=$NR$26,$NN$26,0),IF($NP$26="Bell_Curve",$NN$26*(57-$NR$26+1)*($NS$26-57+1)/$NU$26,$NN$26/$NT$26)),0)</f>
        <v/>
      </c>
      <c r="BJ26" s="228">
        <f>IF(AND(58&gt;=$NR$26,58&lt;=$NS$26),IF($NP$26="Single_Point",IF(58=$NR$26,$NN$26,0),IF($NP$26="Bell_Curve",$NN$26*(58-$NR$26+1)*($NS$26-58+1)/$NU$26,$NN$26/$NT$26)),0)</f>
        <v/>
      </c>
      <c r="BK26" s="228">
        <f>IF(AND(59&gt;=$NR$26,59&lt;=$NS$26),IF($NP$26="Single_Point",IF(59=$NR$26,$NN$26,0),IF($NP$26="Bell_Curve",$NN$26*(59-$NR$26+1)*($NS$26-59+1)/$NU$26,$NN$26/$NT$26)),0)</f>
        <v/>
      </c>
      <c r="BL26" s="228">
        <f>IF(AND(60&gt;=$NR$26,60&lt;=$NS$26),IF($NP$26="Single_Point",IF(60=$NR$26,$NN$26,0),IF($NP$26="Bell_Curve",$NN$26*(60-$NR$26+1)*($NS$26-60+1)/$NU$26,$NN$26/$NT$26)),0)</f>
        <v/>
      </c>
      <c r="BM26" s="228">
        <f>IF(AND(61&gt;=$NR$26,61&lt;=$NS$26),IF($NP$26="Single_Point",IF(61=$NR$26,$NN$26,0),IF($NP$26="Bell_Curve",$NN$26*(61-$NR$26+1)*($NS$26-61+1)/$NU$26,$NN$26/$NT$26)),0)</f>
        <v/>
      </c>
      <c r="BN26" s="228">
        <f>IF(AND(62&gt;=$NR$26,62&lt;=$NS$26),IF($NP$26="Single_Point",IF(62=$NR$26,$NN$26,0),IF($NP$26="Bell_Curve",$NN$26*(62-$NR$26+1)*($NS$26-62+1)/$NU$26,$NN$26/$NT$26)),0)</f>
        <v/>
      </c>
      <c r="BO26" s="228">
        <f>IF(AND(63&gt;=$NR$26,63&lt;=$NS$26),IF($NP$26="Single_Point",IF(63=$NR$26,$NN$26,0),IF($NP$26="Bell_Curve",$NN$26*(63-$NR$26+1)*($NS$26-63+1)/$NU$26,$NN$26/$NT$26)),0)</f>
        <v/>
      </c>
      <c r="BP26" s="228">
        <f>IF(AND(64&gt;=$NR$26,64&lt;=$NS$26),IF($NP$26="Single_Point",IF(64=$NR$26,$NN$26,0),IF($NP$26="Bell_Curve",$NN$26*(64-$NR$26+1)*($NS$26-64+1)/$NU$26,$NN$26/$NT$26)),0)</f>
        <v/>
      </c>
      <c r="BQ26" s="228">
        <f>IF(AND(65&gt;=$NR$26,65&lt;=$NS$26),IF($NP$26="Single_Point",IF(65=$NR$26,$NN$26,0),IF($NP$26="Bell_Curve",$NN$26*(65-$NR$26+1)*($NS$26-65+1)/$NU$26,$NN$26/$NT$26)),0)</f>
        <v/>
      </c>
      <c r="BR26" s="228">
        <f>IF(AND(66&gt;=$NR$26,66&lt;=$NS$26),IF($NP$26="Single_Point",IF(66=$NR$26,$NN$26,0),IF($NP$26="Bell_Curve",$NN$26*(66-$NR$26+1)*($NS$26-66+1)/$NU$26,$NN$26/$NT$26)),0)</f>
        <v/>
      </c>
      <c r="BS26" s="228">
        <f>IF(AND(67&gt;=$NR$26,67&lt;=$NS$26),IF($NP$26="Single_Point",IF(67=$NR$26,$NN$26,0),IF($NP$26="Bell_Curve",$NN$26*(67-$NR$26+1)*($NS$26-67+1)/$NU$26,$NN$26/$NT$26)),0)</f>
        <v/>
      </c>
      <c r="BT26" s="228">
        <f>IF(AND(68&gt;=$NR$26,68&lt;=$NS$26),IF($NP$26="Single_Point",IF(68=$NR$26,$NN$26,0),IF($NP$26="Bell_Curve",$NN$26*(68-$NR$26+1)*($NS$26-68+1)/$NU$26,$NN$26/$NT$26)),0)</f>
        <v/>
      </c>
      <c r="BU26" s="228">
        <f>IF(AND(69&gt;=$NR$26,69&lt;=$NS$26),IF($NP$26="Single_Point",IF(69=$NR$26,$NN$26,0),IF($NP$26="Bell_Curve",$NN$26*(69-$NR$26+1)*($NS$26-69+1)/$NU$26,$NN$26/$NT$26)),0)</f>
        <v/>
      </c>
      <c r="BV26" s="228">
        <f>IF(AND(70&gt;=$NR$26,70&lt;=$NS$26),IF($NP$26="Single_Point",IF(70=$NR$26,$NN$26,0),IF($NP$26="Bell_Curve",$NN$26*(70-$NR$26+1)*($NS$26-70+1)/$NU$26,$NN$26/$NT$26)),0)</f>
        <v/>
      </c>
      <c r="BW26" s="228">
        <f>IF(AND(71&gt;=$NR$26,71&lt;=$NS$26),IF($NP$26="Single_Point",IF(71=$NR$26,$NN$26,0),IF($NP$26="Bell_Curve",$NN$26*(71-$NR$26+1)*($NS$26-71+1)/$NU$26,$NN$26/$NT$26)),0)</f>
        <v/>
      </c>
      <c r="BX26" s="228">
        <f>IF(AND(72&gt;=$NR$26,72&lt;=$NS$26),IF($NP$26="Single_Point",IF(72=$NR$26,$NN$26,0),IF($NP$26="Bell_Curve",$NN$26*(72-$NR$26+1)*($NS$26-72+1)/$NU$26,$NN$26/$NT$26)),0)</f>
        <v/>
      </c>
      <c r="BY26" s="228">
        <f>IF(AND(73&gt;=$NR$26,73&lt;=$NS$26),IF($NP$26="Single_Point",IF(73=$NR$26,$NN$26,0),IF($NP$26="Bell_Curve",$NN$26*(73-$NR$26+1)*($NS$26-73+1)/$NU$26,$NN$26/$NT$26)),0)</f>
        <v/>
      </c>
      <c r="BZ26" s="228">
        <f>IF(AND(74&gt;=$NR$26,74&lt;=$NS$26),IF($NP$26="Single_Point",IF(74=$NR$26,$NN$26,0),IF($NP$26="Bell_Curve",$NN$26*(74-$NR$26+1)*($NS$26-74+1)/$NU$26,$NN$26/$NT$26)),0)</f>
        <v/>
      </c>
      <c r="CA26" s="228">
        <f>IF(AND(75&gt;=$NR$26,75&lt;=$NS$26),IF($NP$26="Single_Point",IF(75=$NR$26,$NN$26,0),IF($NP$26="Bell_Curve",$NN$26*(75-$NR$26+1)*($NS$26-75+1)/$NU$26,$NN$26/$NT$26)),0)</f>
        <v/>
      </c>
      <c r="CB26" s="228">
        <f>IF(AND(76&gt;=$NR$26,76&lt;=$NS$26),IF($NP$26="Single_Point",IF(76=$NR$26,$NN$26,0),IF($NP$26="Bell_Curve",$NN$26*(76-$NR$26+1)*($NS$26-76+1)/$NU$26,$NN$26/$NT$26)),0)</f>
        <v/>
      </c>
      <c r="CC26" s="228">
        <f>IF(AND(77&gt;=$NR$26,77&lt;=$NS$26),IF($NP$26="Single_Point",IF(77=$NR$26,$NN$26,0),IF($NP$26="Bell_Curve",$NN$26*(77-$NR$26+1)*($NS$26-77+1)/$NU$26,$NN$26/$NT$26)),0)</f>
        <v/>
      </c>
      <c r="CD26" s="228">
        <f>IF(AND(78&gt;=$NR$26,78&lt;=$NS$26),IF($NP$26="Single_Point",IF(78=$NR$26,$NN$26,0),IF($NP$26="Bell_Curve",$NN$26*(78-$NR$26+1)*($NS$26-78+1)/$NU$26,$NN$26/$NT$26)),0)</f>
        <v/>
      </c>
      <c r="CE26" s="228">
        <f>IF(AND(79&gt;=$NR$26,79&lt;=$NS$26),IF($NP$26="Single_Point",IF(79=$NR$26,$NN$26,0),IF($NP$26="Bell_Curve",$NN$26*(79-$NR$26+1)*($NS$26-79+1)/$NU$26,$NN$26/$NT$26)),0)</f>
        <v/>
      </c>
      <c r="CF26" s="228">
        <f>IF(AND(80&gt;=$NR$26,80&lt;=$NS$26),IF($NP$26="Single_Point",IF(80=$NR$26,$NN$26,0),IF($NP$26="Bell_Curve",$NN$26*(80-$NR$26+1)*($NS$26-80+1)/$NU$26,$NN$26/$NT$26)),0)</f>
        <v/>
      </c>
      <c r="CG26" s="228">
        <f>IF(AND(81&gt;=$NR$26,81&lt;=$NS$26),IF($NP$26="Single_Point",IF(81=$NR$26,$NN$26,0),IF($NP$26="Bell_Curve",$NN$26*(81-$NR$26+1)*($NS$26-81+1)/$NU$26,$NN$26/$NT$26)),0)</f>
        <v/>
      </c>
      <c r="CH26" s="228">
        <f>IF(AND(82&gt;=$NR$26,82&lt;=$NS$26),IF($NP$26="Single_Point",IF(82=$NR$26,$NN$26,0),IF($NP$26="Bell_Curve",$NN$26*(82-$NR$26+1)*($NS$26-82+1)/$NU$26,$NN$26/$NT$26)),0)</f>
        <v/>
      </c>
      <c r="CI26" s="228">
        <f>IF(AND(83&gt;=$NR$26,83&lt;=$NS$26),IF($NP$26="Single_Point",IF(83=$NR$26,$NN$26,0),IF($NP$26="Bell_Curve",$NN$26*(83-$NR$26+1)*($NS$26-83+1)/$NU$26,$NN$26/$NT$26)),0)</f>
        <v/>
      </c>
      <c r="CJ26" s="228">
        <f>IF(AND(84&gt;=$NR$26,84&lt;=$NS$26),IF($NP$26="Single_Point",IF(84=$NR$26,$NN$26,0),IF($NP$26="Bell_Curve",$NN$26*(84-$NR$26+1)*($NS$26-84+1)/$NU$26,$NN$26/$NT$26)),0)</f>
        <v/>
      </c>
      <c r="CK26" s="228">
        <f>IF(AND(85&gt;=$NR$26,85&lt;=$NS$26),IF($NP$26="Single_Point",IF(85=$NR$26,$NN$26,0),IF($NP$26="Bell_Curve",$NN$26*(85-$NR$26+1)*($NS$26-85+1)/$NU$26,$NN$26/$NT$26)),0)</f>
        <v/>
      </c>
      <c r="CL26" s="228">
        <f>IF(AND(86&gt;=$NR$26,86&lt;=$NS$26),IF($NP$26="Single_Point",IF(86=$NR$26,$NN$26,0),IF($NP$26="Bell_Curve",$NN$26*(86-$NR$26+1)*($NS$26-86+1)/$NU$26,$NN$26/$NT$26)),0)</f>
        <v/>
      </c>
      <c r="CM26" s="228">
        <f>IF(AND(87&gt;=$NR$26,87&lt;=$NS$26),IF($NP$26="Single_Point",IF(87=$NR$26,$NN$26,0),IF($NP$26="Bell_Curve",$NN$26*(87-$NR$26+1)*($NS$26-87+1)/$NU$26,$NN$26/$NT$26)),0)</f>
        <v/>
      </c>
      <c r="CN26" s="228">
        <f>IF(AND(88&gt;=$NR$26,88&lt;=$NS$26),IF($NP$26="Single_Point",IF(88=$NR$26,$NN$26,0),IF($NP$26="Bell_Curve",$NN$26*(88-$NR$26+1)*($NS$26-88+1)/$NU$26,$NN$26/$NT$26)),0)</f>
        <v/>
      </c>
      <c r="CO26" s="228">
        <f>IF(AND(89&gt;=$NR$26,89&lt;=$NS$26),IF($NP$26="Single_Point",IF(89=$NR$26,$NN$26,0),IF($NP$26="Bell_Curve",$NN$26*(89-$NR$26+1)*($NS$26-89+1)/$NU$26,$NN$26/$NT$26)),0)</f>
        <v/>
      </c>
      <c r="CP26" s="228">
        <f>IF(AND(90&gt;=$NR$26,90&lt;=$NS$26),IF($NP$26="Single_Point",IF(90=$NR$26,$NN$26,0),IF($NP$26="Bell_Curve",$NN$26*(90-$NR$26+1)*($NS$26-90+1)/$NU$26,$NN$26/$NT$26)),0)</f>
        <v/>
      </c>
      <c r="CQ26" s="228">
        <f>IF(AND(91&gt;=$NR$26,91&lt;=$NS$26),IF($NP$26="Single_Point",IF(91=$NR$26,$NN$26,0),IF($NP$26="Bell_Curve",$NN$26*(91-$NR$26+1)*($NS$26-91+1)/$NU$26,$NN$26/$NT$26)),0)</f>
        <v/>
      </c>
      <c r="CR26" s="228">
        <f>IF(AND(92&gt;=$NR$26,92&lt;=$NS$26),IF($NP$26="Single_Point",IF(92=$NR$26,$NN$26,0),IF($NP$26="Bell_Curve",$NN$26*(92-$NR$26+1)*($NS$26-92+1)/$NU$26,$NN$26/$NT$26)),0)</f>
        <v/>
      </c>
      <c r="CS26" s="228">
        <f>IF(AND(93&gt;=$NR$26,93&lt;=$NS$26),IF($NP$26="Single_Point",IF(93=$NR$26,$NN$26,0),IF($NP$26="Bell_Curve",$NN$26*(93-$NR$26+1)*($NS$26-93+1)/$NU$26,$NN$26/$NT$26)),0)</f>
        <v/>
      </c>
      <c r="CT26" s="228">
        <f>IF(AND(94&gt;=$NR$26,94&lt;=$NS$26),IF($NP$26="Single_Point",IF(94=$NR$26,$NN$26,0),IF($NP$26="Bell_Curve",$NN$26*(94-$NR$26+1)*($NS$26-94+1)/$NU$26,$NN$26/$NT$26)),0)</f>
        <v/>
      </c>
      <c r="CU26" s="228">
        <f>IF(AND(95&gt;=$NR$26,95&lt;=$NS$26),IF($NP$26="Single_Point",IF(95=$NR$26,$NN$26,0),IF($NP$26="Bell_Curve",$NN$26*(95-$NR$26+1)*($NS$26-95+1)/$NU$26,$NN$26/$NT$26)),0)</f>
        <v/>
      </c>
      <c r="CV26" s="228">
        <f>IF(AND(96&gt;=$NR$26,96&lt;=$NS$26),IF($NP$26="Single_Point",IF(96=$NR$26,$NN$26,0),IF($NP$26="Bell_Curve",$NN$26*(96-$NR$26+1)*($NS$26-96+1)/$NU$26,$NN$26/$NT$26)),0)</f>
        <v/>
      </c>
      <c r="CW26" s="228">
        <f>IF(AND(97&gt;=$NR$26,97&lt;=$NS$26),IF($NP$26="Single_Point",IF(97=$NR$26,$NN$26,0),IF($NP$26="Bell_Curve",$NN$26*(97-$NR$26+1)*($NS$26-97+1)/$NU$26,$NN$26/$NT$26)),0)</f>
        <v/>
      </c>
      <c r="CX26" s="228">
        <f>IF(AND(98&gt;=$NR$26,98&lt;=$NS$26),IF($NP$26="Single_Point",IF(98=$NR$26,$NN$26,0),IF($NP$26="Bell_Curve",$NN$26*(98-$NR$26+1)*($NS$26-98+1)/$NU$26,$NN$26/$NT$26)),0)</f>
        <v/>
      </c>
      <c r="CY26" s="228">
        <f>IF(AND(99&gt;=$NR$26,99&lt;=$NS$26),IF($NP$26="Single_Point",IF(99=$NR$26,$NN$26,0),IF($NP$26="Bell_Curve",$NN$26*(99-$NR$26+1)*($NS$26-99+1)/$NU$26,$NN$26/$NT$26)),0)</f>
        <v/>
      </c>
      <c r="CZ26" s="228">
        <f>IF(AND(100&gt;=$NR$26,100&lt;=$NS$26),IF($NP$26="Single_Point",IF(100=$NR$26,$NN$26,0),IF($NP$26="Bell_Curve",$NN$26*(100-$NR$26+1)*($NS$26-100+1)/$NU$26,$NN$26/$NT$26)),0)</f>
        <v/>
      </c>
      <c r="DA26" s="228">
        <f>IF(AND(101&gt;=$NR$26,101&lt;=$NS$26),IF($NP$26="Single_Point",IF(101=$NR$26,$NN$26,0),IF($NP$26="Bell_Curve",$NN$26*(101-$NR$26+1)*($NS$26-101+1)/$NU$26,$NN$26/$NT$26)),0)</f>
        <v/>
      </c>
      <c r="DB26" s="228">
        <f>IF(AND(102&gt;=$NR$26,102&lt;=$NS$26),IF($NP$26="Single_Point",IF(102=$NR$26,$NN$26,0),IF($NP$26="Bell_Curve",$NN$26*(102-$NR$26+1)*($NS$26-102+1)/$NU$26,$NN$26/$NT$26)),0)</f>
        <v/>
      </c>
      <c r="DC26" s="228">
        <f>IF(AND(103&gt;=$NR$26,103&lt;=$NS$26),IF($NP$26="Single_Point",IF(103=$NR$26,$NN$26,0),IF($NP$26="Bell_Curve",$NN$26*(103-$NR$26+1)*($NS$26-103+1)/$NU$26,$NN$26/$NT$26)),0)</f>
        <v/>
      </c>
      <c r="DD26" s="228">
        <f>IF(AND(104&gt;=$NR$26,104&lt;=$NS$26),IF($NP$26="Single_Point",IF(104=$NR$26,$NN$26,0),IF($NP$26="Bell_Curve",$NN$26*(104-$NR$26+1)*($NS$26-104+1)/$NU$26,$NN$26/$NT$26)),0)</f>
        <v/>
      </c>
      <c r="DE26" s="228">
        <f>IF(AND(105&gt;=$NR$26,105&lt;=$NS$26),IF($NP$26="Single_Point",IF(105=$NR$26,$NN$26,0),IF($NP$26="Bell_Curve",$NN$26*(105-$NR$26+1)*($NS$26-105+1)/$NU$26,$NN$26/$NT$26)),0)</f>
        <v/>
      </c>
      <c r="DF26" s="228">
        <f>IF(AND(106&gt;=$NR$26,106&lt;=$NS$26),IF($NP$26="Single_Point",IF(106=$NR$26,$NN$26,0),IF($NP$26="Bell_Curve",$NN$26*(106-$NR$26+1)*($NS$26-106+1)/$NU$26,$NN$26/$NT$26)),0)</f>
        <v/>
      </c>
      <c r="DG26" s="228">
        <f>IF(AND(107&gt;=$NR$26,107&lt;=$NS$26),IF($NP$26="Single_Point",IF(107=$NR$26,$NN$26,0),IF($NP$26="Bell_Curve",$NN$26*(107-$NR$26+1)*($NS$26-107+1)/$NU$26,$NN$26/$NT$26)),0)</f>
        <v/>
      </c>
      <c r="DH26" s="228">
        <f>IF(AND(108&gt;=$NR$26,108&lt;=$NS$26),IF($NP$26="Single_Point",IF(108=$NR$26,$NN$26,0),IF($NP$26="Bell_Curve",$NN$26*(108-$NR$26+1)*($NS$26-108+1)/$NU$26,$NN$26/$NT$26)),0)</f>
        <v/>
      </c>
      <c r="DI26" s="228">
        <f>IF(AND(109&gt;=$NR$26,109&lt;=$NS$26),IF($NP$26="Single_Point",IF(109=$NR$26,$NN$26,0),IF($NP$26="Bell_Curve",$NN$26*(109-$NR$26+1)*($NS$26-109+1)/$NU$26,$NN$26/$NT$26)),0)</f>
        <v/>
      </c>
      <c r="DJ26" s="228">
        <f>IF(AND(110&gt;=$NR$26,110&lt;=$NS$26),IF($NP$26="Single_Point",IF(110=$NR$26,$NN$26,0),IF($NP$26="Bell_Curve",$NN$26*(110-$NR$26+1)*($NS$26-110+1)/$NU$26,$NN$26/$NT$26)),0)</f>
        <v/>
      </c>
      <c r="DK26" s="228">
        <f>IF(AND(111&gt;=$NR$26,111&lt;=$NS$26),IF($NP$26="Single_Point",IF(111=$NR$26,$NN$26,0),IF($NP$26="Bell_Curve",$NN$26*(111-$NR$26+1)*($NS$26-111+1)/$NU$26,$NN$26/$NT$26)),0)</f>
        <v/>
      </c>
      <c r="DL26" s="228">
        <f>IF(AND(112&gt;=$NR$26,112&lt;=$NS$26),IF($NP$26="Single_Point",IF(112=$NR$26,$NN$26,0),IF($NP$26="Bell_Curve",$NN$26*(112-$NR$26+1)*($NS$26-112+1)/$NU$26,$NN$26/$NT$26)),0)</f>
        <v/>
      </c>
      <c r="DM26" s="228">
        <f>IF(AND(113&gt;=$NR$26,113&lt;=$NS$26),IF($NP$26="Single_Point",IF(113=$NR$26,$NN$26,0),IF($NP$26="Bell_Curve",$NN$26*(113-$NR$26+1)*($NS$26-113+1)/$NU$26,$NN$26/$NT$26)),0)</f>
        <v/>
      </c>
      <c r="DN26" s="228">
        <f>IF(AND(114&gt;=$NR$26,114&lt;=$NS$26),IF($NP$26="Single_Point",IF(114=$NR$26,$NN$26,0),IF($NP$26="Bell_Curve",$NN$26*(114-$NR$26+1)*($NS$26-114+1)/$NU$26,$NN$26/$NT$26)),0)</f>
        <v/>
      </c>
      <c r="DO26" s="228">
        <f>IF(AND(115&gt;=$NR$26,115&lt;=$NS$26),IF($NP$26="Single_Point",IF(115=$NR$26,$NN$26,0),IF($NP$26="Bell_Curve",$NN$26*(115-$NR$26+1)*($NS$26-115+1)/$NU$26,$NN$26/$NT$26)),0)</f>
        <v/>
      </c>
      <c r="DP26" s="228">
        <f>IF(AND(116&gt;=$NR$26,116&lt;=$NS$26),IF($NP$26="Single_Point",IF(116=$NR$26,$NN$26,0),IF($NP$26="Bell_Curve",$NN$26*(116-$NR$26+1)*($NS$26-116+1)/$NU$26,$NN$26/$NT$26)),0)</f>
        <v/>
      </c>
      <c r="DQ26" s="228">
        <f>IF(AND(117&gt;=$NR$26,117&lt;=$NS$26),IF($NP$26="Single_Point",IF(117=$NR$26,$NN$26,0),IF($NP$26="Bell_Curve",$NN$26*(117-$NR$26+1)*($NS$26-117+1)/$NU$26,$NN$26/$NT$26)),0)</f>
        <v/>
      </c>
      <c r="DR26" s="228">
        <f>IF(AND(118&gt;=$NR$26,118&lt;=$NS$26),IF($NP$26="Single_Point",IF(118=$NR$26,$NN$26,0),IF($NP$26="Bell_Curve",$NN$26*(118-$NR$26+1)*($NS$26-118+1)/$NU$26,$NN$26/$NT$26)),0)</f>
        <v/>
      </c>
      <c r="DS26" s="228">
        <f>IF(AND(119&gt;=$NR$26,119&lt;=$NS$26),IF($NP$26="Single_Point",IF(119=$NR$26,$NN$26,0),IF($NP$26="Bell_Curve",$NN$26*(119-$NR$26+1)*($NS$26-119+1)/$NU$26,$NN$26/$NT$26)),0)</f>
        <v/>
      </c>
      <c r="DT26" s="228">
        <f>IF(AND(120&gt;=$NR$26,120&lt;=$NS$26),IF($NP$26="Single_Point",IF(120=$NR$26,$NN$26,0),IF($NP$26="Bell_Curve",$NN$26*(120-$NR$26+1)*($NS$26-120+1)/$NU$26,$NN$26/$NT$26)),0)</f>
        <v/>
      </c>
      <c r="DU26" s="228">
        <f>IF(AND(121&gt;=$NR$26,121&lt;=$NS$26),IF($NP$26="Single_Point",IF(121=$NR$26,$NN$26,0),IF($NP$26="Bell_Curve",$NN$26*(121-$NR$26+1)*($NS$26-121+1)/$NU$26,$NN$26/$NT$26)),0)</f>
        <v/>
      </c>
      <c r="DV26" s="228">
        <f>IF(AND(122&gt;=$NR$26,122&lt;=$NS$26),IF($NP$26="Single_Point",IF(122=$NR$26,$NN$26,0),IF($NP$26="Bell_Curve",$NN$26*(122-$NR$26+1)*($NS$26-122+1)/$NU$26,$NN$26/$NT$26)),0)</f>
        <v/>
      </c>
      <c r="DW26" s="228">
        <f>IF(AND(123&gt;=$NR$26,123&lt;=$NS$26),IF($NP$26="Single_Point",IF(123=$NR$26,$NN$26,0),IF($NP$26="Bell_Curve",$NN$26*(123-$NR$26+1)*($NS$26-123+1)/$NU$26,$NN$26/$NT$26)),0)</f>
        <v/>
      </c>
      <c r="DX26" s="228">
        <f>IF(AND(124&gt;=$NR$26,124&lt;=$NS$26),IF($NP$26="Single_Point",IF(124=$NR$26,$NN$26,0),IF($NP$26="Bell_Curve",$NN$26*(124-$NR$26+1)*($NS$26-124+1)/$NU$26,$NN$26/$NT$26)),0)</f>
        <v/>
      </c>
      <c r="DY26" s="228">
        <f>IF(AND(125&gt;=$NR$26,125&lt;=$NS$26),IF($NP$26="Single_Point",IF(125=$NR$26,$NN$26,0),IF($NP$26="Bell_Curve",$NN$26*(125-$NR$26+1)*($NS$26-125+1)/$NU$26,$NN$26/$NT$26)),0)</f>
        <v/>
      </c>
      <c r="DZ26" s="228">
        <f>IF(AND(126&gt;=$NR$26,126&lt;=$NS$26),IF($NP$26="Single_Point",IF(126=$NR$26,$NN$26,0),IF($NP$26="Bell_Curve",$NN$26*(126-$NR$26+1)*($NS$26-126+1)/$NU$26,$NN$26/$NT$26)),0)</f>
        <v/>
      </c>
      <c r="EA26" s="228">
        <f>IF(AND(127&gt;=$NR$26,127&lt;=$NS$26),IF($NP$26="Single_Point",IF(127=$NR$26,$NN$26,0),IF($NP$26="Bell_Curve",$NN$26*(127-$NR$26+1)*($NS$26-127+1)/$NU$26,$NN$26/$NT$26)),0)</f>
        <v/>
      </c>
      <c r="EB26" s="228">
        <f>IF(AND(128&gt;=$NR$26,128&lt;=$NS$26),IF($NP$26="Single_Point",IF(128=$NR$26,$NN$26,0),IF($NP$26="Bell_Curve",$NN$26*(128-$NR$26+1)*($NS$26-128+1)/$NU$26,$NN$26/$NT$26)),0)</f>
        <v/>
      </c>
      <c r="EC26" s="228">
        <f>IF(AND(129&gt;=$NR$26,129&lt;=$NS$26),IF($NP$26="Single_Point",IF(129=$NR$26,$NN$26,0),IF($NP$26="Bell_Curve",$NN$26*(129-$NR$26+1)*($NS$26-129+1)/$NU$26,$NN$26/$NT$26)),0)</f>
        <v/>
      </c>
      <c r="ED26" s="228">
        <f>IF(AND(130&gt;=$NR$26,130&lt;=$NS$26),IF($NP$26="Single_Point",IF(130=$NR$26,$NN$26,0),IF($NP$26="Bell_Curve",$NN$26*(130-$NR$26+1)*($NS$26-130+1)/$NU$26,$NN$26/$NT$26)),0)</f>
        <v/>
      </c>
      <c r="EE26" s="228">
        <f>IF(AND(131&gt;=$NR$26,131&lt;=$NS$26),IF($NP$26="Single_Point",IF(131=$NR$26,$NN$26,0),IF($NP$26="Bell_Curve",$NN$26*(131-$NR$26+1)*($NS$26-131+1)/$NU$26,$NN$26/$NT$26)),0)</f>
        <v/>
      </c>
      <c r="EF26" s="228">
        <f>IF(AND(132&gt;=$NR$26,132&lt;=$NS$26),IF($NP$26="Single_Point",IF(132=$NR$26,$NN$26,0),IF($NP$26="Bell_Curve",$NN$26*(132-$NR$26+1)*($NS$26-132+1)/$NU$26,$NN$26/$NT$26)),0)</f>
        <v/>
      </c>
      <c r="EG26" s="228">
        <f>IF(AND(133&gt;=$NR$26,133&lt;=$NS$26),IF($NP$26="Single_Point",IF(133=$NR$26,$NN$26,0),IF($NP$26="Bell_Curve",$NN$26*(133-$NR$26+1)*($NS$26-133+1)/$NU$26,$NN$26/$NT$26)),0)</f>
        <v/>
      </c>
      <c r="EH26" s="228">
        <f>IF(AND(134&gt;=$NR$26,134&lt;=$NS$26),IF($NP$26="Single_Point",IF(134=$NR$26,$NN$26,0),IF($NP$26="Bell_Curve",$NN$26*(134-$NR$26+1)*($NS$26-134+1)/$NU$26,$NN$26/$NT$26)),0)</f>
        <v/>
      </c>
      <c r="EI26" s="228">
        <f>IF(AND(135&gt;=$NR$26,135&lt;=$NS$26),IF($NP$26="Single_Point",IF(135=$NR$26,$NN$26,0),IF($NP$26="Bell_Curve",$NN$26*(135-$NR$26+1)*($NS$26-135+1)/$NU$26,$NN$26/$NT$26)),0)</f>
        <v/>
      </c>
      <c r="EJ26" s="228">
        <f>IF(AND(136&gt;=$NR$26,136&lt;=$NS$26),IF($NP$26="Single_Point",IF(136=$NR$26,$NN$26,0),IF($NP$26="Bell_Curve",$NN$26*(136-$NR$26+1)*($NS$26-136+1)/$NU$26,$NN$26/$NT$26)),0)</f>
        <v/>
      </c>
      <c r="EK26" s="228">
        <f>IF(AND(137&gt;=$NR$26,137&lt;=$NS$26),IF($NP$26="Single_Point",IF(137=$NR$26,$NN$26,0),IF($NP$26="Bell_Curve",$NN$26*(137-$NR$26+1)*($NS$26-137+1)/$NU$26,$NN$26/$NT$26)),0)</f>
        <v/>
      </c>
      <c r="EL26" s="228">
        <f>IF(AND(138&gt;=$NR$26,138&lt;=$NS$26),IF($NP$26="Single_Point",IF(138=$NR$26,$NN$26,0),IF($NP$26="Bell_Curve",$NN$26*(138-$NR$26+1)*($NS$26-138+1)/$NU$26,$NN$26/$NT$26)),0)</f>
        <v/>
      </c>
      <c r="EM26" s="228">
        <f>IF(AND(139&gt;=$NR$26,139&lt;=$NS$26),IF($NP$26="Single_Point",IF(139=$NR$26,$NN$26,0),IF($NP$26="Bell_Curve",$NN$26*(139-$NR$26+1)*($NS$26-139+1)/$NU$26,$NN$26/$NT$26)),0)</f>
        <v/>
      </c>
      <c r="EN26" s="228">
        <f>IF(AND(140&gt;=$NR$26,140&lt;=$NS$26),IF($NP$26="Single_Point",IF(140=$NR$26,$NN$26,0),IF($NP$26="Bell_Curve",$NN$26*(140-$NR$26+1)*($NS$26-140+1)/$NU$26,$NN$26/$NT$26)),0)</f>
        <v/>
      </c>
      <c r="EO26" s="228">
        <f>IF(AND(141&gt;=$NR$26,141&lt;=$NS$26),IF($NP$26="Single_Point",IF(141=$NR$26,$NN$26,0),IF($NP$26="Bell_Curve",$NN$26*(141-$NR$26+1)*($NS$26-141+1)/$NU$26,$NN$26/$NT$26)),0)</f>
        <v/>
      </c>
      <c r="EP26" s="228">
        <f>IF(AND(142&gt;=$NR$26,142&lt;=$NS$26),IF($NP$26="Single_Point",IF(142=$NR$26,$NN$26,0),IF($NP$26="Bell_Curve",$NN$26*(142-$NR$26+1)*($NS$26-142+1)/$NU$26,$NN$26/$NT$26)),0)</f>
        <v/>
      </c>
      <c r="EQ26" s="228">
        <f>IF(AND(143&gt;=$NR$26,143&lt;=$NS$26),IF($NP$26="Single_Point",IF(143=$NR$26,$NN$26,0),IF($NP$26="Bell_Curve",$NN$26*(143-$NR$26+1)*($NS$26-143+1)/$NU$26,$NN$26/$NT$26)),0)</f>
        <v/>
      </c>
      <c r="ER26" s="228">
        <f>IF(AND(144&gt;=$NR$26,144&lt;=$NS$26),IF($NP$26="Single_Point",IF(144=$NR$26,$NN$26,0),IF($NP$26="Bell_Curve",$NN$26*(144-$NR$26+1)*($NS$26-144+1)/$NU$26,$NN$26/$NT$26)),0)</f>
        <v/>
      </c>
      <c r="ES26" s="228">
        <f>IF(AND(145&gt;=$NR$26,145&lt;=$NS$26),IF($NP$26="Single_Point",IF(145=$NR$26,$NN$26,0),IF($NP$26="Bell_Curve",$NN$26*(145-$NR$26+1)*($NS$26-145+1)/$NU$26,$NN$26/$NT$26)),0)</f>
        <v/>
      </c>
      <c r="ET26" s="228">
        <f>IF(AND(146&gt;=$NR$26,146&lt;=$NS$26),IF($NP$26="Single_Point",IF(146=$NR$26,$NN$26,0),IF($NP$26="Bell_Curve",$NN$26*(146-$NR$26+1)*($NS$26-146+1)/$NU$26,$NN$26/$NT$26)),0)</f>
        <v/>
      </c>
      <c r="EU26" s="228">
        <f>IF(AND(147&gt;=$NR$26,147&lt;=$NS$26),IF($NP$26="Single_Point",IF(147=$NR$26,$NN$26,0),IF($NP$26="Bell_Curve",$NN$26*(147-$NR$26+1)*($NS$26-147+1)/$NU$26,$NN$26/$NT$26)),0)</f>
        <v/>
      </c>
      <c r="EV26" s="228">
        <f>IF(AND(148&gt;=$NR$26,148&lt;=$NS$26),IF($NP$26="Single_Point",IF(148=$NR$26,$NN$26,0),IF($NP$26="Bell_Curve",$NN$26*(148-$NR$26+1)*($NS$26-148+1)/$NU$26,$NN$26/$NT$26)),0)</f>
        <v/>
      </c>
      <c r="EW26" s="228">
        <f>IF(AND(149&gt;=$NR$26,149&lt;=$NS$26),IF($NP$26="Single_Point",IF(149=$NR$26,$NN$26,0),IF($NP$26="Bell_Curve",$NN$26*(149-$NR$26+1)*($NS$26-149+1)/$NU$26,$NN$26/$NT$26)),0)</f>
        <v/>
      </c>
      <c r="EX26" s="228">
        <f>IF(AND(150&gt;=$NR$26,150&lt;=$NS$26),IF($NP$26="Single_Point",IF(150=$NR$26,$NN$26,0),IF($NP$26="Bell_Curve",$NN$26*(150-$NR$26+1)*($NS$26-150+1)/$NU$26,$NN$26/$NT$26)),0)</f>
        <v/>
      </c>
      <c r="EY26" s="228">
        <f>IF(AND(151&gt;=$NR$26,151&lt;=$NS$26),IF($NP$26="Single_Point",IF(151=$NR$26,$NN$26,0),IF($NP$26="Bell_Curve",$NN$26*(151-$NR$26+1)*($NS$26-151+1)/$NU$26,$NN$26/$NT$26)),0)</f>
        <v/>
      </c>
      <c r="EZ26" s="228">
        <f>IF(AND(152&gt;=$NR$26,152&lt;=$NS$26),IF($NP$26="Single_Point",IF(152=$NR$26,$NN$26,0),IF($NP$26="Bell_Curve",$NN$26*(152-$NR$26+1)*($NS$26-152+1)/$NU$26,$NN$26/$NT$26)),0)</f>
        <v/>
      </c>
      <c r="FA26" s="228">
        <f>IF(AND(153&gt;=$NR$26,153&lt;=$NS$26),IF($NP$26="Single_Point",IF(153=$NR$26,$NN$26,0),IF($NP$26="Bell_Curve",$NN$26*(153-$NR$26+1)*($NS$26-153+1)/$NU$26,$NN$26/$NT$26)),0)</f>
        <v/>
      </c>
      <c r="FB26" s="228">
        <f>IF(AND(154&gt;=$NR$26,154&lt;=$NS$26),IF($NP$26="Single_Point",IF(154=$NR$26,$NN$26,0),IF($NP$26="Bell_Curve",$NN$26*(154-$NR$26+1)*($NS$26-154+1)/$NU$26,$NN$26/$NT$26)),0)</f>
        <v/>
      </c>
      <c r="FC26" s="228">
        <f>IF(AND(155&gt;=$NR$26,155&lt;=$NS$26),IF($NP$26="Single_Point",IF(155=$NR$26,$NN$26,0),IF($NP$26="Bell_Curve",$NN$26*(155-$NR$26+1)*($NS$26-155+1)/$NU$26,$NN$26/$NT$26)),0)</f>
        <v/>
      </c>
      <c r="FD26" s="228">
        <f>IF(AND(156&gt;=$NR$26,156&lt;=$NS$26),IF($NP$26="Single_Point",IF(156=$NR$26,$NN$26,0),IF($NP$26="Bell_Curve",$NN$26*(156-$NR$26+1)*($NS$26-156+1)/$NU$26,$NN$26/$NT$26)),0)</f>
        <v/>
      </c>
      <c r="FE26" s="228">
        <f>IF(AND(157&gt;=$NR$26,157&lt;=$NS$26),IF($NP$26="Single_Point",IF(157=$NR$26,$NN$26,0),IF($NP$26="Bell_Curve",$NN$26*(157-$NR$26+1)*($NS$26-157+1)/$NU$26,$NN$26/$NT$26)),0)</f>
        <v/>
      </c>
      <c r="FF26" s="228">
        <f>IF(AND(158&gt;=$NR$26,158&lt;=$NS$26),IF($NP$26="Single_Point",IF(158=$NR$26,$NN$26,0),IF($NP$26="Bell_Curve",$NN$26*(158-$NR$26+1)*($NS$26-158+1)/$NU$26,$NN$26/$NT$26)),0)</f>
        <v/>
      </c>
      <c r="FG26" s="228">
        <f>IF(AND(159&gt;=$NR$26,159&lt;=$NS$26),IF($NP$26="Single_Point",IF(159=$NR$26,$NN$26,0),IF($NP$26="Bell_Curve",$NN$26*(159-$NR$26+1)*($NS$26-159+1)/$NU$26,$NN$26/$NT$26)),0)</f>
        <v/>
      </c>
      <c r="FH26" s="228">
        <f>IF(AND(160&gt;=$NR$26,160&lt;=$NS$26),IF($NP$26="Single_Point",IF(160=$NR$26,$NN$26,0),IF($NP$26="Bell_Curve",$NN$26*(160-$NR$26+1)*($NS$26-160+1)/$NU$26,$NN$26/$NT$26)),0)</f>
        <v/>
      </c>
      <c r="FI26" s="228">
        <f>IF(AND(161&gt;=$NR$26,161&lt;=$NS$26),IF($NP$26="Single_Point",IF(161=$NR$26,$NN$26,0),IF($NP$26="Bell_Curve",$NN$26*(161-$NR$26+1)*($NS$26-161+1)/$NU$26,$NN$26/$NT$26)),0)</f>
        <v/>
      </c>
      <c r="FJ26" s="228">
        <f>IF(AND(162&gt;=$NR$26,162&lt;=$NS$26),IF($NP$26="Single_Point",IF(162=$NR$26,$NN$26,0),IF($NP$26="Bell_Curve",$NN$26*(162-$NR$26+1)*($NS$26-162+1)/$NU$26,$NN$26/$NT$26)),0)</f>
        <v/>
      </c>
      <c r="FK26" s="228">
        <f>IF(AND(163&gt;=$NR$26,163&lt;=$NS$26),IF($NP$26="Single_Point",IF(163=$NR$26,$NN$26,0),IF($NP$26="Bell_Curve",$NN$26*(163-$NR$26+1)*($NS$26-163+1)/$NU$26,$NN$26/$NT$26)),0)</f>
        <v/>
      </c>
      <c r="FL26" s="228">
        <f>IF(AND(164&gt;=$NR$26,164&lt;=$NS$26),IF($NP$26="Single_Point",IF(164=$NR$26,$NN$26,0),IF($NP$26="Bell_Curve",$NN$26*(164-$NR$26+1)*($NS$26-164+1)/$NU$26,$NN$26/$NT$26)),0)</f>
        <v/>
      </c>
      <c r="FM26" s="228">
        <f>IF(AND(165&gt;=$NR$26,165&lt;=$NS$26),IF($NP$26="Single_Point",IF(165=$NR$26,$NN$26,0),IF($NP$26="Bell_Curve",$NN$26*(165-$NR$26+1)*($NS$26-165+1)/$NU$26,$NN$26/$NT$26)),0)</f>
        <v/>
      </c>
      <c r="FN26" s="228">
        <f>IF(AND(166&gt;=$NR$26,166&lt;=$NS$26),IF($NP$26="Single_Point",IF(166=$NR$26,$NN$26,0),IF($NP$26="Bell_Curve",$NN$26*(166-$NR$26+1)*($NS$26-166+1)/$NU$26,$NN$26/$NT$26)),0)</f>
        <v/>
      </c>
      <c r="FO26" s="228">
        <f>IF(AND(167&gt;=$NR$26,167&lt;=$NS$26),IF($NP$26="Single_Point",IF(167=$NR$26,$NN$26,0),IF($NP$26="Bell_Curve",$NN$26*(167-$NR$26+1)*($NS$26-167+1)/$NU$26,$NN$26/$NT$26)),0)</f>
        <v/>
      </c>
      <c r="FP26" s="228">
        <f>IF(AND(168&gt;=$NR$26,168&lt;=$NS$26),IF($NP$26="Single_Point",IF(168=$NR$26,$NN$26,0),IF($NP$26="Bell_Curve",$NN$26*(168-$NR$26+1)*($NS$26-168+1)/$NU$26,$NN$26/$NT$26)),0)</f>
        <v/>
      </c>
      <c r="FQ26" s="228">
        <f>IF(AND(169&gt;=$NR$26,169&lt;=$NS$26),IF($NP$26="Single_Point",IF(169=$NR$26,$NN$26,0),IF($NP$26="Bell_Curve",$NN$26*(169-$NR$26+1)*($NS$26-169+1)/$NU$26,$NN$26/$NT$26)),0)</f>
        <v/>
      </c>
      <c r="FR26" s="228">
        <f>IF(AND(170&gt;=$NR$26,170&lt;=$NS$26),IF($NP$26="Single_Point",IF(170=$NR$26,$NN$26,0),IF($NP$26="Bell_Curve",$NN$26*(170-$NR$26+1)*($NS$26-170+1)/$NU$26,$NN$26/$NT$26)),0)</f>
        <v/>
      </c>
      <c r="FS26" s="228">
        <f>IF(AND(171&gt;=$NR$26,171&lt;=$NS$26),IF($NP$26="Single_Point",IF(171=$NR$26,$NN$26,0),IF($NP$26="Bell_Curve",$NN$26*(171-$NR$26+1)*($NS$26-171+1)/$NU$26,$NN$26/$NT$26)),0)</f>
        <v/>
      </c>
      <c r="FT26" s="228">
        <f>IF(AND(172&gt;=$NR$26,172&lt;=$NS$26),IF($NP$26="Single_Point",IF(172=$NR$26,$NN$26,0),IF($NP$26="Bell_Curve",$NN$26*(172-$NR$26+1)*($NS$26-172+1)/$NU$26,$NN$26/$NT$26)),0)</f>
        <v/>
      </c>
      <c r="FU26" s="228">
        <f>IF(AND(173&gt;=$NR$26,173&lt;=$NS$26),IF($NP$26="Single_Point",IF(173=$NR$26,$NN$26,0),IF($NP$26="Bell_Curve",$NN$26*(173-$NR$26+1)*($NS$26-173+1)/$NU$26,$NN$26/$NT$26)),0)</f>
        <v/>
      </c>
      <c r="FV26" s="228">
        <f>IF(AND(174&gt;=$NR$26,174&lt;=$NS$26),IF($NP$26="Single_Point",IF(174=$NR$26,$NN$26,0),IF($NP$26="Bell_Curve",$NN$26*(174-$NR$26+1)*($NS$26-174+1)/$NU$26,$NN$26/$NT$26)),0)</f>
        <v/>
      </c>
      <c r="FW26" s="228">
        <f>IF(AND(175&gt;=$NR$26,175&lt;=$NS$26),IF($NP$26="Single_Point",IF(175=$NR$26,$NN$26,0),IF($NP$26="Bell_Curve",$NN$26*(175-$NR$26+1)*($NS$26-175+1)/$NU$26,$NN$26/$NT$26)),0)</f>
        <v/>
      </c>
      <c r="FX26" s="228">
        <f>IF(AND(176&gt;=$NR$26,176&lt;=$NS$26),IF($NP$26="Single_Point",IF(176=$NR$26,$NN$26,0),IF($NP$26="Bell_Curve",$NN$26*(176-$NR$26+1)*($NS$26-176+1)/$NU$26,$NN$26/$NT$26)),0)</f>
        <v/>
      </c>
      <c r="FY26" s="228">
        <f>IF(AND(177&gt;=$NR$26,177&lt;=$NS$26),IF($NP$26="Single_Point",IF(177=$NR$26,$NN$26,0),IF($NP$26="Bell_Curve",$NN$26*(177-$NR$26+1)*($NS$26-177+1)/$NU$26,$NN$26/$NT$26)),0)</f>
        <v/>
      </c>
      <c r="FZ26" s="228">
        <f>IF(AND(178&gt;=$NR$26,178&lt;=$NS$26),IF($NP$26="Single_Point",IF(178=$NR$26,$NN$26,0),IF($NP$26="Bell_Curve",$NN$26*(178-$NR$26+1)*($NS$26-178+1)/$NU$26,$NN$26/$NT$26)),0)</f>
        <v/>
      </c>
      <c r="GA26" s="228">
        <f>IF(AND(179&gt;=$NR$26,179&lt;=$NS$26),IF($NP$26="Single_Point",IF(179=$NR$26,$NN$26,0),IF($NP$26="Bell_Curve",$NN$26*(179-$NR$26+1)*($NS$26-179+1)/$NU$26,$NN$26/$NT$26)),0)</f>
        <v/>
      </c>
      <c r="GB26" s="228">
        <f>IF(AND(180&gt;=$NR$26,180&lt;=$NS$26),IF($NP$26="Single_Point",IF(180=$NR$26,$NN$26,0),IF($NP$26="Bell_Curve",$NN$26*(180-$NR$26+1)*($NS$26-180+1)/$NU$26,$NN$26/$NT$26)),0)</f>
        <v/>
      </c>
      <c r="GC26" s="228">
        <f>IF(AND(181&gt;=$NR$26,181&lt;=$NS$26),IF($NP$26="Single_Point",IF(181=$NR$26,$NN$26,0),IF($NP$26="Bell_Curve",$NN$26*(181-$NR$26+1)*($NS$26-181+1)/$NU$26,$NN$26/$NT$26)),0)</f>
        <v/>
      </c>
      <c r="GD26" s="228">
        <f>IF(AND(182&gt;=$NR$26,182&lt;=$NS$26),IF($NP$26="Single_Point",IF(182=$NR$26,$NN$26,0),IF($NP$26="Bell_Curve",$NN$26*(182-$NR$26+1)*($NS$26-182+1)/$NU$26,$NN$26/$NT$26)),0)</f>
        <v/>
      </c>
      <c r="GE26" s="228">
        <f>IF(AND(183&gt;=$NR$26,183&lt;=$NS$26),IF($NP$26="Single_Point",IF(183=$NR$26,$NN$26,0),IF($NP$26="Bell_Curve",$NN$26*(183-$NR$26+1)*($NS$26-183+1)/$NU$26,$NN$26/$NT$26)),0)</f>
        <v/>
      </c>
      <c r="GF26" s="228">
        <f>IF(AND(184&gt;=$NR$26,184&lt;=$NS$26),IF($NP$26="Single_Point",IF(184=$NR$26,$NN$26,0),IF($NP$26="Bell_Curve",$NN$26*(184-$NR$26+1)*($NS$26-184+1)/$NU$26,$NN$26/$NT$26)),0)</f>
        <v/>
      </c>
      <c r="GG26" s="228">
        <f>IF(AND(185&gt;=$NR$26,185&lt;=$NS$26),IF($NP$26="Single_Point",IF(185=$NR$26,$NN$26,0),IF($NP$26="Bell_Curve",$NN$26*(185-$NR$26+1)*($NS$26-185+1)/$NU$26,$NN$26/$NT$26)),0)</f>
        <v/>
      </c>
      <c r="GH26" s="228">
        <f>IF(AND(186&gt;=$NR$26,186&lt;=$NS$26),IF($NP$26="Single_Point",IF(186=$NR$26,$NN$26,0),IF($NP$26="Bell_Curve",$NN$26*(186-$NR$26+1)*($NS$26-186+1)/$NU$26,$NN$26/$NT$26)),0)</f>
        <v/>
      </c>
      <c r="GI26" s="228">
        <f>IF(AND(187&gt;=$NR$26,187&lt;=$NS$26),IF($NP$26="Single_Point",IF(187=$NR$26,$NN$26,0),IF($NP$26="Bell_Curve",$NN$26*(187-$NR$26+1)*($NS$26-187+1)/$NU$26,$NN$26/$NT$26)),0)</f>
        <v/>
      </c>
      <c r="GJ26" s="228">
        <f>IF(AND(188&gt;=$NR$26,188&lt;=$NS$26),IF($NP$26="Single_Point",IF(188=$NR$26,$NN$26,0),IF($NP$26="Bell_Curve",$NN$26*(188-$NR$26+1)*($NS$26-188+1)/$NU$26,$NN$26/$NT$26)),0)</f>
        <v/>
      </c>
      <c r="GK26" s="228">
        <f>IF(AND(189&gt;=$NR$26,189&lt;=$NS$26),IF($NP$26="Single_Point",IF(189=$NR$26,$NN$26,0),IF($NP$26="Bell_Curve",$NN$26*(189-$NR$26+1)*($NS$26-189+1)/$NU$26,$NN$26/$NT$26)),0)</f>
        <v/>
      </c>
      <c r="GL26" s="228">
        <f>IF(AND(190&gt;=$NR$26,190&lt;=$NS$26),IF($NP$26="Single_Point",IF(190=$NR$26,$NN$26,0),IF($NP$26="Bell_Curve",$NN$26*(190-$NR$26+1)*($NS$26-190+1)/$NU$26,$NN$26/$NT$26)),0)</f>
        <v/>
      </c>
      <c r="GM26" s="228">
        <f>IF(AND(191&gt;=$NR$26,191&lt;=$NS$26),IF($NP$26="Single_Point",IF(191=$NR$26,$NN$26,0),IF($NP$26="Bell_Curve",$NN$26*(191-$NR$26+1)*($NS$26-191+1)/$NU$26,$NN$26/$NT$26)),0)</f>
        <v/>
      </c>
      <c r="GN26" s="228">
        <f>IF(AND(192&gt;=$NR$26,192&lt;=$NS$26),IF($NP$26="Single_Point",IF(192=$NR$26,$NN$26,0),IF($NP$26="Bell_Curve",$NN$26*(192-$NR$26+1)*($NS$26-192+1)/$NU$26,$NN$26/$NT$26)),0)</f>
        <v/>
      </c>
      <c r="GO26" s="228">
        <f>IF(AND(193&gt;=$NR$26,193&lt;=$NS$26),IF($NP$26="Single_Point",IF(193=$NR$26,$NN$26,0),IF($NP$26="Bell_Curve",$NN$26*(193-$NR$26+1)*($NS$26-193+1)/$NU$26,$NN$26/$NT$26)),0)</f>
        <v/>
      </c>
      <c r="GP26" s="228">
        <f>IF(AND(194&gt;=$NR$26,194&lt;=$NS$26),IF($NP$26="Single_Point",IF(194=$NR$26,$NN$26,0),IF($NP$26="Bell_Curve",$NN$26*(194-$NR$26+1)*($NS$26-194+1)/$NU$26,$NN$26/$NT$26)),0)</f>
        <v/>
      </c>
      <c r="GQ26" s="228">
        <f>IF(AND(195&gt;=$NR$26,195&lt;=$NS$26),IF($NP$26="Single_Point",IF(195=$NR$26,$NN$26,0),IF($NP$26="Bell_Curve",$NN$26*(195-$NR$26+1)*($NS$26-195+1)/$NU$26,$NN$26/$NT$26)),0)</f>
        <v/>
      </c>
      <c r="GR26" s="228">
        <f>IF(AND(196&gt;=$NR$26,196&lt;=$NS$26),IF($NP$26="Single_Point",IF(196=$NR$26,$NN$26,0),IF($NP$26="Bell_Curve",$NN$26*(196-$NR$26+1)*($NS$26-196+1)/$NU$26,$NN$26/$NT$26)),0)</f>
        <v/>
      </c>
      <c r="GS26" s="228">
        <f>IF(AND(197&gt;=$NR$26,197&lt;=$NS$26),IF($NP$26="Single_Point",IF(197=$NR$26,$NN$26,0),IF($NP$26="Bell_Curve",$NN$26*(197-$NR$26+1)*($NS$26-197+1)/$NU$26,$NN$26/$NT$26)),0)</f>
        <v/>
      </c>
      <c r="GT26" s="228">
        <f>IF(AND(198&gt;=$NR$26,198&lt;=$NS$26),IF($NP$26="Single_Point",IF(198=$NR$26,$NN$26,0),IF($NP$26="Bell_Curve",$NN$26*(198-$NR$26+1)*($NS$26-198+1)/$NU$26,$NN$26/$NT$26)),0)</f>
        <v/>
      </c>
      <c r="GU26" s="228">
        <f>IF(AND(199&gt;=$NR$26,199&lt;=$NS$26),IF($NP$26="Single_Point",IF(199=$NR$26,$NN$26,0),IF($NP$26="Bell_Curve",$NN$26*(199-$NR$26+1)*($NS$26-199+1)/$NU$26,$NN$26/$NT$26)),0)</f>
        <v/>
      </c>
      <c r="GV26" s="228">
        <f>IF(AND(200&gt;=$NR$26,200&lt;=$NS$26),IF($NP$26="Single_Point",IF(200=$NR$26,$NN$26,0),IF($NP$26="Bell_Curve",$NN$26*(200-$NR$26+1)*($NS$26-200+1)/$NU$26,$NN$26/$NT$26)),0)</f>
        <v/>
      </c>
      <c r="GW26" s="228">
        <f>IF(AND(201&gt;=$NR$26,201&lt;=$NS$26),IF($NP$26="Single_Point",IF(201=$NR$26,$NN$26,0),IF($NP$26="Bell_Curve",$NN$26*(201-$NR$26+1)*($NS$26-201+1)/$NU$26,$NN$26/$NT$26)),0)</f>
        <v/>
      </c>
      <c r="GX26" s="228">
        <f>IF(AND(202&gt;=$NR$26,202&lt;=$NS$26),IF($NP$26="Single_Point",IF(202=$NR$26,$NN$26,0),IF($NP$26="Bell_Curve",$NN$26*(202-$NR$26+1)*($NS$26-202+1)/$NU$26,$NN$26/$NT$26)),0)</f>
        <v/>
      </c>
      <c r="GY26" s="228">
        <f>IF(AND(203&gt;=$NR$26,203&lt;=$NS$26),IF($NP$26="Single_Point",IF(203=$NR$26,$NN$26,0),IF($NP$26="Bell_Curve",$NN$26*(203-$NR$26+1)*($NS$26-203+1)/$NU$26,$NN$26/$NT$26)),0)</f>
        <v/>
      </c>
      <c r="GZ26" s="228">
        <f>IF(AND(204&gt;=$NR$26,204&lt;=$NS$26),IF($NP$26="Single_Point",IF(204=$NR$26,$NN$26,0),IF($NP$26="Bell_Curve",$NN$26*(204-$NR$26+1)*($NS$26-204+1)/$NU$26,$NN$26/$NT$26)),0)</f>
        <v/>
      </c>
      <c r="HA26" s="228">
        <f>IF(AND(205&gt;=$NR$26,205&lt;=$NS$26),IF($NP$26="Single_Point",IF(205=$NR$26,$NN$26,0),IF($NP$26="Bell_Curve",$NN$26*(205-$NR$26+1)*($NS$26-205+1)/$NU$26,$NN$26/$NT$26)),0)</f>
        <v/>
      </c>
      <c r="HB26" s="228">
        <f>IF(AND(206&gt;=$NR$26,206&lt;=$NS$26),IF($NP$26="Single_Point",IF(206=$NR$26,$NN$26,0),IF($NP$26="Bell_Curve",$NN$26*(206-$NR$26+1)*($NS$26-206+1)/$NU$26,$NN$26/$NT$26)),0)</f>
        <v/>
      </c>
      <c r="HC26" s="228">
        <f>IF(AND(207&gt;=$NR$26,207&lt;=$NS$26),IF($NP$26="Single_Point",IF(207=$NR$26,$NN$26,0),IF($NP$26="Bell_Curve",$NN$26*(207-$NR$26+1)*($NS$26-207+1)/$NU$26,$NN$26/$NT$26)),0)</f>
        <v/>
      </c>
      <c r="HD26" s="228">
        <f>IF(AND(208&gt;=$NR$26,208&lt;=$NS$26),IF($NP$26="Single_Point",IF(208=$NR$26,$NN$26,0),IF($NP$26="Bell_Curve",$NN$26*(208-$NR$26+1)*($NS$26-208+1)/$NU$26,$NN$26/$NT$26)),0)</f>
        <v/>
      </c>
      <c r="HE26" s="228">
        <f>IF(AND(209&gt;=$NR$26,209&lt;=$NS$26),IF($NP$26="Single_Point",IF(209=$NR$26,$NN$26,0),IF($NP$26="Bell_Curve",$NN$26*(209-$NR$26+1)*($NS$26-209+1)/$NU$26,$NN$26/$NT$26)),0)</f>
        <v/>
      </c>
      <c r="HF26" s="228">
        <f>IF(AND(210&gt;=$NR$26,210&lt;=$NS$26),IF($NP$26="Single_Point",IF(210=$NR$26,$NN$26,0),IF($NP$26="Bell_Curve",$NN$26*(210-$NR$26+1)*($NS$26-210+1)/$NU$26,$NN$26/$NT$26)),0)</f>
        <v/>
      </c>
      <c r="HG26" s="228">
        <f>IF(AND(211&gt;=$NR$26,211&lt;=$NS$26),IF($NP$26="Single_Point",IF(211=$NR$26,$NN$26,0),IF($NP$26="Bell_Curve",$NN$26*(211-$NR$26+1)*($NS$26-211+1)/$NU$26,$NN$26/$NT$26)),0)</f>
        <v/>
      </c>
      <c r="HH26" s="228">
        <f>IF(AND(212&gt;=$NR$26,212&lt;=$NS$26),IF($NP$26="Single_Point",IF(212=$NR$26,$NN$26,0),IF($NP$26="Bell_Curve",$NN$26*(212-$NR$26+1)*($NS$26-212+1)/$NU$26,$NN$26/$NT$26)),0)</f>
        <v/>
      </c>
      <c r="HI26" s="228">
        <f>IF(AND(213&gt;=$NR$26,213&lt;=$NS$26),IF($NP$26="Single_Point",IF(213=$NR$26,$NN$26,0),IF($NP$26="Bell_Curve",$NN$26*(213-$NR$26+1)*($NS$26-213+1)/$NU$26,$NN$26/$NT$26)),0)</f>
        <v/>
      </c>
      <c r="HJ26" s="228">
        <f>IF(AND(214&gt;=$NR$26,214&lt;=$NS$26),IF($NP$26="Single_Point",IF(214=$NR$26,$NN$26,0),IF($NP$26="Bell_Curve",$NN$26*(214-$NR$26+1)*($NS$26-214+1)/$NU$26,$NN$26/$NT$26)),0)</f>
        <v/>
      </c>
      <c r="HK26" s="228">
        <f>IF(AND(215&gt;=$NR$26,215&lt;=$NS$26),IF($NP$26="Single_Point",IF(215=$NR$26,$NN$26,0),IF($NP$26="Bell_Curve",$NN$26*(215-$NR$26+1)*($NS$26-215+1)/$NU$26,$NN$26/$NT$26)),0)</f>
        <v/>
      </c>
      <c r="HL26" s="228">
        <f>IF(AND(216&gt;=$NR$26,216&lt;=$NS$26),IF($NP$26="Single_Point",IF(216=$NR$26,$NN$26,0),IF($NP$26="Bell_Curve",$NN$26*(216-$NR$26+1)*($NS$26-216+1)/$NU$26,$NN$26/$NT$26)),0)</f>
        <v/>
      </c>
      <c r="HM26" s="228">
        <f>IF(AND(217&gt;=$NR$26,217&lt;=$NS$26),IF($NP$26="Single_Point",IF(217=$NR$26,$NN$26,0),IF($NP$26="Bell_Curve",$NN$26*(217-$NR$26+1)*($NS$26-217+1)/$NU$26,$NN$26/$NT$26)),0)</f>
        <v/>
      </c>
      <c r="HN26" s="228">
        <f>IF(AND(218&gt;=$NR$26,218&lt;=$NS$26),IF($NP$26="Single_Point",IF(218=$NR$26,$NN$26,0),IF($NP$26="Bell_Curve",$NN$26*(218-$NR$26+1)*($NS$26-218+1)/$NU$26,$NN$26/$NT$26)),0)</f>
        <v/>
      </c>
      <c r="HO26" s="228">
        <f>IF(AND(219&gt;=$NR$26,219&lt;=$NS$26),IF($NP$26="Single_Point",IF(219=$NR$26,$NN$26,0),IF($NP$26="Bell_Curve",$NN$26*(219-$NR$26+1)*($NS$26-219+1)/$NU$26,$NN$26/$NT$26)),0)</f>
        <v/>
      </c>
      <c r="HP26" s="228">
        <f>IF(AND(220&gt;=$NR$26,220&lt;=$NS$26),IF($NP$26="Single_Point",IF(220=$NR$26,$NN$26,0),IF($NP$26="Bell_Curve",$NN$26*(220-$NR$26+1)*($NS$26-220+1)/$NU$26,$NN$26/$NT$26)),0)</f>
        <v/>
      </c>
      <c r="HQ26" s="228">
        <f>IF(AND(221&gt;=$NR$26,221&lt;=$NS$26),IF($NP$26="Single_Point",IF(221=$NR$26,$NN$26,0),IF($NP$26="Bell_Curve",$NN$26*(221-$NR$26+1)*($NS$26-221+1)/$NU$26,$NN$26/$NT$26)),0)</f>
        <v/>
      </c>
      <c r="HR26" s="228">
        <f>IF(AND(222&gt;=$NR$26,222&lt;=$NS$26),IF($NP$26="Single_Point",IF(222=$NR$26,$NN$26,0),IF($NP$26="Bell_Curve",$NN$26*(222-$NR$26+1)*($NS$26-222+1)/$NU$26,$NN$26/$NT$26)),0)</f>
        <v/>
      </c>
      <c r="HS26" s="228">
        <f>IF(AND(223&gt;=$NR$26,223&lt;=$NS$26),IF($NP$26="Single_Point",IF(223=$NR$26,$NN$26,0),IF($NP$26="Bell_Curve",$NN$26*(223-$NR$26+1)*($NS$26-223+1)/$NU$26,$NN$26/$NT$26)),0)</f>
        <v/>
      </c>
      <c r="HT26" s="228">
        <f>IF(AND(224&gt;=$NR$26,224&lt;=$NS$26),IF($NP$26="Single_Point",IF(224=$NR$26,$NN$26,0),IF($NP$26="Bell_Curve",$NN$26*(224-$NR$26+1)*($NS$26-224+1)/$NU$26,$NN$26/$NT$26)),0)</f>
        <v/>
      </c>
      <c r="HU26" s="228">
        <f>IF(AND(225&gt;=$NR$26,225&lt;=$NS$26),IF($NP$26="Single_Point",IF(225=$NR$26,$NN$26,0),IF($NP$26="Bell_Curve",$NN$26*(225-$NR$26+1)*($NS$26-225+1)/$NU$26,$NN$26/$NT$26)),0)</f>
        <v/>
      </c>
      <c r="HV26" s="228">
        <f>IF(AND(226&gt;=$NR$26,226&lt;=$NS$26),IF($NP$26="Single_Point",IF(226=$NR$26,$NN$26,0),IF($NP$26="Bell_Curve",$NN$26*(226-$NR$26+1)*($NS$26-226+1)/$NU$26,$NN$26/$NT$26)),0)</f>
        <v/>
      </c>
      <c r="HW26" s="228">
        <f>IF(AND(227&gt;=$NR$26,227&lt;=$NS$26),IF($NP$26="Single_Point",IF(227=$NR$26,$NN$26,0),IF($NP$26="Bell_Curve",$NN$26*(227-$NR$26+1)*($NS$26-227+1)/$NU$26,$NN$26/$NT$26)),0)</f>
        <v/>
      </c>
      <c r="HX26" s="228">
        <f>IF(AND(228&gt;=$NR$26,228&lt;=$NS$26),IF($NP$26="Single_Point",IF(228=$NR$26,$NN$26,0),IF($NP$26="Bell_Curve",$NN$26*(228-$NR$26+1)*($NS$26-228+1)/$NU$26,$NN$26/$NT$26)),0)</f>
        <v/>
      </c>
      <c r="HY26" s="228">
        <f>IF(AND(229&gt;=$NR$26,229&lt;=$NS$26),IF($NP$26="Single_Point",IF(229=$NR$26,$NN$26,0),IF($NP$26="Bell_Curve",$NN$26*(229-$NR$26+1)*($NS$26-229+1)/$NU$26,$NN$26/$NT$26)),0)</f>
        <v/>
      </c>
      <c r="HZ26" s="228">
        <f>IF(AND(230&gt;=$NR$26,230&lt;=$NS$26),IF($NP$26="Single_Point",IF(230=$NR$26,$NN$26,0),IF($NP$26="Bell_Curve",$NN$26*(230-$NR$26+1)*($NS$26-230+1)/$NU$26,$NN$26/$NT$26)),0)</f>
        <v/>
      </c>
      <c r="IA26" s="228">
        <f>IF(AND(231&gt;=$NR$26,231&lt;=$NS$26),IF($NP$26="Single_Point",IF(231=$NR$26,$NN$26,0),IF($NP$26="Bell_Curve",$NN$26*(231-$NR$26+1)*($NS$26-231+1)/$NU$26,$NN$26/$NT$26)),0)</f>
        <v/>
      </c>
      <c r="IB26" s="228">
        <f>IF(AND(232&gt;=$NR$26,232&lt;=$NS$26),IF($NP$26="Single_Point",IF(232=$NR$26,$NN$26,0),IF($NP$26="Bell_Curve",$NN$26*(232-$NR$26+1)*($NS$26-232+1)/$NU$26,$NN$26/$NT$26)),0)</f>
        <v/>
      </c>
      <c r="IC26" s="228">
        <f>IF(AND(233&gt;=$NR$26,233&lt;=$NS$26),IF($NP$26="Single_Point",IF(233=$NR$26,$NN$26,0),IF($NP$26="Bell_Curve",$NN$26*(233-$NR$26+1)*($NS$26-233+1)/$NU$26,$NN$26/$NT$26)),0)</f>
        <v/>
      </c>
      <c r="ID26" s="228">
        <f>IF(AND(234&gt;=$NR$26,234&lt;=$NS$26),IF($NP$26="Single_Point",IF(234=$NR$26,$NN$26,0),IF($NP$26="Bell_Curve",$NN$26*(234-$NR$26+1)*($NS$26-234+1)/$NU$26,$NN$26/$NT$26)),0)</f>
        <v/>
      </c>
      <c r="IE26" s="228">
        <f>IF(AND(235&gt;=$NR$26,235&lt;=$NS$26),IF($NP$26="Single_Point",IF(235=$NR$26,$NN$26,0),IF($NP$26="Bell_Curve",$NN$26*(235-$NR$26+1)*($NS$26-235+1)/$NU$26,$NN$26/$NT$26)),0)</f>
        <v/>
      </c>
      <c r="IF26" s="228">
        <f>IF(AND(236&gt;=$NR$26,236&lt;=$NS$26),IF($NP$26="Single_Point",IF(236=$NR$26,$NN$26,0),IF($NP$26="Bell_Curve",$NN$26*(236-$NR$26+1)*($NS$26-236+1)/$NU$26,$NN$26/$NT$26)),0)</f>
        <v/>
      </c>
      <c r="IG26" s="228">
        <f>IF(AND(237&gt;=$NR$26,237&lt;=$NS$26),IF($NP$26="Single_Point",IF(237=$NR$26,$NN$26,0),IF($NP$26="Bell_Curve",$NN$26*(237-$NR$26+1)*($NS$26-237+1)/$NU$26,$NN$26/$NT$26)),0)</f>
        <v/>
      </c>
      <c r="IH26" s="228">
        <f>IF(AND(238&gt;=$NR$26,238&lt;=$NS$26),IF($NP$26="Single_Point",IF(238=$NR$26,$NN$26,0),IF($NP$26="Bell_Curve",$NN$26*(238-$NR$26+1)*($NS$26-238+1)/$NU$26,$NN$26/$NT$26)),0)</f>
        <v/>
      </c>
      <c r="II26" s="228">
        <f>IF(AND(239&gt;=$NR$26,239&lt;=$NS$26),IF($NP$26="Single_Point",IF(239=$NR$26,$NN$26,0),IF($NP$26="Bell_Curve",$NN$26*(239-$NR$26+1)*($NS$26-239+1)/$NU$26,$NN$26/$NT$26)),0)</f>
        <v/>
      </c>
      <c r="IJ26" s="228">
        <f>IF(AND(240&gt;=$NR$26,240&lt;=$NS$26),IF($NP$26="Single_Point",IF(240=$NR$26,$NN$26,0),IF($NP$26="Bell_Curve",$NN$26*(240-$NR$26+1)*($NS$26-240+1)/$NU$26,$NN$26/$NT$26)),0)</f>
        <v/>
      </c>
      <c r="IK26" s="228">
        <f>IF(AND(241&gt;=$NR$26,241&lt;=$NS$26),IF($NP$26="Single_Point",IF(241=$NR$26,$NN$26,0),IF($NP$26="Bell_Curve",$NN$26*(241-$NR$26+1)*($NS$26-241+1)/$NU$26,$NN$26/$NT$26)),0)</f>
        <v/>
      </c>
      <c r="IL26" s="228">
        <f>IF(AND(242&gt;=$NR$26,242&lt;=$NS$26),IF($NP$26="Single_Point",IF(242=$NR$26,$NN$26,0),IF($NP$26="Bell_Curve",$NN$26*(242-$NR$26+1)*($NS$26-242+1)/$NU$26,$NN$26/$NT$26)),0)</f>
        <v/>
      </c>
      <c r="IM26" s="228">
        <f>IF(AND(243&gt;=$NR$26,243&lt;=$NS$26),IF($NP$26="Single_Point",IF(243=$NR$26,$NN$26,0),IF($NP$26="Bell_Curve",$NN$26*(243-$NR$26+1)*($NS$26-243+1)/$NU$26,$NN$26/$NT$26)),0)</f>
        <v/>
      </c>
      <c r="IN26" s="228">
        <f>IF(AND(244&gt;=$NR$26,244&lt;=$NS$26),IF($NP$26="Single_Point",IF(244=$NR$26,$NN$26,0),IF($NP$26="Bell_Curve",$NN$26*(244-$NR$26+1)*($NS$26-244+1)/$NU$26,$NN$26/$NT$26)),0)</f>
        <v/>
      </c>
      <c r="IO26" s="228">
        <f>IF(AND(245&gt;=$NR$26,245&lt;=$NS$26),IF($NP$26="Single_Point",IF(245=$NR$26,$NN$26,0),IF($NP$26="Bell_Curve",$NN$26*(245-$NR$26+1)*($NS$26-245+1)/$NU$26,$NN$26/$NT$26)),0)</f>
        <v/>
      </c>
      <c r="IP26" s="228">
        <f>IF(AND(246&gt;=$NR$26,246&lt;=$NS$26),IF($NP$26="Single_Point",IF(246=$NR$26,$NN$26,0),IF($NP$26="Bell_Curve",$NN$26*(246-$NR$26+1)*($NS$26-246+1)/$NU$26,$NN$26/$NT$26)),0)</f>
        <v/>
      </c>
      <c r="IQ26" s="228">
        <f>IF(AND(247&gt;=$NR$26,247&lt;=$NS$26),IF($NP$26="Single_Point",IF(247=$NR$26,$NN$26,0),IF($NP$26="Bell_Curve",$NN$26*(247-$NR$26+1)*($NS$26-247+1)/$NU$26,$NN$26/$NT$26)),0)</f>
        <v/>
      </c>
      <c r="IR26" s="228">
        <f>IF(AND(248&gt;=$NR$26,248&lt;=$NS$26),IF($NP$26="Single_Point",IF(248=$NR$26,$NN$26,0),IF($NP$26="Bell_Curve",$NN$26*(248-$NR$26+1)*($NS$26-248+1)/$NU$26,$NN$26/$NT$26)),0)</f>
        <v/>
      </c>
      <c r="IS26" s="228">
        <f>IF(AND(249&gt;=$NR$26,249&lt;=$NS$26),IF($NP$26="Single_Point",IF(249=$NR$26,$NN$26,0),IF($NP$26="Bell_Curve",$NN$26*(249-$NR$26+1)*($NS$26-249+1)/$NU$26,$NN$26/$NT$26)),0)</f>
        <v/>
      </c>
      <c r="IT26" s="228">
        <f>IF(AND(250&gt;=$NR$26,250&lt;=$NS$26),IF($NP$26="Single_Point",IF(250=$NR$26,$NN$26,0),IF($NP$26="Bell_Curve",$NN$26*(250-$NR$26+1)*($NS$26-250+1)/$NU$26,$NN$26/$NT$26)),0)</f>
        <v/>
      </c>
      <c r="IU26" s="228">
        <f>IF(AND(251&gt;=$NR$26,251&lt;=$NS$26),IF($NP$26="Single_Point",IF(251=$NR$26,$NN$26,0),IF($NP$26="Bell_Curve",$NN$26*(251-$NR$26+1)*($NS$26-251+1)/$NU$26,$NN$26/$NT$26)),0)</f>
        <v/>
      </c>
      <c r="IV26" s="228">
        <f>IF(AND(252&gt;=$NR$26,252&lt;=$NS$26),IF($NP$26="Single_Point",IF(252=$NR$26,$NN$26,0),IF($NP$26="Bell_Curve",$NN$26*(252-$NR$26+1)*($NS$26-252+1)/$NU$26,$NN$26/$NT$26)),0)</f>
        <v/>
      </c>
      <c r="IW26" s="228">
        <f>IF(AND(253&gt;=$NR$26,253&lt;=$NS$26),IF($NP$26="Single_Point",IF(253=$NR$26,$NN$26,0),IF($NP$26="Bell_Curve",$NN$26*(253-$NR$26+1)*($NS$26-253+1)/$NU$26,$NN$26/$NT$26)),0)</f>
        <v/>
      </c>
      <c r="IX26" s="228">
        <f>IF(AND(254&gt;=$NR$26,254&lt;=$NS$26),IF($NP$26="Single_Point",IF(254=$NR$26,$NN$26,0),IF($NP$26="Bell_Curve",$NN$26*(254-$NR$26+1)*($NS$26-254+1)/$NU$26,$NN$26/$NT$26)),0)</f>
        <v/>
      </c>
      <c r="IY26" s="228">
        <f>IF(AND(255&gt;=$NR$26,255&lt;=$NS$26),IF($NP$26="Single_Point",IF(255=$NR$26,$NN$26,0),IF($NP$26="Bell_Curve",$NN$26*(255-$NR$26+1)*($NS$26-255+1)/$NU$26,$NN$26/$NT$26)),0)</f>
        <v/>
      </c>
      <c r="IZ26" s="228">
        <f>IF(AND(256&gt;=$NR$26,256&lt;=$NS$26),IF($NP$26="Single_Point",IF(256=$NR$26,$NN$26,0),IF($NP$26="Bell_Curve",$NN$26*(256-$NR$26+1)*($NS$26-256+1)/$NU$26,$NN$26/$NT$26)),0)</f>
        <v/>
      </c>
      <c r="JA26" s="228">
        <f>IF(AND(257&gt;=$NR$26,257&lt;=$NS$26),IF($NP$26="Single_Point",IF(257=$NR$26,$NN$26,0),IF($NP$26="Bell_Curve",$NN$26*(257-$NR$26+1)*($NS$26-257+1)/$NU$26,$NN$26/$NT$26)),0)</f>
        <v/>
      </c>
      <c r="JB26" s="228">
        <f>IF(AND(258&gt;=$NR$26,258&lt;=$NS$26),IF($NP$26="Single_Point",IF(258=$NR$26,$NN$26,0),IF($NP$26="Bell_Curve",$NN$26*(258-$NR$26+1)*($NS$26-258+1)/$NU$26,$NN$26/$NT$26)),0)</f>
        <v/>
      </c>
      <c r="JC26" s="228">
        <f>IF(AND(259&gt;=$NR$26,259&lt;=$NS$26),IF($NP$26="Single_Point",IF(259=$NR$26,$NN$26,0),IF($NP$26="Bell_Curve",$NN$26*(259-$NR$26+1)*($NS$26-259+1)/$NU$26,$NN$26/$NT$26)),0)</f>
        <v/>
      </c>
      <c r="JD26" s="228">
        <f>IF(AND(260&gt;=$NR$26,260&lt;=$NS$26),IF($NP$26="Single_Point",IF(260=$NR$26,$NN$26,0),IF($NP$26="Bell_Curve",$NN$26*(260-$NR$26+1)*($NS$26-260+1)/$NU$26,$NN$26/$NT$26)),0)</f>
        <v/>
      </c>
      <c r="JE26" s="228">
        <f>IF(AND(261&gt;=$NR$26,261&lt;=$NS$26),IF($NP$26="Single_Point",IF(261=$NR$26,$NN$26,0),IF($NP$26="Bell_Curve",$NN$26*(261-$NR$26+1)*($NS$26-261+1)/$NU$26,$NN$26/$NT$26)),0)</f>
        <v/>
      </c>
      <c r="JF26" s="228">
        <f>IF(AND(262&gt;=$NR$26,262&lt;=$NS$26),IF($NP$26="Single_Point",IF(262=$NR$26,$NN$26,0),IF($NP$26="Bell_Curve",$NN$26*(262-$NR$26+1)*($NS$26-262+1)/$NU$26,$NN$26/$NT$26)),0)</f>
        <v/>
      </c>
      <c r="JG26" s="228">
        <f>IF(AND(263&gt;=$NR$26,263&lt;=$NS$26),IF($NP$26="Single_Point",IF(263=$NR$26,$NN$26,0),IF($NP$26="Bell_Curve",$NN$26*(263-$NR$26+1)*($NS$26-263+1)/$NU$26,$NN$26/$NT$26)),0)</f>
        <v/>
      </c>
      <c r="JH26" s="228">
        <f>IF(AND(264&gt;=$NR$26,264&lt;=$NS$26),IF($NP$26="Single_Point",IF(264=$NR$26,$NN$26,0),IF($NP$26="Bell_Curve",$NN$26*(264-$NR$26+1)*($NS$26-264+1)/$NU$26,$NN$26/$NT$26)),0)</f>
        <v/>
      </c>
      <c r="JI26" s="228">
        <f>IF(AND(265&gt;=$NR$26,265&lt;=$NS$26),IF($NP$26="Single_Point",IF(265=$NR$26,$NN$26,0),IF($NP$26="Bell_Curve",$NN$26*(265-$NR$26+1)*($NS$26-265+1)/$NU$26,$NN$26/$NT$26)),0)</f>
        <v/>
      </c>
      <c r="JJ26" s="228">
        <f>IF(AND(266&gt;=$NR$26,266&lt;=$NS$26),IF($NP$26="Single_Point",IF(266=$NR$26,$NN$26,0),IF($NP$26="Bell_Curve",$NN$26*(266-$NR$26+1)*($NS$26-266+1)/$NU$26,$NN$26/$NT$26)),0)</f>
        <v/>
      </c>
      <c r="JK26" s="228">
        <f>IF(AND(267&gt;=$NR$26,267&lt;=$NS$26),IF($NP$26="Single_Point",IF(267=$NR$26,$NN$26,0),IF($NP$26="Bell_Curve",$NN$26*(267-$NR$26+1)*($NS$26-267+1)/$NU$26,$NN$26/$NT$26)),0)</f>
        <v/>
      </c>
      <c r="JL26" s="228">
        <f>IF(AND(268&gt;=$NR$26,268&lt;=$NS$26),IF($NP$26="Single_Point",IF(268=$NR$26,$NN$26,0),IF($NP$26="Bell_Curve",$NN$26*(268-$NR$26+1)*($NS$26-268+1)/$NU$26,$NN$26/$NT$26)),0)</f>
        <v/>
      </c>
      <c r="JM26" s="228">
        <f>IF(AND(269&gt;=$NR$26,269&lt;=$NS$26),IF($NP$26="Single_Point",IF(269=$NR$26,$NN$26,0),IF($NP$26="Bell_Curve",$NN$26*(269-$NR$26+1)*($NS$26-269+1)/$NU$26,$NN$26/$NT$26)),0)</f>
        <v/>
      </c>
      <c r="JN26" s="228">
        <f>IF(AND(270&gt;=$NR$26,270&lt;=$NS$26),IF($NP$26="Single_Point",IF(270=$NR$26,$NN$26,0),IF($NP$26="Bell_Curve",$NN$26*(270-$NR$26+1)*($NS$26-270+1)/$NU$26,$NN$26/$NT$26)),0)</f>
        <v/>
      </c>
      <c r="JO26" s="228">
        <f>IF(AND(271&gt;=$NR$26,271&lt;=$NS$26),IF($NP$26="Single_Point",IF(271=$NR$26,$NN$26,0),IF($NP$26="Bell_Curve",$NN$26*(271-$NR$26+1)*($NS$26-271+1)/$NU$26,$NN$26/$NT$26)),0)</f>
        <v/>
      </c>
      <c r="JP26" s="228">
        <f>IF(AND(272&gt;=$NR$26,272&lt;=$NS$26),IF($NP$26="Single_Point",IF(272=$NR$26,$NN$26,0),IF($NP$26="Bell_Curve",$NN$26*(272-$NR$26+1)*($NS$26-272+1)/$NU$26,$NN$26/$NT$26)),0)</f>
        <v/>
      </c>
      <c r="JQ26" s="228">
        <f>IF(AND(273&gt;=$NR$26,273&lt;=$NS$26),IF($NP$26="Single_Point",IF(273=$NR$26,$NN$26,0),IF($NP$26="Bell_Curve",$NN$26*(273-$NR$26+1)*($NS$26-273+1)/$NU$26,$NN$26/$NT$26)),0)</f>
        <v/>
      </c>
      <c r="JR26" s="228">
        <f>IF(AND(274&gt;=$NR$26,274&lt;=$NS$26),IF($NP$26="Single_Point",IF(274=$NR$26,$NN$26,0),IF($NP$26="Bell_Curve",$NN$26*(274-$NR$26+1)*($NS$26-274+1)/$NU$26,$NN$26/$NT$26)),0)</f>
        <v/>
      </c>
      <c r="JS26" s="228">
        <f>IF(AND(275&gt;=$NR$26,275&lt;=$NS$26),IF($NP$26="Single_Point",IF(275=$NR$26,$NN$26,0),IF($NP$26="Bell_Curve",$NN$26*(275-$NR$26+1)*($NS$26-275+1)/$NU$26,$NN$26/$NT$26)),0)</f>
        <v/>
      </c>
      <c r="JT26" s="228">
        <f>IF(AND(276&gt;=$NR$26,276&lt;=$NS$26),IF($NP$26="Single_Point",IF(276=$NR$26,$NN$26,0),IF($NP$26="Bell_Curve",$NN$26*(276-$NR$26+1)*($NS$26-276+1)/$NU$26,$NN$26/$NT$26)),0)</f>
        <v/>
      </c>
      <c r="JU26" s="228">
        <f>IF(AND(277&gt;=$NR$26,277&lt;=$NS$26),IF($NP$26="Single_Point",IF(277=$NR$26,$NN$26,0),IF($NP$26="Bell_Curve",$NN$26*(277-$NR$26+1)*($NS$26-277+1)/$NU$26,$NN$26/$NT$26)),0)</f>
        <v/>
      </c>
      <c r="JV26" s="228">
        <f>IF(AND(278&gt;=$NR$26,278&lt;=$NS$26),IF($NP$26="Single_Point",IF(278=$NR$26,$NN$26,0),IF($NP$26="Bell_Curve",$NN$26*(278-$NR$26+1)*($NS$26-278+1)/$NU$26,$NN$26/$NT$26)),0)</f>
        <v/>
      </c>
      <c r="JW26" s="228">
        <f>IF(AND(279&gt;=$NR$26,279&lt;=$NS$26),IF($NP$26="Single_Point",IF(279=$NR$26,$NN$26,0),IF($NP$26="Bell_Curve",$NN$26*(279-$NR$26+1)*($NS$26-279+1)/$NU$26,$NN$26/$NT$26)),0)</f>
        <v/>
      </c>
      <c r="JX26" s="228">
        <f>IF(AND(280&gt;=$NR$26,280&lt;=$NS$26),IF($NP$26="Single_Point",IF(280=$NR$26,$NN$26,0),IF($NP$26="Bell_Curve",$NN$26*(280-$NR$26+1)*($NS$26-280+1)/$NU$26,$NN$26/$NT$26)),0)</f>
        <v/>
      </c>
      <c r="JY26" s="228">
        <f>IF(AND(281&gt;=$NR$26,281&lt;=$NS$26),IF($NP$26="Single_Point",IF(281=$NR$26,$NN$26,0),IF($NP$26="Bell_Curve",$NN$26*(281-$NR$26+1)*($NS$26-281+1)/$NU$26,$NN$26/$NT$26)),0)</f>
        <v/>
      </c>
      <c r="JZ26" s="228">
        <f>IF(AND(282&gt;=$NR$26,282&lt;=$NS$26),IF($NP$26="Single_Point",IF(282=$NR$26,$NN$26,0),IF($NP$26="Bell_Curve",$NN$26*(282-$NR$26+1)*($NS$26-282+1)/$NU$26,$NN$26/$NT$26)),0)</f>
        <v/>
      </c>
      <c r="KA26" s="228">
        <f>IF(AND(283&gt;=$NR$26,283&lt;=$NS$26),IF($NP$26="Single_Point",IF(283=$NR$26,$NN$26,0),IF($NP$26="Bell_Curve",$NN$26*(283-$NR$26+1)*($NS$26-283+1)/$NU$26,$NN$26/$NT$26)),0)</f>
        <v/>
      </c>
      <c r="KB26" s="228">
        <f>IF(AND(284&gt;=$NR$26,284&lt;=$NS$26),IF($NP$26="Single_Point",IF(284=$NR$26,$NN$26,0),IF($NP$26="Bell_Curve",$NN$26*(284-$NR$26+1)*($NS$26-284+1)/$NU$26,$NN$26/$NT$26)),0)</f>
        <v/>
      </c>
      <c r="KC26" s="228">
        <f>IF(AND(285&gt;=$NR$26,285&lt;=$NS$26),IF($NP$26="Single_Point",IF(285=$NR$26,$NN$26,0),IF($NP$26="Bell_Curve",$NN$26*(285-$NR$26+1)*($NS$26-285+1)/$NU$26,$NN$26/$NT$26)),0)</f>
        <v/>
      </c>
      <c r="KD26" s="228">
        <f>IF(AND(286&gt;=$NR$26,286&lt;=$NS$26),IF($NP$26="Single_Point",IF(286=$NR$26,$NN$26,0),IF($NP$26="Bell_Curve",$NN$26*(286-$NR$26+1)*($NS$26-286+1)/$NU$26,$NN$26/$NT$26)),0)</f>
        <v/>
      </c>
      <c r="KE26" s="228">
        <f>IF(AND(287&gt;=$NR$26,287&lt;=$NS$26),IF($NP$26="Single_Point",IF(287=$NR$26,$NN$26,0),IF($NP$26="Bell_Curve",$NN$26*(287-$NR$26+1)*($NS$26-287+1)/$NU$26,$NN$26/$NT$26)),0)</f>
        <v/>
      </c>
      <c r="KF26" s="228">
        <f>IF(AND(288&gt;=$NR$26,288&lt;=$NS$26),IF($NP$26="Single_Point",IF(288=$NR$26,$NN$26,0),IF($NP$26="Bell_Curve",$NN$26*(288-$NR$26+1)*($NS$26-288+1)/$NU$26,$NN$26/$NT$26)),0)</f>
        <v/>
      </c>
      <c r="KG26" s="228">
        <f>IF(AND(289&gt;=$NR$26,289&lt;=$NS$26),IF($NP$26="Single_Point",IF(289=$NR$26,$NN$26,0),IF($NP$26="Bell_Curve",$NN$26*(289-$NR$26+1)*($NS$26-289+1)/$NU$26,$NN$26/$NT$26)),0)</f>
        <v/>
      </c>
      <c r="KH26" s="228">
        <f>IF(AND(290&gt;=$NR$26,290&lt;=$NS$26),IF($NP$26="Single_Point",IF(290=$NR$26,$NN$26,0),IF($NP$26="Bell_Curve",$NN$26*(290-$NR$26+1)*($NS$26-290+1)/$NU$26,$NN$26/$NT$26)),0)</f>
        <v/>
      </c>
      <c r="KI26" s="228">
        <f>IF(AND(291&gt;=$NR$26,291&lt;=$NS$26),IF($NP$26="Single_Point",IF(291=$NR$26,$NN$26,0),IF($NP$26="Bell_Curve",$NN$26*(291-$NR$26+1)*($NS$26-291+1)/$NU$26,$NN$26/$NT$26)),0)</f>
        <v/>
      </c>
      <c r="KJ26" s="228">
        <f>IF(AND(292&gt;=$NR$26,292&lt;=$NS$26),IF($NP$26="Single_Point",IF(292=$NR$26,$NN$26,0),IF($NP$26="Bell_Curve",$NN$26*(292-$NR$26+1)*($NS$26-292+1)/$NU$26,$NN$26/$NT$26)),0)</f>
        <v/>
      </c>
      <c r="KK26" s="228">
        <f>IF(AND(293&gt;=$NR$26,293&lt;=$NS$26),IF($NP$26="Single_Point",IF(293=$NR$26,$NN$26,0),IF($NP$26="Bell_Curve",$NN$26*(293-$NR$26+1)*($NS$26-293+1)/$NU$26,$NN$26/$NT$26)),0)</f>
        <v/>
      </c>
      <c r="KL26" s="228">
        <f>IF(AND(294&gt;=$NR$26,294&lt;=$NS$26),IF($NP$26="Single_Point",IF(294=$NR$26,$NN$26,0),IF($NP$26="Bell_Curve",$NN$26*(294-$NR$26+1)*($NS$26-294+1)/$NU$26,$NN$26/$NT$26)),0)</f>
        <v/>
      </c>
      <c r="KM26" s="228">
        <f>IF(AND(295&gt;=$NR$26,295&lt;=$NS$26),IF($NP$26="Single_Point",IF(295=$NR$26,$NN$26,0),IF($NP$26="Bell_Curve",$NN$26*(295-$NR$26+1)*($NS$26-295+1)/$NU$26,$NN$26/$NT$26)),0)</f>
        <v/>
      </c>
      <c r="KN26" s="228">
        <f>IF(AND(296&gt;=$NR$26,296&lt;=$NS$26),IF($NP$26="Single_Point",IF(296=$NR$26,$NN$26,0),IF($NP$26="Bell_Curve",$NN$26*(296-$NR$26+1)*($NS$26-296+1)/$NU$26,$NN$26/$NT$26)),0)</f>
        <v/>
      </c>
      <c r="KO26" s="228">
        <f>IF(AND(297&gt;=$NR$26,297&lt;=$NS$26),IF($NP$26="Single_Point",IF(297=$NR$26,$NN$26,0),IF($NP$26="Bell_Curve",$NN$26*(297-$NR$26+1)*($NS$26-297+1)/$NU$26,$NN$26/$NT$26)),0)</f>
        <v/>
      </c>
      <c r="KP26" s="228">
        <f>IF(AND(298&gt;=$NR$26,298&lt;=$NS$26),IF($NP$26="Single_Point",IF(298=$NR$26,$NN$26,0),IF($NP$26="Bell_Curve",$NN$26*(298-$NR$26+1)*($NS$26-298+1)/$NU$26,$NN$26/$NT$26)),0)</f>
        <v/>
      </c>
      <c r="KQ26" s="228">
        <f>IF(AND(299&gt;=$NR$26,299&lt;=$NS$26),IF($NP$26="Single_Point",IF(299=$NR$26,$NN$26,0),IF($NP$26="Bell_Curve",$NN$26*(299-$NR$26+1)*($NS$26-299+1)/$NU$26,$NN$26/$NT$26)),0)</f>
        <v/>
      </c>
      <c r="KR26" s="228">
        <f>IF(AND(300&gt;=$NR$26,300&lt;=$NS$26),IF($NP$26="Single_Point",IF(300=$NR$26,$NN$26,0),IF($NP$26="Bell_Curve",$NN$26*(300-$NR$26+1)*($NS$26-300+1)/$NU$26,$NN$26/$NT$26)),0)</f>
        <v/>
      </c>
      <c r="KS26" s="228">
        <f>IF(AND(301&gt;=$NR$26,301&lt;=$NS$26),IF($NP$26="Single_Point",IF(301=$NR$26,$NN$26,0),IF($NP$26="Bell_Curve",$NN$26*(301-$NR$26+1)*($NS$26-301+1)/$NU$26,$NN$26/$NT$26)),0)</f>
        <v/>
      </c>
      <c r="KT26" s="228">
        <f>IF(AND(302&gt;=$NR$26,302&lt;=$NS$26),IF($NP$26="Single_Point",IF(302=$NR$26,$NN$26,0),IF($NP$26="Bell_Curve",$NN$26*(302-$NR$26+1)*($NS$26-302+1)/$NU$26,$NN$26/$NT$26)),0)</f>
        <v/>
      </c>
      <c r="KU26" s="228">
        <f>IF(AND(303&gt;=$NR$26,303&lt;=$NS$26),IF($NP$26="Single_Point",IF(303=$NR$26,$NN$26,0),IF($NP$26="Bell_Curve",$NN$26*(303-$NR$26+1)*($NS$26-303+1)/$NU$26,$NN$26/$NT$26)),0)</f>
        <v/>
      </c>
      <c r="KV26" s="228">
        <f>IF(AND(304&gt;=$NR$26,304&lt;=$NS$26),IF($NP$26="Single_Point",IF(304=$NR$26,$NN$26,0),IF($NP$26="Bell_Curve",$NN$26*(304-$NR$26+1)*($NS$26-304+1)/$NU$26,$NN$26/$NT$26)),0)</f>
        <v/>
      </c>
      <c r="KW26" s="228">
        <f>IF(AND(305&gt;=$NR$26,305&lt;=$NS$26),IF($NP$26="Single_Point",IF(305=$NR$26,$NN$26,0),IF($NP$26="Bell_Curve",$NN$26*(305-$NR$26+1)*($NS$26-305+1)/$NU$26,$NN$26/$NT$26)),0)</f>
        <v/>
      </c>
      <c r="KX26" s="228">
        <f>IF(AND(306&gt;=$NR$26,306&lt;=$NS$26),IF($NP$26="Single_Point",IF(306=$NR$26,$NN$26,0),IF($NP$26="Bell_Curve",$NN$26*(306-$NR$26+1)*($NS$26-306+1)/$NU$26,$NN$26/$NT$26)),0)</f>
        <v/>
      </c>
      <c r="KY26" s="228">
        <f>IF(AND(307&gt;=$NR$26,307&lt;=$NS$26),IF($NP$26="Single_Point",IF(307=$NR$26,$NN$26,0),IF($NP$26="Bell_Curve",$NN$26*(307-$NR$26+1)*($NS$26-307+1)/$NU$26,$NN$26/$NT$26)),0)</f>
        <v/>
      </c>
      <c r="KZ26" s="228">
        <f>IF(AND(308&gt;=$NR$26,308&lt;=$NS$26),IF($NP$26="Single_Point",IF(308=$NR$26,$NN$26,0),IF($NP$26="Bell_Curve",$NN$26*(308-$NR$26+1)*($NS$26-308+1)/$NU$26,$NN$26/$NT$26)),0)</f>
        <v/>
      </c>
      <c r="LA26" s="228">
        <f>IF(AND(309&gt;=$NR$26,309&lt;=$NS$26),IF($NP$26="Single_Point",IF(309=$NR$26,$NN$26,0),IF($NP$26="Bell_Curve",$NN$26*(309-$NR$26+1)*($NS$26-309+1)/$NU$26,$NN$26/$NT$26)),0)</f>
        <v/>
      </c>
      <c r="LB26" s="228">
        <f>IF(AND(310&gt;=$NR$26,310&lt;=$NS$26),IF($NP$26="Single_Point",IF(310=$NR$26,$NN$26,0),IF($NP$26="Bell_Curve",$NN$26*(310-$NR$26+1)*($NS$26-310+1)/$NU$26,$NN$26/$NT$26)),0)</f>
        <v/>
      </c>
      <c r="LC26" s="228">
        <f>IF(AND(311&gt;=$NR$26,311&lt;=$NS$26),IF($NP$26="Single_Point",IF(311=$NR$26,$NN$26,0),IF($NP$26="Bell_Curve",$NN$26*(311-$NR$26+1)*($NS$26-311+1)/$NU$26,$NN$26/$NT$26)),0)</f>
        <v/>
      </c>
      <c r="LD26" s="228">
        <f>IF(AND(312&gt;=$NR$26,312&lt;=$NS$26),IF($NP$26="Single_Point",IF(312=$NR$26,$NN$26,0),IF($NP$26="Bell_Curve",$NN$26*(312-$NR$26+1)*($NS$26-312+1)/$NU$26,$NN$26/$NT$26)),0)</f>
        <v/>
      </c>
      <c r="LE26" s="228">
        <f>IF(AND(313&gt;=$NR$26,313&lt;=$NS$26),IF($NP$26="Single_Point",IF(313=$NR$26,$NN$26,0),IF($NP$26="Bell_Curve",$NN$26*(313-$NR$26+1)*($NS$26-313+1)/$NU$26,$NN$26/$NT$26)),0)</f>
        <v/>
      </c>
      <c r="LF26" s="228">
        <f>IF(AND(314&gt;=$NR$26,314&lt;=$NS$26),IF($NP$26="Single_Point",IF(314=$NR$26,$NN$26,0),IF($NP$26="Bell_Curve",$NN$26*(314-$NR$26+1)*($NS$26-314+1)/$NU$26,$NN$26/$NT$26)),0)</f>
        <v/>
      </c>
      <c r="LG26" s="228">
        <f>IF(AND(315&gt;=$NR$26,315&lt;=$NS$26),IF($NP$26="Single_Point",IF(315=$NR$26,$NN$26,0),IF($NP$26="Bell_Curve",$NN$26*(315-$NR$26+1)*($NS$26-315+1)/$NU$26,$NN$26/$NT$26)),0)</f>
        <v/>
      </c>
      <c r="LH26" s="228">
        <f>IF(AND(316&gt;=$NR$26,316&lt;=$NS$26),IF($NP$26="Single_Point",IF(316=$NR$26,$NN$26,0),IF($NP$26="Bell_Curve",$NN$26*(316-$NR$26+1)*($NS$26-316+1)/$NU$26,$NN$26/$NT$26)),0)</f>
        <v/>
      </c>
      <c r="LI26" s="228">
        <f>IF(AND(317&gt;=$NR$26,317&lt;=$NS$26),IF($NP$26="Single_Point",IF(317=$NR$26,$NN$26,0),IF($NP$26="Bell_Curve",$NN$26*(317-$NR$26+1)*($NS$26-317+1)/$NU$26,$NN$26/$NT$26)),0)</f>
        <v/>
      </c>
      <c r="LJ26" s="228">
        <f>IF(AND(318&gt;=$NR$26,318&lt;=$NS$26),IF($NP$26="Single_Point",IF(318=$NR$26,$NN$26,0),IF($NP$26="Bell_Curve",$NN$26*(318-$NR$26+1)*($NS$26-318+1)/$NU$26,$NN$26/$NT$26)),0)</f>
        <v/>
      </c>
      <c r="LK26" s="228">
        <f>IF(AND(319&gt;=$NR$26,319&lt;=$NS$26),IF($NP$26="Single_Point",IF(319=$NR$26,$NN$26,0),IF($NP$26="Bell_Curve",$NN$26*(319-$NR$26+1)*($NS$26-319+1)/$NU$26,$NN$26/$NT$26)),0)</f>
        <v/>
      </c>
      <c r="LL26" s="228">
        <f>IF(AND(320&gt;=$NR$26,320&lt;=$NS$26),IF($NP$26="Single_Point",IF(320=$NR$26,$NN$26,0),IF($NP$26="Bell_Curve",$NN$26*(320-$NR$26+1)*($NS$26-320+1)/$NU$26,$NN$26/$NT$26)),0)</f>
        <v/>
      </c>
      <c r="LM26" s="228">
        <f>IF(AND(321&gt;=$NR$26,321&lt;=$NS$26),IF($NP$26="Single_Point",IF(321=$NR$26,$NN$26,0),IF($NP$26="Bell_Curve",$NN$26*(321-$NR$26+1)*($NS$26-321+1)/$NU$26,$NN$26/$NT$26)),0)</f>
        <v/>
      </c>
      <c r="LN26" s="228">
        <f>IF(AND(322&gt;=$NR$26,322&lt;=$NS$26),IF($NP$26="Single_Point",IF(322=$NR$26,$NN$26,0),IF($NP$26="Bell_Curve",$NN$26*(322-$NR$26+1)*($NS$26-322+1)/$NU$26,$NN$26/$NT$26)),0)</f>
        <v/>
      </c>
      <c r="LO26" s="228">
        <f>IF(AND(323&gt;=$NR$26,323&lt;=$NS$26),IF($NP$26="Single_Point",IF(323=$NR$26,$NN$26,0),IF($NP$26="Bell_Curve",$NN$26*(323-$NR$26+1)*($NS$26-323+1)/$NU$26,$NN$26/$NT$26)),0)</f>
        <v/>
      </c>
      <c r="LP26" s="228">
        <f>IF(AND(324&gt;=$NR$26,324&lt;=$NS$26),IF($NP$26="Single_Point",IF(324=$NR$26,$NN$26,0),IF($NP$26="Bell_Curve",$NN$26*(324-$NR$26+1)*($NS$26-324+1)/$NU$26,$NN$26/$NT$26)),0)</f>
        <v/>
      </c>
      <c r="LQ26" s="228">
        <f>IF(AND(325&gt;=$NR$26,325&lt;=$NS$26),IF($NP$26="Single_Point",IF(325=$NR$26,$NN$26,0),IF($NP$26="Bell_Curve",$NN$26*(325-$NR$26+1)*($NS$26-325+1)/$NU$26,$NN$26/$NT$26)),0)</f>
        <v/>
      </c>
      <c r="LR26" s="228">
        <f>IF(AND(326&gt;=$NR$26,326&lt;=$NS$26),IF($NP$26="Single_Point",IF(326=$NR$26,$NN$26,0),IF($NP$26="Bell_Curve",$NN$26*(326-$NR$26+1)*($NS$26-326+1)/$NU$26,$NN$26/$NT$26)),0)</f>
        <v/>
      </c>
      <c r="LS26" s="228">
        <f>IF(AND(327&gt;=$NR$26,327&lt;=$NS$26),IF($NP$26="Single_Point",IF(327=$NR$26,$NN$26,0),IF($NP$26="Bell_Curve",$NN$26*(327-$NR$26+1)*($NS$26-327+1)/$NU$26,$NN$26/$NT$26)),0)</f>
        <v/>
      </c>
      <c r="LT26" s="228">
        <f>IF(AND(328&gt;=$NR$26,328&lt;=$NS$26),IF($NP$26="Single_Point",IF(328=$NR$26,$NN$26,0),IF($NP$26="Bell_Curve",$NN$26*(328-$NR$26+1)*($NS$26-328+1)/$NU$26,$NN$26/$NT$26)),0)</f>
        <v/>
      </c>
      <c r="LU26" s="228">
        <f>IF(AND(329&gt;=$NR$26,329&lt;=$NS$26),IF($NP$26="Single_Point",IF(329=$NR$26,$NN$26,0),IF($NP$26="Bell_Curve",$NN$26*(329-$NR$26+1)*($NS$26-329+1)/$NU$26,$NN$26/$NT$26)),0)</f>
        <v/>
      </c>
      <c r="LV26" s="228">
        <f>IF(AND(330&gt;=$NR$26,330&lt;=$NS$26),IF($NP$26="Single_Point",IF(330=$NR$26,$NN$26,0),IF($NP$26="Bell_Curve",$NN$26*(330-$NR$26+1)*($NS$26-330+1)/$NU$26,$NN$26/$NT$26)),0)</f>
        <v/>
      </c>
      <c r="LW26" s="228">
        <f>IF(AND(331&gt;=$NR$26,331&lt;=$NS$26),IF($NP$26="Single_Point",IF(331=$NR$26,$NN$26,0),IF($NP$26="Bell_Curve",$NN$26*(331-$NR$26+1)*($NS$26-331+1)/$NU$26,$NN$26/$NT$26)),0)</f>
        <v/>
      </c>
      <c r="LX26" s="228">
        <f>IF(AND(332&gt;=$NR$26,332&lt;=$NS$26),IF($NP$26="Single_Point",IF(332=$NR$26,$NN$26,0),IF($NP$26="Bell_Curve",$NN$26*(332-$NR$26+1)*($NS$26-332+1)/$NU$26,$NN$26/$NT$26)),0)</f>
        <v/>
      </c>
      <c r="LY26" s="228">
        <f>IF(AND(333&gt;=$NR$26,333&lt;=$NS$26),IF($NP$26="Single_Point",IF(333=$NR$26,$NN$26,0),IF($NP$26="Bell_Curve",$NN$26*(333-$NR$26+1)*($NS$26-333+1)/$NU$26,$NN$26/$NT$26)),0)</f>
        <v/>
      </c>
      <c r="LZ26" s="228">
        <f>IF(AND(334&gt;=$NR$26,334&lt;=$NS$26),IF($NP$26="Single_Point",IF(334=$NR$26,$NN$26,0),IF($NP$26="Bell_Curve",$NN$26*(334-$NR$26+1)*($NS$26-334+1)/$NU$26,$NN$26/$NT$26)),0)</f>
        <v/>
      </c>
      <c r="MA26" s="228">
        <f>IF(AND(335&gt;=$NR$26,335&lt;=$NS$26),IF($NP$26="Single_Point",IF(335=$NR$26,$NN$26,0),IF($NP$26="Bell_Curve",$NN$26*(335-$NR$26+1)*($NS$26-335+1)/$NU$26,$NN$26/$NT$26)),0)</f>
        <v/>
      </c>
      <c r="MB26" s="228">
        <f>IF(AND(336&gt;=$NR$26,336&lt;=$NS$26),IF($NP$26="Single_Point",IF(336=$NR$26,$NN$26,0),IF($NP$26="Bell_Curve",$NN$26*(336-$NR$26+1)*($NS$26-336+1)/$NU$26,$NN$26/$NT$26)),0)</f>
        <v/>
      </c>
      <c r="MC26" s="228">
        <f>IF(AND(337&gt;=$NR$26,337&lt;=$NS$26),IF($NP$26="Single_Point",IF(337=$NR$26,$NN$26,0),IF($NP$26="Bell_Curve",$NN$26*(337-$NR$26+1)*($NS$26-337+1)/$NU$26,$NN$26/$NT$26)),0)</f>
        <v/>
      </c>
      <c r="MD26" s="228">
        <f>IF(AND(338&gt;=$NR$26,338&lt;=$NS$26),IF($NP$26="Single_Point",IF(338=$NR$26,$NN$26,0),IF($NP$26="Bell_Curve",$NN$26*(338-$NR$26+1)*($NS$26-338+1)/$NU$26,$NN$26/$NT$26)),0)</f>
        <v/>
      </c>
      <c r="ME26" s="228">
        <f>IF(AND(339&gt;=$NR$26,339&lt;=$NS$26),IF($NP$26="Single_Point",IF(339=$NR$26,$NN$26,0),IF($NP$26="Bell_Curve",$NN$26*(339-$NR$26+1)*($NS$26-339+1)/$NU$26,$NN$26/$NT$26)),0)</f>
        <v/>
      </c>
      <c r="MF26" s="228">
        <f>IF(AND(340&gt;=$NR$26,340&lt;=$NS$26),IF($NP$26="Single_Point",IF(340=$NR$26,$NN$26,0),IF($NP$26="Bell_Curve",$NN$26*(340-$NR$26+1)*($NS$26-340+1)/$NU$26,$NN$26/$NT$26)),0)</f>
        <v/>
      </c>
      <c r="MG26" s="228">
        <f>IF(AND(341&gt;=$NR$26,341&lt;=$NS$26),IF($NP$26="Single_Point",IF(341=$NR$26,$NN$26,0),IF($NP$26="Bell_Curve",$NN$26*(341-$NR$26+1)*($NS$26-341+1)/$NU$26,$NN$26/$NT$26)),0)</f>
        <v/>
      </c>
      <c r="MH26" s="228">
        <f>IF(AND(342&gt;=$NR$26,342&lt;=$NS$26),IF($NP$26="Single_Point",IF(342=$NR$26,$NN$26,0),IF($NP$26="Bell_Curve",$NN$26*(342-$NR$26+1)*($NS$26-342+1)/$NU$26,$NN$26/$NT$26)),0)</f>
        <v/>
      </c>
      <c r="MI26" s="228">
        <f>IF(AND(343&gt;=$NR$26,343&lt;=$NS$26),IF($NP$26="Single_Point",IF(343=$NR$26,$NN$26,0),IF($NP$26="Bell_Curve",$NN$26*(343-$NR$26+1)*($NS$26-343+1)/$NU$26,$NN$26/$NT$26)),0)</f>
        <v/>
      </c>
      <c r="MJ26" s="228">
        <f>IF(AND(344&gt;=$NR$26,344&lt;=$NS$26),IF($NP$26="Single_Point",IF(344=$NR$26,$NN$26,0),IF($NP$26="Bell_Curve",$NN$26*(344-$NR$26+1)*($NS$26-344+1)/$NU$26,$NN$26/$NT$26)),0)</f>
        <v/>
      </c>
      <c r="MK26" s="228">
        <f>IF(AND(345&gt;=$NR$26,345&lt;=$NS$26),IF($NP$26="Single_Point",IF(345=$NR$26,$NN$26,0),IF($NP$26="Bell_Curve",$NN$26*(345-$NR$26+1)*($NS$26-345+1)/$NU$26,$NN$26/$NT$26)),0)</f>
        <v/>
      </c>
      <c r="ML26" s="228">
        <f>IF(AND(346&gt;=$NR$26,346&lt;=$NS$26),IF($NP$26="Single_Point",IF(346=$NR$26,$NN$26,0),IF($NP$26="Bell_Curve",$NN$26*(346-$NR$26+1)*($NS$26-346+1)/$NU$26,$NN$26/$NT$26)),0)</f>
        <v/>
      </c>
      <c r="MM26" s="228">
        <f>IF(AND(347&gt;=$NR$26,347&lt;=$NS$26),IF($NP$26="Single_Point",IF(347=$NR$26,$NN$26,0),IF($NP$26="Bell_Curve",$NN$26*(347-$NR$26+1)*($NS$26-347+1)/$NU$26,$NN$26/$NT$26)),0)</f>
        <v/>
      </c>
      <c r="MN26" s="228">
        <f>IF(AND(348&gt;=$NR$26,348&lt;=$NS$26),IF($NP$26="Single_Point",IF(348=$NR$26,$NN$26,0),IF($NP$26="Bell_Curve",$NN$26*(348-$NR$26+1)*($NS$26-348+1)/$NU$26,$NN$26/$NT$26)),0)</f>
        <v/>
      </c>
      <c r="MO26" s="228">
        <f>IF(AND(349&gt;=$NR$26,349&lt;=$NS$26),IF($NP$26="Single_Point",IF(349=$NR$26,$NN$26,0),IF($NP$26="Bell_Curve",$NN$26*(349-$NR$26+1)*($NS$26-349+1)/$NU$26,$NN$26/$NT$26)),0)</f>
        <v/>
      </c>
      <c r="MP26" s="228">
        <f>IF(AND(350&gt;=$NR$26,350&lt;=$NS$26),IF($NP$26="Single_Point",IF(350=$NR$26,$NN$26,0),IF($NP$26="Bell_Curve",$NN$26*(350-$NR$26+1)*($NS$26-350+1)/$NU$26,$NN$26/$NT$26)),0)</f>
        <v/>
      </c>
      <c r="MQ26" s="228">
        <f>IF(AND(351&gt;=$NR$26,351&lt;=$NS$26),IF($NP$26="Single_Point",IF(351=$NR$26,$NN$26,0),IF($NP$26="Bell_Curve",$NN$26*(351-$NR$26+1)*($NS$26-351+1)/$NU$26,$NN$26/$NT$26)),0)</f>
        <v/>
      </c>
      <c r="MR26" s="228">
        <f>IF(AND(352&gt;=$NR$26,352&lt;=$NS$26),IF($NP$26="Single_Point",IF(352=$NR$26,$NN$26,0),IF($NP$26="Bell_Curve",$NN$26*(352-$NR$26+1)*($NS$26-352+1)/$NU$26,$NN$26/$NT$26)),0)</f>
        <v/>
      </c>
      <c r="MS26" s="228">
        <f>IF(AND(353&gt;=$NR$26,353&lt;=$NS$26),IF($NP$26="Single_Point",IF(353=$NR$26,$NN$26,0),IF($NP$26="Bell_Curve",$NN$26*(353-$NR$26+1)*($NS$26-353+1)/$NU$26,$NN$26/$NT$26)),0)</f>
        <v/>
      </c>
      <c r="MT26" s="228">
        <f>IF(AND(354&gt;=$NR$26,354&lt;=$NS$26),IF($NP$26="Single_Point",IF(354=$NR$26,$NN$26,0),IF($NP$26="Bell_Curve",$NN$26*(354-$NR$26+1)*($NS$26-354+1)/$NU$26,$NN$26/$NT$26)),0)</f>
        <v/>
      </c>
      <c r="MU26" s="228">
        <f>IF(AND(355&gt;=$NR$26,355&lt;=$NS$26),IF($NP$26="Single_Point",IF(355=$NR$26,$NN$26,0),IF($NP$26="Bell_Curve",$NN$26*(355-$NR$26+1)*($NS$26-355+1)/$NU$26,$NN$26/$NT$26)),0)</f>
        <v/>
      </c>
      <c r="MV26" s="228">
        <f>IF(AND(356&gt;=$NR$26,356&lt;=$NS$26),IF($NP$26="Single_Point",IF(356=$NR$26,$NN$26,0),IF($NP$26="Bell_Curve",$NN$26*(356-$NR$26+1)*($NS$26-356+1)/$NU$26,$NN$26/$NT$26)),0)</f>
        <v/>
      </c>
      <c r="MW26" s="228">
        <f>IF(AND(357&gt;=$NR$26,357&lt;=$NS$26),IF($NP$26="Single_Point",IF(357=$NR$26,$NN$26,0),IF($NP$26="Bell_Curve",$NN$26*(357-$NR$26+1)*($NS$26-357+1)/$NU$26,$NN$26/$NT$26)),0)</f>
        <v/>
      </c>
      <c r="MX26" s="228">
        <f>IF(AND(358&gt;=$NR$26,358&lt;=$NS$26),IF($NP$26="Single_Point",IF(358=$NR$26,$NN$26,0),IF($NP$26="Bell_Curve",$NN$26*(358-$NR$26+1)*($NS$26-358+1)/$NU$26,$NN$26/$NT$26)),0)</f>
        <v/>
      </c>
      <c r="MY26" s="228">
        <f>IF(AND(359&gt;=$NR$26,359&lt;=$NS$26),IF($NP$26="Single_Point",IF(359=$NR$26,$NN$26,0),IF($NP$26="Bell_Curve",$NN$26*(359-$NR$26+1)*($NS$26-359+1)/$NU$26,$NN$26/$NT$26)),0)</f>
        <v/>
      </c>
      <c r="MZ26" s="228">
        <f>IF(AND(360&gt;=$NR$26,360&lt;=$NS$26),IF($NP$26="Single_Point",IF(360=$NR$26,$NN$26,0),IF($NP$26="Bell_Curve",$NN$26*(360-$NR$26+1)*($NS$26-360+1)/$NU$26,$NN$26/$NT$26)),0)</f>
        <v/>
      </c>
      <c r="NA26" s="228">
        <f>IF(AND(361&gt;=$NR$26,361&lt;=$NS$26),IF($NP$26="Single_Point",IF(361=$NR$26,$NN$26,0),IF($NP$26="Bell_Curve",$NN$26*(361-$NR$26+1)*($NS$26-361+1)/$NU$26,$NN$26/$NT$26)),0)</f>
        <v/>
      </c>
      <c r="NB26" s="228">
        <f>IF(AND(362&gt;=$NR$26,362&lt;=$NS$26),IF($NP$26="Single_Point",IF(362=$NR$26,$NN$26,0),IF($NP$26="Bell_Curve",$NN$26*(362-$NR$26+1)*($NS$26-362+1)/$NU$26,$NN$26/$NT$26)),0)</f>
        <v/>
      </c>
      <c r="NC26" s="228">
        <f>IF(AND(363&gt;=$NR$26,363&lt;=$NS$26),IF($NP$26="Single_Point",IF(363=$NR$26,$NN$26,0),IF($NP$26="Bell_Curve",$NN$26*(363-$NR$26+1)*($NS$26-363+1)/$NU$26,$NN$26/$NT$26)),0)</f>
        <v/>
      </c>
      <c r="ND26" s="228">
        <f>IF(AND(364&gt;=$NR$26,364&lt;=$NS$26),IF($NP$26="Single_Point",IF(364=$NR$26,$NN$26,0),IF($NP$26="Bell_Curve",$NN$26*(364-$NR$26+1)*($NS$26-364+1)/$NU$26,$NN$26/$NT$26)),0)</f>
        <v/>
      </c>
      <c r="NE26" s="228">
        <f>IF(AND(365&gt;=$NR$26,365&lt;=$NS$26),IF($NP$26="Single_Point",IF(365=$NR$26,$NN$26,0),IF($NP$26="Bell_Curve",$NN$26*(365-$NR$26+1)*($NS$26-365+1)/$NU$26,$NN$26/$NT$26)),0)</f>
        <v/>
      </c>
      <c r="NF26" s="228">
        <f>IF(AND(366&gt;=$NR$26,366&lt;=$NS$26),IF($NP$26="Single_Point",IF(366=$NR$26,$NN$26,0),IF($NP$26="Bell_Curve",$NN$26*(366-$NR$26+1)*($NS$26-366+1)/$NU$26,$NN$26/$NT$26)),0)</f>
        <v/>
      </c>
      <c r="NG26" s="228">
        <f>IF(AND(367&gt;=$NR$26,367&lt;=$NS$26),IF($NP$26="Single_Point",IF(367=$NR$26,$NN$26,0),IF($NP$26="Bell_Curve",$NN$26*(367-$NR$26+1)*($NS$26-367+1)/$NU$26,$NN$26/$NT$26)),0)</f>
        <v/>
      </c>
      <c r="NH26" s="228">
        <f>IF(AND(368&gt;=$NR$26,368&lt;=$NS$26),IF($NP$26="Single_Point",IF(368=$NR$26,$NN$26,0),IF($NP$26="Bell_Curve",$NN$26*(368-$NR$26+1)*($NS$26-368+1)/$NU$26,$NN$26/$NT$26)),0)</f>
        <v/>
      </c>
      <c r="NI26" s="228">
        <f>IF(AND(369&gt;=$NR$26,369&lt;=$NS$26),IF($NP$26="Single_Point",IF(369=$NR$26,$NN$26,0),IF($NP$26="Bell_Curve",$NN$26*(369-$NR$26+1)*($NS$26-369+1)/$NU$26,$NN$26/$NT$26)),0)</f>
        <v/>
      </c>
      <c r="NJ26" s="228">
        <f>IF(AND(370&gt;=$NR$26,370&lt;=$NS$26),IF($NP$26="Single_Point",IF(370=$NR$26,$NN$26,0),IF($NP$26="Bell_Curve",$NN$26*(370-$NR$26+1)*($NS$26-370+1)/$NU$26,$NN$26/$NT$26)),0)</f>
        <v/>
      </c>
      <c r="NK26" s="228">
        <f>IF(AND(371&gt;=$NR$26,371&lt;=$NS$26),IF($NP$26="Single_Point",IF(371=$NR$26,$NN$26,0),IF($NP$26="Bell_Curve",$NN$26*(371-$NR$26+1)*($NS$26-371+1)/$NU$26,$NN$26/$NT$26)),0)</f>
        <v/>
      </c>
      <c r="NL26" s="247">
        <f>IF(AND(372&gt;=$NR$26,372&lt;=$NS$26),IF($NP$26="Single_Point",IF(372=$NR$26,$NN$26,0),IF($NP$26="Bell_Curve",$NN$26*(372-$NR$26+1)*($NS$26-372+1)/$NU$26,$NN$26/$NT$26)),0)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36" t="inlineStr">
        <is>
          <t>Other Hard Cost 1 - Landscape</t>
        </is>
      </c>
      <c r="D27" s="246">
        <f>SUM(E27:NL27)</f>
        <v/>
      </c>
      <c r="E27" s="228">
        <f>IF(AND(1&gt;=$NR$27,1&lt;=$NS$27),IF($NP$27="Single_Point",IF(1=$NR$27,$NN$27,0),IF($NP$27="Bell_Curve",$NN$27*(1-$NR$27+1)*($NS$27-1+1)/$NU$27,$NN$27/$NT$27)),0)</f>
        <v/>
      </c>
      <c r="F27" s="228">
        <f>IF(AND(2&gt;=$NR$27,2&lt;=$NS$27),IF($NP$27="Single_Point",IF(2=$NR$27,$NN$27,0),IF($NP$27="Bell_Curve",$NN$27*(2-$NR$27+1)*($NS$27-2+1)/$NU$27,$NN$27/$NT$27)),0)</f>
        <v/>
      </c>
      <c r="G27" s="228">
        <f>IF(AND(3&gt;=$NR$27,3&lt;=$NS$27),IF($NP$27="Single_Point",IF(3=$NR$27,$NN$27,0),IF($NP$27="Bell_Curve",$NN$27*(3-$NR$27+1)*($NS$27-3+1)/$NU$27,$NN$27/$NT$27)),0)</f>
        <v/>
      </c>
      <c r="H27" s="228">
        <f>IF(AND(4&gt;=$NR$27,4&lt;=$NS$27),IF($NP$27="Single_Point",IF(4=$NR$27,$NN$27,0),IF($NP$27="Bell_Curve",$NN$27*(4-$NR$27+1)*($NS$27-4+1)/$NU$27,$NN$27/$NT$27)),0)</f>
        <v/>
      </c>
      <c r="I27" s="228">
        <f>IF(AND(5&gt;=$NR$27,5&lt;=$NS$27),IF($NP$27="Single_Point",IF(5=$NR$27,$NN$27,0),IF($NP$27="Bell_Curve",$NN$27*(5-$NR$27+1)*($NS$27-5+1)/$NU$27,$NN$27/$NT$27)),0)</f>
        <v/>
      </c>
      <c r="J27" s="228">
        <f>IF(AND(6&gt;=$NR$27,6&lt;=$NS$27),IF($NP$27="Single_Point",IF(6=$NR$27,$NN$27,0),IF($NP$27="Bell_Curve",$NN$27*(6-$NR$27+1)*($NS$27-6+1)/$NU$27,$NN$27/$NT$27)),0)</f>
        <v/>
      </c>
      <c r="K27" s="228">
        <f>IF(AND(7&gt;=$NR$27,7&lt;=$NS$27),IF($NP$27="Single_Point",IF(7=$NR$27,$NN$27,0),IF($NP$27="Bell_Curve",$NN$27*(7-$NR$27+1)*($NS$27-7+1)/$NU$27,$NN$27/$NT$27)),0)</f>
        <v/>
      </c>
      <c r="L27" s="228">
        <f>IF(AND(8&gt;=$NR$27,8&lt;=$NS$27),IF($NP$27="Single_Point",IF(8=$NR$27,$NN$27,0),IF($NP$27="Bell_Curve",$NN$27*(8-$NR$27+1)*($NS$27-8+1)/$NU$27,$NN$27/$NT$27)),0)</f>
        <v/>
      </c>
      <c r="M27" s="228">
        <f>IF(AND(9&gt;=$NR$27,9&lt;=$NS$27),IF($NP$27="Single_Point",IF(9=$NR$27,$NN$27,0),IF($NP$27="Bell_Curve",$NN$27*(9-$NR$27+1)*($NS$27-9+1)/$NU$27,$NN$27/$NT$27)),0)</f>
        <v/>
      </c>
      <c r="N27" s="228">
        <f>IF(AND(10&gt;=$NR$27,10&lt;=$NS$27),IF($NP$27="Single_Point",IF(10=$NR$27,$NN$27,0),IF($NP$27="Bell_Curve",$NN$27*(10-$NR$27+1)*($NS$27-10+1)/$NU$27,$NN$27/$NT$27)),0)</f>
        <v/>
      </c>
      <c r="O27" s="228">
        <f>IF(AND(11&gt;=$NR$27,11&lt;=$NS$27),IF($NP$27="Single_Point",IF(11=$NR$27,$NN$27,0),IF($NP$27="Bell_Curve",$NN$27*(11-$NR$27+1)*($NS$27-11+1)/$NU$27,$NN$27/$NT$27)),0)</f>
        <v/>
      </c>
      <c r="P27" s="228">
        <f>IF(AND(12&gt;=$NR$27,12&lt;=$NS$27),IF($NP$27="Single_Point",IF(12=$NR$27,$NN$27,0),IF($NP$27="Bell_Curve",$NN$27*(12-$NR$27+1)*($NS$27-12+1)/$NU$27,$NN$27/$NT$27)),0)</f>
        <v/>
      </c>
      <c r="Q27" s="228">
        <f>IF(AND(13&gt;=$NR$27,13&lt;=$NS$27),IF($NP$27="Single_Point",IF(13=$NR$27,$NN$27,0),IF($NP$27="Bell_Curve",$NN$27*(13-$NR$27+1)*($NS$27-13+1)/$NU$27,$NN$27/$NT$27)),0)</f>
        <v/>
      </c>
      <c r="R27" s="228">
        <f>IF(AND(14&gt;=$NR$27,14&lt;=$NS$27),IF($NP$27="Single_Point",IF(14=$NR$27,$NN$27,0),IF($NP$27="Bell_Curve",$NN$27*(14-$NR$27+1)*($NS$27-14+1)/$NU$27,$NN$27/$NT$27)),0)</f>
        <v/>
      </c>
      <c r="S27" s="228">
        <f>IF(AND(15&gt;=$NR$27,15&lt;=$NS$27),IF($NP$27="Single_Point",IF(15=$NR$27,$NN$27,0),IF($NP$27="Bell_Curve",$NN$27*(15-$NR$27+1)*($NS$27-15+1)/$NU$27,$NN$27/$NT$27)),0)</f>
        <v/>
      </c>
      <c r="T27" s="228">
        <f>IF(AND(16&gt;=$NR$27,16&lt;=$NS$27),IF($NP$27="Single_Point",IF(16=$NR$27,$NN$27,0),IF($NP$27="Bell_Curve",$NN$27*(16-$NR$27+1)*($NS$27-16+1)/$NU$27,$NN$27/$NT$27)),0)</f>
        <v/>
      </c>
      <c r="U27" s="228">
        <f>IF(AND(17&gt;=$NR$27,17&lt;=$NS$27),IF($NP$27="Single_Point",IF(17=$NR$27,$NN$27,0),IF($NP$27="Bell_Curve",$NN$27*(17-$NR$27+1)*($NS$27-17+1)/$NU$27,$NN$27/$NT$27)),0)</f>
        <v/>
      </c>
      <c r="V27" s="228">
        <f>IF(AND(18&gt;=$NR$27,18&lt;=$NS$27),IF($NP$27="Single_Point",IF(18=$NR$27,$NN$27,0),IF($NP$27="Bell_Curve",$NN$27*(18-$NR$27+1)*($NS$27-18+1)/$NU$27,$NN$27/$NT$27)),0)</f>
        <v/>
      </c>
      <c r="W27" s="228">
        <f>IF(AND(19&gt;=$NR$27,19&lt;=$NS$27),IF($NP$27="Single_Point",IF(19=$NR$27,$NN$27,0),IF($NP$27="Bell_Curve",$NN$27*(19-$NR$27+1)*($NS$27-19+1)/$NU$27,$NN$27/$NT$27)),0)</f>
        <v/>
      </c>
      <c r="X27" s="228">
        <f>IF(AND(20&gt;=$NR$27,20&lt;=$NS$27),IF($NP$27="Single_Point",IF(20=$NR$27,$NN$27,0),IF($NP$27="Bell_Curve",$NN$27*(20-$NR$27+1)*($NS$27-20+1)/$NU$27,$NN$27/$NT$27)),0)</f>
        <v/>
      </c>
      <c r="Y27" s="228">
        <f>IF(AND(21&gt;=$NR$27,21&lt;=$NS$27),IF($NP$27="Single_Point",IF(21=$NR$27,$NN$27,0),IF($NP$27="Bell_Curve",$NN$27*(21-$NR$27+1)*($NS$27-21+1)/$NU$27,$NN$27/$NT$27)),0)</f>
        <v/>
      </c>
      <c r="Z27" s="228">
        <f>IF(AND(22&gt;=$NR$27,22&lt;=$NS$27),IF($NP$27="Single_Point",IF(22=$NR$27,$NN$27,0),IF($NP$27="Bell_Curve",$NN$27*(22-$NR$27+1)*($NS$27-22+1)/$NU$27,$NN$27/$NT$27)),0)</f>
        <v/>
      </c>
      <c r="AA27" s="228">
        <f>IF(AND(23&gt;=$NR$27,23&lt;=$NS$27),IF($NP$27="Single_Point",IF(23=$NR$27,$NN$27,0),IF($NP$27="Bell_Curve",$NN$27*(23-$NR$27+1)*($NS$27-23+1)/$NU$27,$NN$27/$NT$27)),0)</f>
        <v/>
      </c>
      <c r="AB27" s="228">
        <f>IF(AND(24&gt;=$NR$27,24&lt;=$NS$27),IF($NP$27="Single_Point",IF(24=$NR$27,$NN$27,0),IF($NP$27="Bell_Curve",$NN$27*(24-$NR$27+1)*($NS$27-24+1)/$NU$27,$NN$27/$NT$27)),0)</f>
        <v/>
      </c>
      <c r="AC27" s="228">
        <f>IF(AND(25&gt;=$NR$27,25&lt;=$NS$27),IF($NP$27="Single_Point",IF(25=$NR$27,$NN$27,0),IF($NP$27="Bell_Curve",$NN$27*(25-$NR$27+1)*($NS$27-25+1)/$NU$27,$NN$27/$NT$27)),0)</f>
        <v/>
      </c>
      <c r="AD27" s="228">
        <f>IF(AND(26&gt;=$NR$27,26&lt;=$NS$27),IF($NP$27="Single_Point",IF(26=$NR$27,$NN$27,0),IF($NP$27="Bell_Curve",$NN$27*(26-$NR$27+1)*($NS$27-26+1)/$NU$27,$NN$27/$NT$27)),0)</f>
        <v/>
      </c>
      <c r="AE27" s="228">
        <f>IF(AND(27&gt;=$NR$27,27&lt;=$NS$27),IF($NP$27="Single_Point",IF(27=$NR$27,$NN$27,0),IF($NP$27="Bell_Curve",$NN$27*(27-$NR$27+1)*($NS$27-27+1)/$NU$27,$NN$27/$NT$27)),0)</f>
        <v/>
      </c>
      <c r="AF27" s="228">
        <f>IF(AND(28&gt;=$NR$27,28&lt;=$NS$27),IF($NP$27="Single_Point",IF(28=$NR$27,$NN$27,0),IF($NP$27="Bell_Curve",$NN$27*(28-$NR$27+1)*($NS$27-28+1)/$NU$27,$NN$27/$NT$27)),0)</f>
        <v/>
      </c>
      <c r="AG27" s="228">
        <f>IF(AND(29&gt;=$NR$27,29&lt;=$NS$27),IF($NP$27="Single_Point",IF(29=$NR$27,$NN$27,0),IF($NP$27="Bell_Curve",$NN$27*(29-$NR$27+1)*($NS$27-29+1)/$NU$27,$NN$27/$NT$27)),0)</f>
        <v/>
      </c>
      <c r="AH27" s="228">
        <f>IF(AND(30&gt;=$NR$27,30&lt;=$NS$27),IF($NP$27="Single_Point",IF(30=$NR$27,$NN$27,0),IF($NP$27="Bell_Curve",$NN$27*(30-$NR$27+1)*($NS$27-30+1)/$NU$27,$NN$27/$NT$27)),0)</f>
        <v/>
      </c>
      <c r="AI27" s="228">
        <f>IF(AND(31&gt;=$NR$27,31&lt;=$NS$27),IF($NP$27="Single_Point",IF(31=$NR$27,$NN$27,0),IF($NP$27="Bell_Curve",$NN$27*(31-$NR$27+1)*($NS$27-31+1)/$NU$27,$NN$27/$NT$27)),0)</f>
        <v/>
      </c>
      <c r="AJ27" s="228">
        <f>IF(AND(32&gt;=$NR$27,32&lt;=$NS$27),IF($NP$27="Single_Point",IF(32=$NR$27,$NN$27,0),IF($NP$27="Bell_Curve",$NN$27*(32-$NR$27+1)*($NS$27-32+1)/$NU$27,$NN$27/$NT$27)),0)</f>
        <v/>
      </c>
      <c r="AK27" s="228">
        <f>IF(AND(33&gt;=$NR$27,33&lt;=$NS$27),IF($NP$27="Single_Point",IF(33=$NR$27,$NN$27,0),IF($NP$27="Bell_Curve",$NN$27*(33-$NR$27+1)*($NS$27-33+1)/$NU$27,$NN$27/$NT$27)),0)</f>
        <v/>
      </c>
      <c r="AL27" s="228">
        <f>IF(AND(34&gt;=$NR$27,34&lt;=$NS$27),IF($NP$27="Single_Point",IF(34=$NR$27,$NN$27,0),IF($NP$27="Bell_Curve",$NN$27*(34-$NR$27+1)*($NS$27-34+1)/$NU$27,$NN$27/$NT$27)),0)</f>
        <v/>
      </c>
      <c r="AM27" s="228">
        <f>IF(AND(35&gt;=$NR$27,35&lt;=$NS$27),IF($NP$27="Single_Point",IF(35=$NR$27,$NN$27,0),IF($NP$27="Bell_Curve",$NN$27*(35-$NR$27+1)*($NS$27-35+1)/$NU$27,$NN$27/$NT$27)),0)</f>
        <v/>
      </c>
      <c r="AN27" s="228">
        <f>IF(AND(36&gt;=$NR$27,36&lt;=$NS$27),IF($NP$27="Single_Point",IF(36=$NR$27,$NN$27,0),IF($NP$27="Bell_Curve",$NN$27*(36-$NR$27+1)*($NS$27-36+1)/$NU$27,$NN$27/$NT$27)),0)</f>
        <v/>
      </c>
      <c r="AO27" s="228">
        <f>IF(AND(37&gt;=$NR$27,37&lt;=$NS$27),IF($NP$27="Single_Point",IF(37=$NR$27,$NN$27,0),IF($NP$27="Bell_Curve",$NN$27*(37-$NR$27+1)*($NS$27-37+1)/$NU$27,$NN$27/$NT$27)),0)</f>
        <v/>
      </c>
      <c r="AP27" s="228">
        <f>IF(AND(38&gt;=$NR$27,38&lt;=$NS$27),IF($NP$27="Single_Point",IF(38=$NR$27,$NN$27,0),IF($NP$27="Bell_Curve",$NN$27*(38-$NR$27+1)*($NS$27-38+1)/$NU$27,$NN$27/$NT$27)),0)</f>
        <v/>
      </c>
      <c r="AQ27" s="228">
        <f>IF(AND(39&gt;=$NR$27,39&lt;=$NS$27),IF($NP$27="Single_Point",IF(39=$NR$27,$NN$27,0),IF($NP$27="Bell_Curve",$NN$27*(39-$NR$27+1)*($NS$27-39+1)/$NU$27,$NN$27/$NT$27)),0)</f>
        <v/>
      </c>
      <c r="AR27" s="228">
        <f>IF(AND(40&gt;=$NR$27,40&lt;=$NS$27),IF($NP$27="Single_Point",IF(40=$NR$27,$NN$27,0),IF($NP$27="Bell_Curve",$NN$27*(40-$NR$27+1)*($NS$27-40+1)/$NU$27,$NN$27/$NT$27)),0)</f>
        <v/>
      </c>
      <c r="AS27" s="228">
        <f>IF(AND(41&gt;=$NR$27,41&lt;=$NS$27),IF($NP$27="Single_Point",IF(41=$NR$27,$NN$27,0),IF($NP$27="Bell_Curve",$NN$27*(41-$NR$27+1)*($NS$27-41+1)/$NU$27,$NN$27/$NT$27)),0)</f>
        <v/>
      </c>
      <c r="AT27" s="228">
        <f>IF(AND(42&gt;=$NR$27,42&lt;=$NS$27),IF($NP$27="Single_Point",IF(42=$NR$27,$NN$27,0),IF($NP$27="Bell_Curve",$NN$27*(42-$NR$27+1)*($NS$27-42+1)/$NU$27,$NN$27/$NT$27)),0)</f>
        <v/>
      </c>
      <c r="AU27" s="228">
        <f>IF(AND(43&gt;=$NR$27,43&lt;=$NS$27),IF($NP$27="Single_Point",IF(43=$NR$27,$NN$27,0),IF($NP$27="Bell_Curve",$NN$27*(43-$NR$27+1)*($NS$27-43+1)/$NU$27,$NN$27/$NT$27)),0)</f>
        <v/>
      </c>
      <c r="AV27" s="228">
        <f>IF(AND(44&gt;=$NR$27,44&lt;=$NS$27),IF($NP$27="Single_Point",IF(44=$NR$27,$NN$27,0),IF($NP$27="Bell_Curve",$NN$27*(44-$NR$27+1)*($NS$27-44+1)/$NU$27,$NN$27/$NT$27)),0)</f>
        <v/>
      </c>
      <c r="AW27" s="228">
        <f>IF(AND(45&gt;=$NR$27,45&lt;=$NS$27),IF($NP$27="Single_Point",IF(45=$NR$27,$NN$27,0),IF($NP$27="Bell_Curve",$NN$27*(45-$NR$27+1)*($NS$27-45+1)/$NU$27,$NN$27/$NT$27)),0)</f>
        <v/>
      </c>
      <c r="AX27" s="228">
        <f>IF(AND(46&gt;=$NR$27,46&lt;=$NS$27),IF($NP$27="Single_Point",IF(46=$NR$27,$NN$27,0),IF($NP$27="Bell_Curve",$NN$27*(46-$NR$27+1)*($NS$27-46+1)/$NU$27,$NN$27/$NT$27)),0)</f>
        <v/>
      </c>
      <c r="AY27" s="228">
        <f>IF(AND(47&gt;=$NR$27,47&lt;=$NS$27),IF($NP$27="Single_Point",IF(47=$NR$27,$NN$27,0),IF($NP$27="Bell_Curve",$NN$27*(47-$NR$27+1)*($NS$27-47+1)/$NU$27,$NN$27/$NT$27)),0)</f>
        <v/>
      </c>
      <c r="AZ27" s="228">
        <f>IF(AND(48&gt;=$NR$27,48&lt;=$NS$27),IF($NP$27="Single_Point",IF(48=$NR$27,$NN$27,0),IF($NP$27="Bell_Curve",$NN$27*(48-$NR$27+1)*($NS$27-48+1)/$NU$27,$NN$27/$NT$27)),0)</f>
        <v/>
      </c>
      <c r="BA27" s="228">
        <f>IF(AND(49&gt;=$NR$27,49&lt;=$NS$27),IF($NP$27="Single_Point",IF(49=$NR$27,$NN$27,0),IF($NP$27="Bell_Curve",$NN$27*(49-$NR$27+1)*($NS$27-49+1)/$NU$27,$NN$27/$NT$27)),0)</f>
        <v/>
      </c>
      <c r="BB27" s="228">
        <f>IF(AND(50&gt;=$NR$27,50&lt;=$NS$27),IF($NP$27="Single_Point",IF(50=$NR$27,$NN$27,0),IF($NP$27="Bell_Curve",$NN$27*(50-$NR$27+1)*($NS$27-50+1)/$NU$27,$NN$27/$NT$27)),0)</f>
        <v/>
      </c>
      <c r="BC27" s="228">
        <f>IF(AND(51&gt;=$NR$27,51&lt;=$NS$27),IF($NP$27="Single_Point",IF(51=$NR$27,$NN$27,0),IF($NP$27="Bell_Curve",$NN$27*(51-$NR$27+1)*($NS$27-51+1)/$NU$27,$NN$27/$NT$27)),0)</f>
        <v/>
      </c>
      <c r="BD27" s="228">
        <f>IF(AND(52&gt;=$NR$27,52&lt;=$NS$27),IF($NP$27="Single_Point",IF(52=$NR$27,$NN$27,0),IF($NP$27="Bell_Curve",$NN$27*(52-$NR$27+1)*($NS$27-52+1)/$NU$27,$NN$27/$NT$27)),0)</f>
        <v/>
      </c>
      <c r="BE27" s="228">
        <f>IF(AND(53&gt;=$NR$27,53&lt;=$NS$27),IF($NP$27="Single_Point",IF(53=$NR$27,$NN$27,0),IF($NP$27="Bell_Curve",$NN$27*(53-$NR$27+1)*($NS$27-53+1)/$NU$27,$NN$27/$NT$27)),0)</f>
        <v/>
      </c>
      <c r="BF27" s="228">
        <f>IF(AND(54&gt;=$NR$27,54&lt;=$NS$27),IF($NP$27="Single_Point",IF(54=$NR$27,$NN$27,0),IF($NP$27="Bell_Curve",$NN$27*(54-$NR$27+1)*($NS$27-54+1)/$NU$27,$NN$27/$NT$27)),0)</f>
        <v/>
      </c>
      <c r="BG27" s="228">
        <f>IF(AND(55&gt;=$NR$27,55&lt;=$NS$27),IF($NP$27="Single_Point",IF(55=$NR$27,$NN$27,0),IF($NP$27="Bell_Curve",$NN$27*(55-$NR$27+1)*($NS$27-55+1)/$NU$27,$NN$27/$NT$27)),0)</f>
        <v/>
      </c>
      <c r="BH27" s="228">
        <f>IF(AND(56&gt;=$NR$27,56&lt;=$NS$27),IF($NP$27="Single_Point",IF(56=$NR$27,$NN$27,0),IF($NP$27="Bell_Curve",$NN$27*(56-$NR$27+1)*($NS$27-56+1)/$NU$27,$NN$27/$NT$27)),0)</f>
        <v/>
      </c>
      <c r="BI27" s="228">
        <f>IF(AND(57&gt;=$NR$27,57&lt;=$NS$27),IF($NP$27="Single_Point",IF(57=$NR$27,$NN$27,0),IF($NP$27="Bell_Curve",$NN$27*(57-$NR$27+1)*($NS$27-57+1)/$NU$27,$NN$27/$NT$27)),0)</f>
        <v/>
      </c>
      <c r="BJ27" s="228">
        <f>IF(AND(58&gt;=$NR$27,58&lt;=$NS$27),IF($NP$27="Single_Point",IF(58=$NR$27,$NN$27,0),IF($NP$27="Bell_Curve",$NN$27*(58-$NR$27+1)*($NS$27-58+1)/$NU$27,$NN$27/$NT$27)),0)</f>
        <v/>
      </c>
      <c r="BK27" s="228">
        <f>IF(AND(59&gt;=$NR$27,59&lt;=$NS$27),IF($NP$27="Single_Point",IF(59=$NR$27,$NN$27,0),IF($NP$27="Bell_Curve",$NN$27*(59-$NR$27+1)*($NS$27-59+1)/$NU$27,$NN$27/$NT$27)),0)</f>
        <v/>
      </c>
      <c r="BL27" s="228">
        <f>IF(AND(60&gt;=$NR$27,60&lt;=$NS$27),IF($NP$27="Single_Point",IF(60=$NR$27,$NN$27,0),IF($NP$27="Bell_Curve",$NN$27*(60-$NR$27+1)*($NS$27-60+1)/$NU$27,$NN$27/$NT$27)),0)</f>
        <v/>
      </c>
      <c r="BM27" s="228">
        <f>IF(AND(61&gt;=$NR$27,61&lt;=$NS$27),IF($NP$27="Single_Point",IF(61=$NR$27,$NN$27,0),IF($NP$27="Bell_Curve",$NN$27*(61-$NR$27+1)*($NS$27-61+1)/$NU$27,$NN$27/$NT$27)),0)</f>
        <v/>
      </c>
      <c r="BN27" s="228">
        <f>IF(AND(62&gt;=$NR$27,62&lt;=$NS$27),IF($NP$27="Single_Point",IF(62=$NR$27,$NN$27,0),IF($NP$27="Bell_Curve",$NN$27*(62-$NR$27+1)*($NS$27-62+1)/$NU$27,$NN$27/$NT$27)),0)</f>
        <v/>
      </c>
      <c r="BO27" s="228">
        <f>IF(AND(63&gt;=$NR$27,63&lt;=$NS$27),IF($NP$27="Single_Point",IF(63=$NR$27,$NN$27,0),IF($NP$27="Bell_Curve",$NN$27*(63-$NR$27+1)*($NS$27-63+1)/$NU$27,$NN$27/$NT$27)),0)</f>
        <v/>
      </c>
      <c r="BP27" s="228">
        <f>IF(AND(64&gt;=$NR$27,64&lt;=$NS$27),IF($NP$27="Single_Point",IF(64=$NR$27,$NN$27,0),IF($NP$27="Bell_Curve",$NN$27*(64-$NR$27+1)*($NS$27-64+1)/$NU$27,$NN$27/$NT$27)),0)</f>
        <v/>
      </c>
      <c r="BQ27" s="228">
        <f>IF(AND(65&gt;=$NR$27,65&lt;=$NS$27),IF($NP$27="Single_Point",IF(65=$NR$27,$NN$27,0),IF($NP$27="Bell_Curve",$NN$27*(65-$NR$27+1)*($NS$27-65+1)/$NU$27,$NN$27/$NT$27)),0)</f>
        <v/>
      </c>
      <c r="BR27" s="228">
        <f>IF(AND(66&gt;=$NR$27,66&lt;=$NS$27),IF($NP$27="Single_Point",IF(66=$NR$27,$NN$27,0),IF($NP$27="Bell_Curve",$NN$27*(66-$NR$27+1)*($NS$27-66+1)/$NU$27,$NN$27/$NT$27)),0)</f>
        <v/>
      </c>
      <c r="BS27" s="228">
        <f>IF(AND(67&gt;=$NR$27,67&lt;=$NS$27),IF($NP$27="Single_Point",IF(67=$NR$27,$NN$27,0),IF($NP$27="Bell_Curve",$NN$27*(67-$NR$27+1)*($NS$27-67+1)/$NU$27,$NN$27/$NT$27)),0)</f>
        <v/>
      </c>
      <c r="BT27" s="228">
        <f>IF(AND(68&gt;=$NR$27,68&lt;=$NS$27),IF($NP$27="Single_Point",IF(68=$NR$27,$NN$27,0),IF($NP$27="Bell_Curve",$NN$27*(68-$NR$27+1)*($NS$27-68+1)/$NU$27,$NN$27/$NT$27)),0)</f>
        <v/>
      </c>
      <c r="BU27" s="228">
        <f>IF(AND(69&gt;=$NR$27,69&lt;=$NS$27),IF($NP$27="Single_Point",IF(69=$NR$27,$NN$27,0),IF($NP$27="Bell_Curve",$NN$27*(69-$NR$27+1)*($NS$27-69+1)/$NU$27,$NN$27/$NT$27)),0)</f>
        <v/>
      </c>
      <c r="BV27" s="228">
        <f>IF(AND(70&gt;=$NR$27,70&lt;=$NS$27),IF($NP$27="Single_Point",IF(70=$NR$27,$NN$27,0),IF($NP$27="Bell_Curve",$NN$27*(70-$NR$27+1)*($NS$27-70+1)/$NU$27,$NN$27/$NT$27)),0)</f>
        <v/>
      </c>
      <c r="BW27" s="228">
        <f>IF(AND(71&gt;=$NR$27,71&lt;=$NS$27),IF($NP$27="Single_Point",IF(71=$NR$27,$NN$27,0),IF($NP$27="Bell_Curve",$NN$27*(71-$NR$27+1)*($NS$27-71+1)/$NU$27,$NN$27/$NT$27)),0)</f>
        <v/>
      </c>
      <c r="BX27" s="228">
        <f>IF(AND(72&gt;=$NR$27,72&lt;=$NS$27),IF($NP$27="Single_Point",IF(72=$NR$27,$NN$27,0),IF($NP$27="Bell_Curve",$NN$27*(72-$NR$27+1)*($NS$27-72+1)/$NU$27,$NN$27/$NT$27)),0)</f>
        <v/>
      </c>
      <c r="BY27" s="228">
        <f>IF(AND(73&gt;=$NR$27,73&lt;=$NS$27),IF($NP$27="Single_Point",IF(73=$NR$27,$NN$27,0),IF($NP$27="Bell_Curve",$NN$27*(73-$NR$27+1)*($NS$27-73+1)/$NU$27,$NN$27/$NT$27)),0)</f>
        <v/>
      </c>
      <c r="BZ27" s="228">
        <f>IF(AND(74&gt;=$NR$27,74&lt;=$NS$27),IF($NP$27="Single_Point",IF(74=$NR$27,$NN$27,0),IF($NP$27="Bell_Curve",$NN$27*(74-$NR$27+1)*($NS$27-74+1)/$NU$27,$NN$27/$NT$27)),0)</f>
        <v/>
      </c>
      <c r="CA27" s="228">
        <f>IF(AND(75&gt;=$NR$27,75&lt;=$NS$27),IF($NP$27="Single_Point",IF(75=$NR$27,$NN$27,0),IF($NP$27="Bell_Curve",$NN$27*(75-$NR$27+1)*($NS$27-75+1)/$NU$27,$NN$27/$NT$27)),0)</f>
        <v/>
      </c>
      <c r="CB27" s="228">
        <f>IF(AND(76&gt;=$NR$27,76&lt;=$NS$27),IF($NP$27="Single_Point",IF(76=$NR$27,$NN$27,0),IF($NP$27="Bell_Curve",$NN$27*(76-$NR$27+1)*($NS$27-76+1)/$NU$27,$NN$27/$NT$27)),0)</f>
        <v/>
      </c>
      <c r="CC27" s="228">
        <f>IF(AND(77&gt;=$NR$27,77&lt;=$NS$27),IF($NP$27="Single_Point",IF(77=$NR$27,$NN$27,0),IF($NP$27="Bell_Curve",$NN$27*(77-$NR$27+1)*($NS$27-77+1)/$NU$27,$NN$27/$NT$27)),0)</f>
        <v/>
      </c>
      <c r="CD27" s="228">
        <f>IF(AND(78&gt;=$NR$27,78&lt;=$NS$27),IF($NP$27="Single_Point",IF(78=$NR$27,$NN$27,0),IF($NP$27="Bell_Curve",$NN$27*(78-$NR$27+1)*($NS$27-78+1)/$NU$27,$NN$27/$NT$27)),0)</f>
        <v/>
      </c>
      <c r="CE27" s="228">
        <f>IF(AND(79&gt;=$NR$27,79&lt;=$NS$27),IF($NP$27="Single_Point",IF(79=$NR$27,$NN$27,0),IF($NP$27="Bell_Curve",$NN$27*(79-$NR$27+1)*($NS$27-79+1)/$NU$27,$NN$27/$NT$27)),0)</f>
        <v/>
      </c>
      <c r="CF27" s="228">
        <f>IF(AND(80&gt;=$NR$27,80&lt;=$NS$27),IF($NP$27="Single_Point",IF(80=$NR$27,$NN$27,0),IF($NP$27="Bell_Curve",$NN$27*(80-$NR$27+1)*($NS$27-80+1)/$NU$27,$NN$27/$NT$27)),0)</f>
        <v/>
      </c>
      <c r="CG27" s="228">
        <f>IF(AND(81&gt;=$NR$27,81&lt;=$NS$27),IF($NP$27="Single_Point",IF(81=$NR$27,$NN$27,0),IF($NP$27="Bell_Curve",$NN$27*(81-$NR$27+1)*($NS$27-81+1)/$NU$27,$NN$27/$NT$27)),0)</f>
        <v/>
      </c>
      <c r="CH27" s="228">
        <f>IF(AND(82&gt;=$NR$27,82&lt;=$NS$27),IF($NP$27="Single_Point",IF(82=$NR$27,$NN$27,0),IF($NP$27="Bell_Curve",$NN$27*(82-$NR$27+1)*($NS$27-82+1)/$NU$27,$NN$27/$NT$27)),0)</f>
        <v/>
      </c>
      <c r="CI27" s="228">
        <f>IF(AND(83&gt;=$NR$27,83&lt;=$NS$27),IF($NP$27="Single_Point",IF(83=$NR$27,$NN$27,0),IF($NP$27="Bell_Curve",$NN$27*(83-$NR$27+1)*($NS$27-83+1)/$NU$27,$NN$27/$NT$27)),0)</f>
        <v/>
      </c>
      <c r="CJ27" s="228">
        <f>IF(AND(84&gt;=$NR$27,84&lt;=$NS$27),IF($NP$27="Single_Point",IF(84=$NR$27,$NN$27,0),IF($NP$27="Bell_Curve",$NN$27*(84-$NR$27+1)*($NS$27-84+1)/$NU$27,$NN$27/$NT$27)),0)</f>
        <v/>
      </c>
      <c r="CK27" s="228">
        <f>IF(AND(85&gt;=$NR$27,85&lt;=$NS$27),IF($NP$27="Single_Point",IF(85=$NR$27,$NN$27,0),IF($NP$27="Bell_Curve",$NN$27*(85-$NR$27+1)*($NS$27-85+1)/$NU$27,$NN$27/$NT$27)),0)</f>
        <v/>
      </c>
      <c r="CL27" s="228">
        <f>IF(AND(86&gt;=$NR$27,86&lt;=$NS$27),IF($NP$27="Single_Point",IF(86=$NR$27,$NN$27,0),IF($NP$27="Bell_Curve",$NN$27*(86-$NR$27+1)*($NS$27-86+1)/$NU$27,$NN$27/$NT$27)),0)</f>
        <v/>
      </c>
      <c r="CM27" s="228">
        <f>IF(AND(87&gt;=$NR$27,87&lt;=$NS$27),IF($NP$27="Single_Point",IF(87=$NR$27,$NN$27,0),IF($NP$27="Bell_Curve",$NN$27*(87-$NR$27+1)*($NS$27-87+1)/$NU$27,$NN$27/$NT$27)),0)</f>
        <v/>
      </c>
      <c r="CN27" s="228">
        <f>IF(AND(88&gt;=$NR$27,88&lt;=$NS$27),IF($NP$27="Single_Point",IF(88=$NR$27,$NN$27,0),IF($NP$27="Bell_Curve",$NN$27*(88-$NR$27+1)*($NS$27-88+1)/$NU$27,$NN$27/$NT$27)),0)</f>
        <v/>
      </c>
      <c r="CO27" s="228">
        <f>IF(AND(89&gt;=$NR$27,89&lt;=$NS$27),IF($NP$27="Single_Point",IF(89=$NR$27,$NN$27,0),IF($NP$27="Bell_Curve",$NN$27*(89-$NR$27+1)*($NS$27-89+1)/$NU$27,$NN$27/$NT$27)),0)</f>
        <v/>
      </c>
      <c r="CP27" s="228">
        <f>IF(AND(90&gt;=$NR$27,90&lt;=$NS$27),IF($NP$27="Single_Point",IF(90=$NR$27,$NN$27,0),IF($NP$27="Bell_Curve",$NN$27*(90-$NR$27+1)*($NS$27-90+1)/$NU$27,$NN$27/$NT$27)),0)</f>
        <v/>
      </c>
      <c r="CQ27" s="228">
        <f>IF(AND(91&gt;=$NR$27,91&lt;=$NS$27),IF($NP$27="Single_Point",IF(91=$NR$27,$NN$27,0),IF($NP$27="Bell_Curve",$NN$27*(91-$NR$27+1)*($NS$27-91+1)/$NU$27,$NN$27/$NT$27)),0)</f>
        <v/>
      </c>
      <c r="CR27" s="228">
        <f>IF(AND(92&gt;=$NR$27,92&lt;=$NS$27),IF($NP$27="Single_Point",IF(92=$NR$27,$NN$27,0),IF($NP$27="Bell_Curve",$NN$27*(92-$NR$27+1)*($NS$27-92+1)/$NU$27,$NN$27/$NT$27)),0)</f>
        <v/>
      </c>
      <c r="CS27" s="228">
        <f>IF(AND(93&gt;=$NR$27,93&lt;=$NS$27),IF($NP$27="Single_Point",IF(93=$NR$27,$NN$27,0),IF($NP$27="Bell_Curve",$NN$27*(93-$NR$27+1)*($NS$27-93+1)/$NU$27,$NN$27/$NT$27)),0)</f>
        <v/>
      </c>
      <c r="CT27" s="228">
        <f>IF(AND(94&gt;=$NR$27,94&lt;=$NS$27),IF($NP$27="Single_Point",IF(94=$NR$27,$NN$27,0),IF($NP$27="Bell_Curve",$NN$27*(94-$NR$27+1)*($NS$27-94+1)/$NU$27,$NN$27/$NT$27)),0)</f>
        <v/>
      </c>
      <c r="CU27" s="228">
        <f>IF(AND(95&gt;=$NR$27,95&lt;=$NS$27),IF($NP$27="Single_Point",IF(95=$NR$27,$NN$27,0),IF($NP$27="Bell_Curve",$NN$27*(95-$NR$27+1)*($NS$27-95+1)/$NU$27,$NN$27/$NT$27)),0)</f>
        <v/>
      </c>
      <c r="CV27" s="228">
        <f>IF(AND(96&gt;=$NR$27,96&lt;=$NS$27),IF($NP$27="Single_Point",IF(96=$NR$27,$NN$27,0),IF($NP$27="Bell_Curve",$NN$27*(96-$NR$27+1)*($NS$27-96+1)/$NU$27,$NN$27/$NT$27)),0)</f>
        <v/>
      </c>
      <c r="CW27" s="228">
        <f>IF(AND(97&gt;=$NR$27,97&lt;=$NS$27),IF($NP$27="Single_Point",IF(97=$NR$27,$NN$27,0),IF($NP$27="Bell_Curve",$NN$27*(97-$NR$27+1)*($NS$27-97+1)/$NU$27,$NN$27/$NT$27)),0)</f>
        <v/>
      </c>
      <c r="CX27" s="228">
        <f>IF(AND(98&gt;=$NR$27,98&lt;=$NS$27),IF($NP$27="Single_Point",IF(98=$NR$27,$NN$27,0),IF($NP$27="Bell_Curve",$NN$27*(98-$NR$27+1)*($NS$27-98+1)/$NU$27,$NN$27/$NT$27)),0)</f>
        <v/>
      </c>
      <c r="CY27" s="228">
        <f>IF(AND(99&gt;=$NR$27,99&lt;=$NS$27),IF($NP$27="Single_Point",IF(99=$NR$27,$NN$27,0),IF($NP$27="Bell_Curve",$NN$27*(99-$NR$27+1)*($NS$27-99+1)/$NU$27,$NN$27/$NT$27)),0)</f>
        <v/>
      </c>
      <c r="CZ27" s="228">
        <f>IF(AND(100&gt;=$NR$27,100&lt;=$NS$27),IF($NP$27="Single_Point",IF(100=$NR$27,$NN$27,0),IF($NP$27="Bell_Curve",$NN$27*(100-$NR$27+1)*($NS$27-100+1)/$NU$27,$NN$27/$NT$27)),0)</f>
        <v/>
      </c>
      <c r="DA27" s="228">
        <f>IF(AND(101&gt;=$NR$27,101&lt;=$NS$27),IF($NP$27="Single_Point",IF(101=$NR$27,$NN$27,0),IF($NP$27="Bell_Curve",$NN$27*(101-$NR$27+1)*($NS$27-101+1)/$NU$27,$NN$27/$NT$27)),0)</f>
        <v/>
      </c>
      <c r="DB27" s="228">
        <f>IF(AND(102&gt;=$NR$27,102&lt;=$NS$27),IF($NP$27="Single_Point",IF(102=$NR$27,$NN$27,0),IF($NP$27="Bell_Curve",$NN$27*(102-$NR$27+1)*($NS$27-102+1)/$NU$27,$NN$27/$NT$27)),0)</f>
        <v/>
      </c>
      <c r="DC27" s="228">
        <f>IF(AND(103&gt;=$NR$27,103&lt;=$NS$27),IF($NP$27="Single_Point",IF(103=$NR$27,$NN$27,0),IF($NP$27="Bell_Curve",$NN$27*(103-$NR$27+1)*($NS$27-103+1)/$NU$27,$NN$27/$NT$27)),0)</f>
        <v/>
      </c>
      <c r="DD27" s="228">
        <f>IF(AND(104&gt;=$NR$27,104&lt;=$NS$27),IF($NP$27="Single_Point",IF(104=$NR$27,$NN$27,0),IF($NP$27="Bell_Curve",$NN$27*(104-$NR$27+1)*($NS$27-104+1)/$NU$27,$NN$27/$NT$27)),0)</f>
        <v/>
      </c>
      <c r="DE27" s="228">
        <f>IF(AND(105&gt;=$NR$27,105&lt;=$NS$27),IF($NP$27="Single_Point",IF(105=$NR$27,$NN$27,0),IF($NP$27="Bell_Curve",$NN$27*(105-$NR$27+1)*($NS$27-105+1)/$NU$27,$NN$27/$NT$27)),0)</f>
        <v/>
      </c>
      <c r="DF27" s="228">
        <f>IF(AND(106&gt;=$NR$27,106&lt;=$NS$27),IF($NP$27="Single_Point",IF(106=$NR$27,$NN$27,0),IF($NP$27="Bell_Curve",$NN$27*(106-$NR$27+1)*($NS$27-106+1)/$NU$27,$NN$27/$NT$27)),0)</f>
        <v/>
      </c>
      <c r="DG27" s="228">
        <f>IF(AND(107&gt;=$NR$27,107&lt;=$NS$27),IF($NP$27="Single_Point",IF(107=$NR$27,$NN$27,0),IF($NP$27="Bell_Curve",$NN$27*(107-$NR$27+1)*($NS$27-107+1)/$NU$27,$NN$27/$NT$27)),0)</f>
        <v/>
      </c>
      <c r="DH27" s="228">
        <f>IF(AND(108&gt;=$NR$27,108&lt;=$NS$27),IF($NP$27="Single_Point",IF(108=$NR$27,$NN$27,0),IF($NP$27="Bell_Curve",$NN$27*(108-$NR$27+1)*($NS$27-108+1)/$NU$27,$NN$27/$NT$27)),0)</f>
        <v/>
      </c>
      <c r="DI27" s="228">
        <f>IF(AND(109&gt;=$NR$27,109&lt;=$NS$27),IF($NP$27="Single_Point",IF(109=$NR$27,$NN$27,0),IF($NP$27="Bell_Curve",$NN$27*(109-$NR$27+1)*($NS$27-109+1)/$NU$27,$NN$27/$NT$27)),0)</f>
        <v/>
      </c>
      <c r="DJ27" s="228">
        <f>IF(AND(110&gt;=$NR$27,110&lt;=$NS$27),IF($NP$27="Single_Point",IF(110=$NR$27,$NN$27,0),IF($NP$27="Bell_Curve",$NN$27*(110-$NR$27+1)*($NS$27-110+1)/$NU$27,$NN$27/$NT$27)),0)</f>
        <v/>
      </c>
      <c r="DK27" s="228">
        <f>IF(AND(111&gt;=$NR$27,111&lt;=$NS$27),IF($NP$27="Single_Point",IF(111=$NR$27,$NN$27,0),IF($NP$27="Bell_Curve",$NN$27*(111-$NR$27+1)*($NS$27-111+1)/$NU$27,$NN$27/$NT$27)),0)</f>
        <v/>
      </c>
      <c r="DL27" s="228">
        <f>IF(AND(112&gt;=$NR$27,112&lt;=$NS$27),IF($NP$27="Single_Point",IF(112=$NR$27,$NN$27,0),IF($NP$27="Bell_Curve",$NN$27*(112-$NR$27+1)*($NS$27-112+1)/$NU$27,$NN$27/$NT$27)),0)</f>
        <v/>
      </c>
      <c r="DM27" s="228">
        <f>IF(AND(113&gt;=$NR$27,113&lt;=$NS$27),IF($NP$27="Single_Point",IF(113=$NR$27,$NN$27,0),IF($NP$27="Bell_Curve",$NN$27*(113-$NR$27+1)*($NS$27-113+1)/$NU$27,$NN$27/$NT$27)),0)</f>
        <v/>
      </c>
      <c r="DN27" s="228">
        <f>IF(AND(114&gt;=$NR$27,114&lt;=$NS$27),IF($NP$27="Single_Point",IF(114=$NR$27,$NN$27,0),IF($NP$27="Bell_Curve",$NN$27*(114-$NR$27+1)*($NS$27-114+1)/$NU$27,$NN$27/$NT$27)),0)</f>
        <v/>
      </c>
      <c r="DO27" s="228">
        <f>IF(AND(115&gt;=$NR$27,115&lt;=$NS$27),IF($NP$27="Single_Point",IF(115=$NR$27,$NN$27,0),IF($NP$27="Bell_Curve",$NN$27*(115-$NR$27+1)*($NS$27-115+1)/$NU$27,$NN$27/$NT$27)),0)</f>
        <v/>
      </c>
      <c r="DP27" s="228">
        <f>IF(AND(116&gt;=$NR$27,116&lt;=$NS$27),IF($NP$27="Single_Point",IF(116=$NR$27,$NN$27,0),IF($NP$27="Bell_Curve",$NN$27*(116-$NR$27+1)*($NS$27-116+1)/$NU$27,$NN$27/$NT$27)),0)</f>
        <v/>
      </c>
      <c r="DQ27" s="228">
        <f>IF(AND(117&gt;=$NR$27,117&lt;=$NS$27),IF($NP$27="Single_Point",IF(117=$NR$27,$NN$27,0),IF($NP$27="Bell_Curve",$NN$27*(117-$NR$27+1)*($NS$27-117+1)/$NU$27,$NN$27/$NT$27)),0)</f>
        <v/>
      </c>
      <c r="DR27" s="228">
        <f>IF(AND(118&gt;=$NR$27,118&lt;=$NS$27),IF($NP$27="Single_Point",IF(118=$NR$27,$NN$27,0),IF($NP$27="Bell_Curve",$NN$27*(118-$NR$27+1)*($NS$27-118+1)/$NU$27,$NN$27/$NT$27)),0)</f>
        <v/>
      </c>
      <c r="DS27" s="228">
        <f>IF(AND(119&gt;=$NR$27,119&lt;=$NS$27),IF($NP$27="Single_Point",IF(119=$NR$27,$NN$27,0),IF($NP$27="Bell_Curve",$NN$27*(119-$NR$27+1)*($NS$27-119+1)/$NU$27,$NN$27/$NT$27)),0)</f>
        <v/>
      </c>
      <c r="DT27" s="228">
        <f>IF(AND(120&gt;=$NR$27,120&lt;=$NS$27),IF($NP$27="Single_Point",IF(120=$NR$27,$NN$27,0),IF($NP$27="Bell_Curve",$NN$27*(120-$NR$27+1)*($NS$27-120+1)/$NU$27,$NN$27/$NT$27)),0)</f>
        <v/>
      </c>
      <c r="DU27" s="228">
        <f>IF(AND(121&gt;=$NR$27,121&lt;=$NS$27),IF($NP$27="Single_Point",IF(121=$NR$27,$NN$27,0),IF($NP$27="Bell_Curve",$NN$27*(121-$NR$27+1)*($NS$27-121+1)/$NU$27,$NN$27/$NT$27)),0)</f>
        <v/>
      </c>
      <c r="DV27" s="228">
        <f>IF(AND(122&gt;=$NR$27,122&lt;=$NS$27),IF($NP$27="Single_Point",IF(122=$NR$27,$NN$27,0),IF($NP$27="Bell_Curve",$NN$27*(122-$NR$27+1)*($NS$27-122+1)/$NU$27,$NN$27/$NT$27)),0)</f>
        <v/>
      </c>
      <c r="DW27" s="228">
        <f>IF(AND(123&gt;=$NR$27,123&lt;=$NS$27),IF($NP$27="Single_Point",IF(123=$NR$27,$NN$27,0),IF($NP$27="Bell_Curve",$NN$27*(123-$NR$27+1)*($NS$27-123+1)/$NU$27,$NN$27/$NT$27)),0)</f>
        <v/>
      </c>
      <c r="DX27" s="228">
        <f>IF(AND(124&gt;=$NR$27,124&lt;=$NS$27),IF($NP$27="Single_Point",IF(124=$NR$27,$NN$27,0),IF($NP$27="Bell_Curve",$NN$27*(124-$NR$27+1)*($NS$27-124+1)/$NU$27,$NN$27/$NT$27)),0)</f>
        <v/>
      </c>
      <c r="DY27" s="228">
        <f>IF(AND(125&gt;=$NR$27,125&lt;=$NS$27),IF($NP$27="Single_Point",IF(125=$NR$27,$NN$27,0),IF($NP$27="Bell_Curve",$NN$27*(125-$NR$27+1)*($NS$27-125+1)/$NU$27,$NN$27/$NT$27)),0)</f>
        <v/>
      </c>
      <c r="DZ27" s="228">
        <f>IF(AND(126&gt;=$NR$27,126&lt;=$NS$27),IF($NP$27="Single_Point",IF(126=$NR$27,$NN$27,0),IF($NP$27="Bell_Curve",$NN$27*(126-$NR$27+1)*($NS$27-126+1)/$NU$27,$NN$27/$NT$27)),0)</f>
        <v/>
      </c>
      <c r="EA27" s="228">
        <f>IF(AND(127&gt;=$NR$27,127&lt;=$NS$27),IF($NP$27="Single_Point",IF(127=$NR$27,$NN$27,0),IF($NP$27="Bell_Curve",$NN$27*(127-$NR$27+1)*($NS$27-127+1)/$NU$27,$NN$27/$NT$27)),0)</f>
        <v/>
      </c>
      <c r="EB27" s="228">
        <f>IF(AND(128&gt;=$NR$27,128&lt;=$NS$27),IF($NP$27="Single_Point",IF(128=$NR$27,$NN$27,0),IF($NP$27="Bell_Curve",$NN$27*(128-$NR$27+1)*($NS$27-128+1)/$NU$27,$NN$27/$NT$27)),0)</f>
        <v/>
      </c>
      <c r="EC27" s="228">
        <f>IF(AND(129&gt;=$NR$27,129&lt;=$NS$27),IF($NP$27="Single_Point",IF(129=$NR$27,$NN$27,0),IF($NP$27="Bell_Curve",$NN$27*(129-$NR$27+1)*($NS$27-129+1)/$NU$27,$NN$27/$NT$27)),0)</f>
        <v/>
      </c>
      <c r="ED27" s="228">
        <f>IF(AND(130&gt;=$NR$27,130&lt;=$NS$27),IF($NP$27="Single_Point",IF(130=$NR$27,$NN$27,0),IF($NP$27="Bell_Curve",$NN$27*(130-$NR$27+1)*($NS$27-130+1)/$NU$27,$NN$27/$NT$27)),0)</f>
        <v/>
      </c>
      <c r="EE27" s="228">
        <f>IF(AND(131&gt;=$NR$27,131&lt;=$NS$27),IF($NP$27="Single_Point",IF(131=$NR$27,$NN$27,0),IF($NP$27="Bell_Curve",$NN$27*(131-$NR$27+1)*($NS$27-131+1)/$NU$27,$NN$27/$NT$27)),0)</f>
        <v/>
      </c>
      <c r="EF27" s="228">
        <f>IF(AND(132&gt;=$NR$27,132&lt;=$NS$27),IF($NP$27="Single_Point",IF(132=$NR$27,$NN$27,0),IF($NP$27="Bell_Curve",$NN$27*(132-$NR$27+1)*($NS$27-132+1)/$NU$27,$NN$27/$NT$27)),0)</f>
        <v/>
      </c>
      <c r="EG27" s="228">
        <f>IF(AND(133&gt;=$NR$27,133&lt;=$NS$27),IF($NP$27="Single_Point",IF(133=$NR$27,$NN$27,0),IF($NP$27="Bell_Curve",$NN$27*(133-$NR$27+1)*($NS$27-133+1)/$NU$27,$NN$27/$NT$27)),0)</f>
        <v/>
      </c>
      <c r="EH27" s="228">
        <f>IF(AND(134&gt;=$NR$27,134&lt;=$NS$27),IF($NP$27="Single_Point",IF(134=$NR$27,$NN$27,0),IF($NP$27="Bell_Curve",$NN$27*(134-$NR$27+1)*($NS$27-134+1)/$NU$27,$NN$27/$NT$27)),0)</f>
        <v/>
      </c>
      <c r="EI27" s="228">
        <f>IF(AND(135&gt;=$NR$27,135&lt;=$NS$27),IF($NP$27="Single_Point",IF(135=$NR$27,$NN$27,0),IF($NP$27="Bell_Curve",$NN$27*(135-$NR$27+1)*($NS$27-135+1)/$NU$27,$NN$27/$NT$27)),0)</f>
        <v/>
      </c>
      <c r="EJ27" s="228">
        <f>IF(AND(136&gt;=$NR$27,136&lt;=$NS$27),IF($NP$27="Single_Point",IF(136=$NR$27,$NN$27,0),IF($NP$27="Bell_Curve",$NN$27*(136-$NR$27+1)*($NS$27-136+1)/$NU$27,$NN$27/$NT$27)),0)</f>
        <v/>
      </c>
      <c r="EK27" s="228">
        <f>IF(AND(137&gt;=$NR$27,137&lt;=$NS$27),IF($NP$27="Single_Point",IF(137=$NR$27,$NN$27,0),IF($NP$27="Bell_Curve",$NN$27*(137-$NR$27+1)*($NS$27-137+1)/$NU$27,$NN$27/$NT$27)),0)</f>
        <v/>
      </c>
      <c r="EL27" s="228">
        <f>IF(AND(138&gt;=$NR$27,138&lt;=$NS$27),IF($NP$27="Single_Point",IF(138=$NR$27,$NN$27,0),IF($NP$27="Bell_Curve",$NN$27*(138-$NR$27+1)*($NS$27-138+1)/$NU$27,$NN$27/$NT$27)),0)</f>
        <v/>
      </c>
      <c r="EM27" s="228">
        <f>IF(AND(139&gt;=$NR$27,139&lt;=$NS$27),IF($NP$27="Single_Point",IF(139=$NR$27,$NN$27,0),IF($NP$27="Bell_Curve",$NN$27*(139-$NR$27+1)*($NS$27-139+1)/$NU$27,$NN$27/$NT$27)),0)</f>
        <v/>
      </c>
      <c r="EN27" s="228">
        <f>IF(AND(140&gt;=$NR$27,140&lt;=$NS$27),IF($NP$27="Single_Point",IF(140=$NR$27,$NN$27,0),IF($NP$27="Bell_Curve",$NN$27*(140-$NR$27+1)*($NS$27-140+1)/$NU$27,$NN$27/$NT$27)),0)</f>
        <v/>
      </c>
      <c r="EO27" s="228">
        <f>IF(AND(141&gt;=$NR$27,141&lt;=$NS$27),IF($NP$27="Single_Point",IF(141=$NR$27,$NN$27,0),IF($NP$27="Bell_Curve",$NN$27*(141-$NR$27+1)*($NS$27-141+1)/$NU$27,$NN$27/$NT$27)),0)</f>
        <v/>
      </c>
      <c r="EP27" s="228">
        <f>IF(AND(142&gt;=$NR$27,142&lt;=$NS$27),IF($NP$27="Single_Point",IF(142=$NR$27,$NN$27,0),IF($NP$27="Bell_Curve",$NN$27*(142-$NR$27+1)*($NS$27-142+1)/$NU$27,$NN$27/$NT$27)),0)</f>
        <v/>
      </c>
      <c r="EQ27" s="228">
        <f>IF(AND(143&gt;=$NR$27,143&lt;=$NS$27),IF($NP$27="Single_Point",IF(143=$NR$27,$NN$27,0),IF($NP$27="Bell_Curve",$NN$27*(143-$NR$27+1)*($NS$27-143+1)/$NU$27,$NN$27/$NT$27)),0)</f>
        <v/>
      </c>
      <c r="ER27" s="228">
        <f>IF(AND(144&gt;=$NR$27,144&lt;=$NS$27),IF($NP$27="Single_Point",IF(144=$NR$27,$NN$27,0),IF($NP$27="Bell_Curve",$NN$27*(144-$NR$27+1)*($NS$27-144+1)/$NU$27,$NN$27/$NT$27)),0)</f>
        <v/>
      </c>
      <c r="ES27" s="228">
        <f>IF(AND(145&gt;=$NR$27,145&lt;=$NS$27),IF($NP$27="Single_Point",IF(145=$NR$27,$NN$27,0),IF($NP$27="Bell_Curve",$NN$27*(145-$NR$27+1)*($NS$27-145+1)/$NU$27,$NN$27/$NT$27)),0)</f>
        <v/>
      </c>
      <c r="ET27" s="228">
        <f>IF(AND(146&gt;=$NR$27,146&lt;=$NS$27),IF($NP$27="Single_Point",IF(146=$NR$27,$NN$27,0),IF($NP$27="Bell_Curve",$NN$27*(146-$NR$27+1)*($NS$27-146+1)/$NU$27,$NN$27/$NT$27)),0)</f>
        <v/>
      </c>
      <c r="EU27" s="228">
        <f>IF(AND(147&gt;=$NR$27,147&lt;=$NS$27),IF($NP$27="Single_Point",IF(147=$NR$27,$NN$27,0),IF($NP$27="Bell_Curve",$NN$27*(147-$NR$27+1)*($NS$27-147+1)/$NU$27,$NN$27/$NT$27)),0)</f>
        <v/>
      </c>
      <c r="EV27" s="228">
        <f>IF(AND(148&gt;=$NR$27,148&lt;=$NS$27),IF($NP$27="Single_Point",IF(148=$NR$27,$NN$27,0),IF($NP$27="Bell_Curve",$NN$27*(148-$NR$27+1)*($NS$27-148+1)/$NU$27,$NN$27/$NT$27)),0)</f>
        <v/>
      </c>
      <c r="EW27" s="228">
        <f>IF(AND(149&gt;=$NR$27,149&lt;=$NS$27),IF($NP$27="Single_Point",IF(149=$NR$27,$NN$27,0),IF($NP$27="Bell_Curve",$NN$27*(149-$NR$27+1)*($NS$27-149+1)/$NU$27,$NN$27/$NT$27)),0)</f>
        <v/>
      </c>
      <c r="EX27" s="228">
        <f>IF(AND(150&gt;=$NR$27,150&lt;=$NS$27),IF($NP$27="Single_Point",IF(150=$NR$27,$NN$27,0),IF($NP$27="Bell_Curve",$NN$27*(150-$NR$27+1)*($NS$27-150+1)/$NU$27,$NN$27/$NT$27)),0)</f>
        <v/>
      </c>
      <c r="EY27" s="228">
        <f>IF(AND(151&gt;=$NR$27,151&lt;=$NS$27),IF($NP$27="Single_Point",IF(151=$NR$27,$NN$27,0),IF($NP$27="Bell_Curve",$NN$27*(151-$NR$27+1)*($NS$27-151+1)/$NU$27,$NN$27/$NT$27)),0)</f>
        <v/>
      </c>
      <c r="EZ27" s="228">
        <f>IF(AND(152&gt;=$NR$27,152&lt;=$NS$27),IF($NP$27="Single_Point",IF(152=$NR$27,$NN$27,0),IF($NP$27="Bell_Curve",$NN$27*(152-$NR$27+1)*($NS$27-152+1)/$NU$27,$NN$27/$NT$27)),0)</f>
        <v/>
      </c>
      <c r="FA27" s="228">
        <f>IF(AND(153&gt;=$NR$27,153&lt;=$NS$27),IF($NP$27="Single_Point",IF(153=$NR$27,$NN$27,0),IF($NP$27="Bell_Curve",$NN$27*(153-$NR$27+1)*($NS$27-153+1)/$NU$27,$NN$27/$NT$27)),0)</f>
        <v/>
      </c>
      <c r="FB27" s="228">
        <f>IF(AND(154&gt;=$NR$27,154&lt;=$NS$27),IF($NP$27="Single_Point",IF(154=$NR$27,$NN$27,0),IF($NP$27="Bell_Curve",$NN$27*(154-$NR$27+1)*($NS$27-154+1)/$NU$27,$NN$27/$NT$27)),0)</f>
        <v/>
      </c>
      <c r="FC27" s="228">
        <f>IF(AND(155&gt;=$NR$27,155&lt;=$NS$27),IF($NP$27="Single_Point",IF(155=$NR$27,$NN$27,0),IF($NP$27="Bell_Curve",$NN$27*(155-$NR$27+1)*($NS$27-155+1)/$NU$27,$NN$27/$NT$27)),0)</f>
        <v/>
      </c>
      <c r="FD27" s="228">
        <f>IF(AND(156&gt;=$NR$27,156&lt;=$NS$27),IF($NP$27="Single_Point",IF(156=$NR$27,$NN$27,0),IF($NP$27="Bell_Curve",$NN$27*(156-$NR$27+1)*($NS$27-156+1)/$NU$27,$NN$27/$NT$27)),0)</f>
        <v/>
      </c>
      <c r="FE27" s="228">
        <f>IF(AND(157&gt;=$NR$27,157&lt;=$NS$27),IF($NP$27="Single_Point",IF(157=$NR$27,$NN$27,0),IF($NP$27="Bell_Curve",$NN$27*(157-$NR$27+1)*($NS$27-157+1)/$NU$27,$NN$27/$NT$27)),0)</f>
        <v/>
      </c>
      <c r="FF27" s="228">
        <f>IF(AND(158&gt;=$NR$27,158&lt;=$NS$27),IF($NP$27="Single_Point",IF(158=$NR$27,$NN$27,0),IF($NP$27="Bell_Curve",$NN$27*(158-$NR$27+1)*($NS$27-158+1)/$NU$27,$NN$27/$NT$27)),0)</f>
        <v/>
      </c>
      <c r="FG27" s="228">
        <f>IF(AND(159&gt;=$NR$27,159&lt;=$NS$27),IF($NP$27="Single_Point",IF(159=$NR$27,$NN$27,0),IF($NP$27="Bell_Curve",$NN$27*(159-$NR$27+1)*($NS$27-159+1)/$NU$27,$NN$27/$NT$27)),0)</f>
        <v/>
      </c>
      <c r="FH27" s="228">
        <f>IF(AND(160&gt;=$NR$27,160&lt;=$NS$27),IF($NP$27="Single_Point",IF(160=$NR$27,$NN$27,0),IF($NP$27="Bell_Curve",$NN$27*(160-$NR$27+1)*($NS$27-160+1)/$NU$27,$NN$27/$NT$27)),0)</f>
        <v/>
      </c>
      <c r="FI27" s="228">
        <f>IF(AND(161&gt;=$NR$27,161&lt;=$NS$27),IF($NP$27="Single_Point",IF(161=$NR$27,$NN$27,0),IF($NP$27="Bell_Curve",$NN$27*(161-$NR$27+1)*($NS$27-161+1)/$NU$27,$NN$27/$NT$27)),0)</f>
        <v/>
      </c>
      <c r="FJ27" s="228">
        <f>IF(AND(162&gt;=$NR$27,162&lt;=$NS$27),IF($NP$27="Single_Point",IF(162=$NR$27,$NN$27,0),IF($NP$27="Bell_Curve",$NN$27*(162-$NR$27+1)*($NS$27-162+1)/$NU$27,$NN$27/$NT$27)),0)</f>
        <v/>
      </c>
      <c r="FK27" s="228">
        <f>IF(AND(163&gt;=$NR$27,163&lt;=$NS$27),IF($NP$27="Single_Point",IF(163=$NR$27,$NN$27,0),IF($NP$27="Bell_Curve",$NN$27*(163-$NR$27+1)*($NS$27-163+1)/$NU$27,$NN$27/$NT$27)),0)</f>
        <v/>
      </c>
      <c r="FL27" s="228">
        <f>IF(AND(164&gt;=$NR$27,164&lt;=$NS$27),IF($NP$27="Single_Point",IF(164=$NR$27,$NN$27,0),IF($NP$27="Bell_Curve",$NN$27*(164-$NR$27+1)*($NS$27-164+1)/$NU$27,$NN$27/$NT$27)),0)</f>
        <v/>
      </c>
      <c r="FM27" s="228">
        <f>IF(AND(165&gt;=$NR$27,165&lt;=$NS$27),IF($NP$27="Single_Point",IF(165=$NR$27,$NN$27,0),IF($NP$27="Bell_Curve",$NN$27*(165-$NR$27+1)*($NS$27-165+1)/$NU$27,$NN$27/$NT$27)),0)</f>
        <v/>
      </c>
      <c r="FN27" s="228">
        <f>IF(AND(166&gt;=$NR$27,166&lt;=$NS$27),IF($NP$27="Single_Point",IF(166=$NR$27,$NN$27,0),IF($NP$27="Bell_Curve",$NN$27*(166-$NR$27+1)*($NS$27-166+1)/$NU$27,$NN$27/$NT$27)),0)</f>
        <v/>
      </c>
      <c r="FO27" s="228">
        <f>IF(AND(167&gt;=$NR$27,167&lt;=$NS$27),IF($NP$27="Single_Point",IF(167=$NR$27,$NN$27,0),IF($NP$27="Bell_Curve",$NN$27*(167-$NR$27+1)*($NS$27-167+1)/$NU$27,$NN$27/$NT$27)),0)</f>
        <v/>
      </c>
      <c r="FP27" s="228">
        <f>IF(AND(168&gt;=$NR$27,168&lt;=$NS$27),IF($NP$27="Single_Point",IF(168=$NR$27,$NN$27,0),IF($NP$27="Bell_Curve",$NN$27*(168-$NR$27+1)*($NS$27-168+1)/$NU$27,$NN$27/$NT$27)),0)</f>
        <v/>
      </c>
      <c r="FQ27" s="228">
        <f>IF(AND(169&gt;=$NR$27,169&lt;=$NS$27),IF($NP$27="Single_Point",IF(169=$NR$27,$NN$27,0),IF($NP$27="Bell_Curve",$NN$27*(169-$NR$27+1)*($NS$27-169+1)/$NU$27,$NN$27/$NT$27)),0)</f>
        <v/>
      </c>
      <c r="FR27" s="228">
        <f>IF(AND(170&gt;=$NR$27,170&lt;=$NS$27),IF($NP$27="Single_Point",IF(170=$NR$27,$NN$27,0),IF($NP$27="Bell_Curve",$NN$27*(170-$NR$27+1)*($NS$27-170+1)/$NU$27,$NN$27/$NT$27)),0)</f>
        <v/>
      </c>
      <c r="FS27" s="228">
        <f>IF(AND(171&gt;=$NR$27,171&lt;=$NS$27),IF($NP$27="Single_Point",IF(171=$NR$27,$NN$27,0),IF($NP$27="Bell_Curve",$NN$27*(171-$NR$27+1)*($NS$27-171+1)/$NU$27,$NN$27/$NT$27)),0)</f>
        <v/>
      </c>
      <c r="FT27" s="228">
        <f>IF(AND(172&gt;=$NR$27,172&lt;=$NS$27),IF($NP$27="Single_Point",IF(172=$NR$27,$NN$27,0),IF($NP$27="Bell_Curve",$NN$27*(172-$NR$27+1)*($NS$27-172+1)/$NU$27,$NN$27/$NT$27)),0)</f>
        <v/>
      </c>
      <c r="FU27" s="228">
        <f>IF(AND(173&gt;=$NR$27,173&lt;=$NS$27),IF($NP$27="Single_Point",IF(173=$NR$27,$NN$27,0),IF($NP$27="Bell_Curve",$NN$27*(173-$NR$27+1)*($NS$27-173+1)/$NU$27,$NN$27/$NT$27)),0)</f>
        <v/>
      </c>
      <c r="FV27" s="228">
        <f>IF(AND(174&gt;=$NR$27,174&lt;=$NS$27),IF($NP$27="Single_Point",IF(174=$NR$27,$NN$27,0),IF($NP$27="Bell_Curve",$NN$27*(174-$NR$27+1)*($NS$27-174+1)/$NU$27,$NN$27/$NT$27)),0)</f>
        <v/>
      </c>
      <c r="FW27" s="228">
        <f>IF(AND(175&gt;=$NR$27,175&lt;=$NS$27),IF($NP$27="Single_Point",IF(175=$NR$27,$NN$27,0),IF($NP$27="Bell_Curve",$NN$27*(175-$NR$27+1)*($NS$27-175+1)/$NU$27,$NN$27/$NT$27)),0)</f>
        <v/>
      </c>
      <c r="FX27" s="228">
        <f>IF(AND(176&gt;=$NR$27,176&lt;=$NS$27),IF($NP$27="Single_Point",IF(176=$NR$27,$NN$27,0),IF($NP$27="Bell_Curve",$NN$27*(176-$NR$27+1)*($NS$27-176+1)/$NU$27,$NN$27/$NT$27)),0)</f>
        <v/>
      </c>
      <c r="FY27" s="228">
        <f>IF(AND(177&gt;=$NR$27,177&lt;=$NS$27),IF($NP$27="Single_Point",IF(177=$NR$27,$NN$27,0),IF($NP$27="Bell_Curve",$NN$27*(177-$NR$27+1)*($NS$27-177+1)/$NU$27,$NN$27/$NT$27)),0)</f>
        <v/>
      </c>
      <c r="FZ27" s="228">
        <f>IF(AND(178&gt;=$NR$27,178&lt;=$NS$27),IF($NP$27="Single_Point",IF(178=$NR$27,$NN$27,0),IF($NP$27="Bell_Curve",$NN$27*(178-$NR$27+1)*($NS$27-178+1)/$NU$27,$NN$27/$NT$27)),0)</f>
        <v/>
      </c>
      <c r="GA27" s="228">
        <f>IF(AND(179&gt;=$NR$27,179&lt;=$NS$27),IF($NP$27="Single_Point",IF(179=$NR$27,$NN$27,0),IF($NP$27="Bell_Curve",$NN$27*(179-$NR$27+1)*($NS$27-179+1)/$NU$27,$NN$27/$NT$27)),0)</f>
        <v/>
      </c>
      <c r="GB27" s="228">
        <f>IF(AND(180&gt;=$NR$27,180&lt;=$NS$27),IF($NP$27="Single_Point",IF(180=$NR$27,$NN$27,0),IF($NP$27="Bell_Curve",$NN$27*(180-$NR$27+1)*($NS$27-180+1)/$NU$27,$NN$27/$NT$27)),0)</f>
        <v/>
      </c>
      <c r="GC27" s="228">
        <f>IF(AND(181&gt;=$NR$27,181&lt;=$NS$27),IF($NP$27="Single_Point",IF(181=$NR$27,$NN$27,0),IF($NP$27="Bell_Curve",$NN$27*(181-$NR$27+1)*($NS$27-181+1)/$NU$27,$NN$27/$NT$27)),0)</f>
        <v/>
      </c>
      <c r="GD27" s="228">
        <f>IF(AND(182&gt;=$NR$27,182&lt;=$NS$27),IF($NP$27="Single_Point",IF(182=$NR$27,$NN$27,0),IF($NP$27="Bell_Curve",$NN$27*(182-$NR$27+1)*($NS$27-182+1)/$NU$27,$NN$27/$NT$27)),0)</f>
        <v/>
      </c>
      <c r="GE27" s="228">
        <f>IF(AND(183&gt;=$NR$27,183&lt;=$NS$27),IF($NP$27="Single_Point",IF(183=$NR$27,$NN$27,0),IF($NP$27="Bell_Curve",$NN$27*(183-$NR$27+1)*($NS$27-183+1)/$NU$27,$NN$27/$NT$27)),0)</f>
        <v/>
      </c>
      <c r="GF27" s="228">
        <f>IF(AND(184&gt;=$NR$27,184&lt;=$NS$27),IF($NP$27="Single_Point",IF(184=$NR$27,$NN$27,0),IF($NP$27="Bell_Curve",$NN$27*(184-$NR$27+1)*($NS$27-184+1)/$NU$27,$NN$27/$NT$27)),0)</f>
        <v/>
      </c>
      <c r="GG27" s="228">
        <f>IF(AND(185&gt;=$NR$27,185&lt;=$NS$27),IF($NP$27="Single_Point",IF(185=$NR$27,$NN$27,0),IF($NP$27="Bell_Curve",$NN$27*(185-$NR$27+1)*($NS$27-185+1)/$NU$27,$NN$27/$NT$27)),0)</f>
        <v/>
      </c>
      <c r="GH27" s="228">
        <f>IF(AND(186&gt;=$NR$27,186&lt;=$NS$27),IF($NP$27="Single_Point",IF(186=$NR$27,$NN$27,0),IF($NP$27="Bell_Curve",$NN$27*(186-$NR$27+1)*($NS$27-186+1)/$NU$27,$NN$27/$NT$27)),0)</f>
        <v/>
      </c>
      <c r="GI27" s="228">
        <f>IF(AND(187&gt;=$NR$27,187&lt;=$NS$27),IF($NP$27="Single_Point",IF(187=$NR$27,$NN$27,0),IF($NP$27="Bell_Curve",$NN$27*(187-$NR$27+1)*($NS$27-187+1)/$NU$27,$NN$27/$NT$27)),0)</f>
        <v/>
      </c>
      <c r="GJ27" s="228">
        <f>IF(AND(188&gt;=$NR$27,188&lt;=$NS$27),IF($NP$27="Single_Point",IF(188=$NR$27,$NN$27,0),IF($NP$27="Bell_Curve",$NN$27*(188-$NR$27+1)*($NS$27-188+1)/$NU$27,$NN$27/$NT$27)),0)</f>
        <v/>
      </c>
      <c r="GK27" s="228">
        <f>IF(AND(189&gt;=$NR$27,189&lt;=$NS$27),IF($NP$27="Single_Point",IF(189=$NR$27,$NN$27,0),IF($NP$27="Bell_Curve",$NN$27*(189-$NR$27+1)*($NS$27-189+1)/$NU$27,$NN$27/$NT$27)),0)</f>
        <v/>
      </c>
      <c r="GL27" s="228">
        <f>IF(AND(190&gt;=$NR$27,190&lt;=$NS$27),IF($NP$27="Single_Point",IF(190=$NR$27,$NN$27,0),IF($NP$27="Bell_Curve",$NN$27*(190-$NR$27+1)*($NS$27-190+1)/$NU$27,$NN$27/$NT$27)),0)</f>
        <v/>
      </c>
      <c r="GM27" s="228">
        <f>IF(AND(191&gt;=$NR$27,191&lt;=$NS$27),IF($NP$27="Single_Point",IF(191=$NR$27,$NN$27,0),IF($NP$27="Bell_Curve",$NN$27*(191-$NR$27+1)*($NS$27-191+1)/$NU$27,$NN$27/$NT$27)),0)</f>
        <v/>
      </c>
      <c r="GN27" s="228">
        <f>IF(AND(192&gt;=$NR$27,192&lt;=$NS$27),IF($NP$27="Single_Point",IF(192=$NR$27,$NN$27,0),IF($NP$27="Bell_Curve",$NN$27*(192-$NR$27+1)*($NS$27-192+1)/$NU$27,$NN$27/$NT$27)),0)</f>
        <v/>
      </c>
      <c r="GO27" s="228">
        <f>IF(AND(193&gt;=$NR$27,193&lt;=$NS$27),IF($NP$27="Single_Point",IF(193=$NR$27,$NN$27,0),IF($NP$27="Bell_Curve",$NN$27*(193-$NR$27+1)*($NS$27-193+1)/$NU$27,$NN$27/$NT$27)),0)</f>
        <v/>
      </c>
      <c r="GP27" s="228">
        <f>IF(AND(194&gt;=$NR$27,194&lt;=$NS$27),IF($NP$27="Single_Point",IF(194=$NR$27,$NN$27,0),IF($NP$27="Bell_Curve",$NN$27*(194-$NR$27+1)*($NS$27-194+1)/$NU$27,$NN$27/$NT$27)),0)</f>
        <v/>
      </c>
      <c r="GQ27" s="228">
        <f>IF(AND(195&gt;=$NR$27,195&lt;=$NS$27),IF($NP$27="Single_Point",IF(195=$NR$27,$NN$27,0),IF($NP$27="Bell_Curve",$NN$27*(195-$NR$27+1)*($NS$27-195+1)/$NU$27,$NN$27/$NT$27)),0)</f>
        <v/>
      </c>
      <c r="GR27" s="228">
        <f>IF(AND(196&gt;=$NR$27,196&lt;=$NS$27),IF($NP$27="Single_Point",IF(196=$NR$27,$NN$27,0),IF($NP$27="Bell_Curve",$NN$27*(196-$NR$27+1)*($NS$27-196+1)/$NU$27,$NN$27/$NT$27)),0)</f>
        <v/>
      </c>
      <c r="GS27" s="228">
        <f>IF(AND(197&gt;=$NR$27,197&lt;=$NS$27),IF($NP$27="Single_Point",IF(197=$NR$27,$NN$27,0),IF($NP$27="Bell_Curve",$NN$27*(197-$NR$27+1)*($NS$27-197+1)/$NU$27,$NN$27/$NT$27)),0)</f>
        <v/>
      </c>
      <c r="GT27" s="228">
        <f>IF(AND(198&gt;=$NR$27,198&lt;=$NS$27),IF($NP$27="Single_Point",IF(198=$NR$27,$NN$27,0),IF($NP$27="Bell_Curve",$NN$27*(198-$NR$27+1)*($NS$27-198+1)/$NU$27,$NN$27/$NT$27)),0)</f>
        <v/>
      </c>
      <c r="GU27" s="228">
        <f>IF(AND(199&gt;=$NR$27,199&lt;=$NS$27),IF($NP$27="Single_Point",IF(199=$NR$27,$NN$27,0),IF($NP$27="Bell_Curve",$NN$27*(199-$NR$27+1)*($NS$27-199+1)/$NU$27,$NN$27/$NT$27)),0)</f>
        <v/>
      </c>
      <c r="GV27" s="228">
        <f>IF(AND(200&gt;=$NR$27,200&lt;=$NS$27),IF($NP$27="Single_Point",IF(200=$NR$27,$NN$27,0),IF($NP$27="Bell_Curve",$NN$27*(200-$NR$27+1)*($NS$27-200+1)/$NU$27,$NN$27/$NT$27)),0)</f>
        <v/>
      </c>
      <c r="GW27" s="228">
        <f>IF(AND(201&gt;=$NR$27,201&lt;=$NS$27),IF($NP$27="Single_Point",IF(201=$NR$27,$NN$27,0),IF($NP$27="Bell_Curve",$NN$27*(201-$NR$27+1)*($NS$27-201+1)/$NU$27,$NN$27/$NT$27)),0)</f>
        <v/>
      </c>
      <c r="GX27" s="228">
        <f>IF(AND(202&gt;=$NR$27,202&lt;=$NS$27),IF($NP$27="Single_Point",IF(202=$NR$27,$NN$27,0),IF($NP$27="Bell_Curve",$NN$27*(202-$NR$27+1)*($NS$27-202+1)/$NU$27,$NN$27/$NT$27)),0)</f>
        <v/>
      </c>
      <c r="GY27" s="228">
        <f>IF(AND(203&gt;=$NR$27,203&lt;=$NS$27),IF($NP$27="Single_Point",IF(203=$NR$27,$NN$27,0),IF($NP$27="Bell_Curve",$NN$27*(203-$NR$27+1)*($NS$27-203+1)/$NU$27,$NN$27/$NT$27)),0)</f>
        <v/>
      </c>
      <c r="GZ27" s="228">
        <f>IF(AND(204&gt;=$NR$27,204&lt;=$NS$27),IF($NP$27="Single_Point",IF(204=$NR$27,$NN$27,0),IF($NP$27="Bell_Curve",$NN$27*(204-$NR$27+1)*($NS$27-204+1)/$NU$27,$NN$27/$NT$27)),0)</f>
        <v/>
      </c>
      <c r="HA27" s="228">
        <f>IF(AND(205&gt;=$NR$27,205&lt;=$NS$27),IF($NP$27="Single_Point",IF(205=$NR$27,$NN$27,0),IF($NP$27="Bell_Curve",$NN$27*(205-$NR$27+1)*($NS$27-205+1)/$NU$27,$NN$27/$NT$27)),0)</f>
        <v/>
      </c>
      <c r="HB27" s="228">
        <f>IF(AND(206&gt;=$NR$27,206&lt;=$NS$27),IF($NP$27="Single_Point",IF(206=$NR$27,$NN$27,0),IF($NP$27="Bell_Curve",$NN$27*(206-$NR$27+1)*($NS$27-206+1)/$NU$27,$NN$27/$NT$27)),0)</f>
        <v/>
      </c>
      <c r="HC27" s="228">
        <f>IF(AND(207&gt;=$NR$27,207&lt;=$NS$27),IF($NP$27="Single_Point",IF(207=$NR$27,$NN$27,0),IF($NP$27="Bell_Curve",$NN$27*(207-$NR$27+1)*($NS$27-207+1)/$NU$27,$NN$27/$NT$27)),0)</f>
        <v/>
      </c>
      <c r="HD27" s="228">
        <f>IF(AND(208&gt;=$NR$27,208&lt;=$NS$27),IF($NP$27="Single_Point",IF(208=$NR$27,$NN$27,0),IF($NP$27="Bell_Curve",$NN$27*(208-$NR$27+1)*($NS$27-208+1)/$NU$27,$NN$27/$NT$27)),0)</f>
        <v/>
      </c>
      <c r="HE27" s="228">
        <f>IF(AND(209&gt;=$NR$27,209&lt;=$NS$27),IF($NP$27="Single_Point",IF(209=$NR$27,$NN$27,0),IF($NP$27="Bell_Curve",$NN$27*(209-$NR$27+1)*($NS$27-209+1)/$NU$27,$NN$27/$NT$27)),0)</f>
        <v/>
      </c>
      <c r="HF27" s="228">
        <f>IF(AND(210&gt;=$NR$27,210&lt;=$NS$27),IF($NP$27="Single_Point",IF(210=$NR$27,$NN$27,0),IF($NP$27="Bell_Curve",$NN$27*(210-$NR$27+1)*($NS$27-210+1)/$NU$27,$NN$27/$NT$27)),0)</f>
        <v/>
      </c>
      <c r="HG27" s="228">
        <f>IF(AND(211&gt;=$NR$27,211&lt;=$NS$27),IF($NP$27="Single_Point",IF(211=$NR$27,$NN$27,0),IF($NP$27="Bell_Curve",$NN$27*(211-$NR$27+1)*($NS$27-211+1)/$NU$27,$NN$27/$NT$27)),0)</f>
        <v/>
      </c>
      <c r="HH27" s="228">
        <f>IF(AND(212&gt;=$NR$27,212&lt;=$NS$27),IF($NP$27="Single_Point",IF(212=$NR$27,$NN$27,0),IF($NP$27="Bell_Curve",$NN$27*(212-$NR$27+1)*($NS$27-212+1)/$NU$27,$NN$27/$NT$27)),0)</f>
        <v/>
      </c>
      <c r="HI27" s="228">
        <f>IF(AND(213&gt;=$NR$27,213&lt;=$NS$27),IF($NP$27="Single_Point",IF(213=$NR$27,$NN$27,0),IF($NP$27="Bell_Curve",$NN$27*(213-$NR$27+1)*($NS$27-213+1)/$NU$27,$NN$27/$NT$27)),0)</f>
        <v/>
      </c>
      <c r="HJ27" s="228">
        <f>IF(AND(214&gt;=$NR$27,214&lt;=$NS$27),IF($NP$27="Single_Point",IF(214=$NR$27,$NN$27,0),IF($NP$27="Bell_Curve",$NN$27*(214-$NR$27+1)*($NS$27-214+1)/$NU$27,$NN$27/$NT$27)),0)</f>
        <v/>
      </c>
      <c r="HK27" s="228">
        <f>IF(AND(215&gt;=$NR$27,215&lt;=$NS$27),IF($NP$27="Single_Point",IF(215=$NR$27,$NN$27,0),IF($NP$27="Bell_Curve",$NN$27*(215-$NR$27+1)*($NS$27-215+1)/$NU$27,$NN$27/$NT$27)),0)</f>
        <v/>
      </c>
      <c r="HL27" s="228">
        <f>IF(AND(216&gt;=$NR$27,216&lt;=$NS$27),IF($NP$27="Single_Point",IF(216=$NR$27,$NN$27,0),IF($NP$27="Bell_Curve",$NN$27*(216-$NR$27+1)*($NS$27-216+1)/$NU$27,$NN$27/$NT$27)),0)</f>
        <v/>
      </c>
      <c r="HM27" s="228">
        <f>IF(AND(217&gt;=$NR$27,217&lt;=$NS$27),IF($NP$27="Single_Point",IF(217=$NR$27,$NN$27,0),IF($NP$27="Bell_Curve",$NN$27*(217-$NR$27+1)*($NS$27-217+1)/$NU$27,$NN$27/$NT$27)),0)</f>
        <v/>
      </c>
      <c r="HN27" s="228">
        <f>IF(AND(218&gt;=$NR$27,218&lt;=$NS$27),IF($NP$27="Single_Point",IF(218=$NR$27,$NN$27,0),IF($NP$27="Bell_Curve",$NN$27*(218-$NR$27+1)*($NS$27-218+1)/$NU$27,$NN$27/$NT$27)),0)</f>
        <v/>
      </c>
      <c r="HO27" s="228">
        <f>IF(AND(219&gt;=$NR$27,219&lt;=$NS$27),IF($NP$27="Single_Point",IF(219=$NR$27,$NN$27,0),IF($NP$27="Bell_Curve",$NN$27*(219-$NR$27+1)*($NS$27-219+1)/$NU$27,$NN$27/$NT$27)),0)</f>
        <v/>
      </c>
      <c r="HP27" s="228">
        <f>IF(AND(220&gt;=$NR$27,220&lt;=$NS$27),IF($NP$27="Single_Point",IF(220=$NR$27,$NN$27,0),IF($NP$27="Bell_Curve",$NN$27*(220-$NR$27+1)*($NS$27-220+1)/$NU$27,$NN$27/$NT$27)),0)</f>
        <v/>
      </c>
      <c r="HQ27" s="228">
        <f>IF(AND(221&gt;=$NR$27,221&lt;=$NS$27),IF($NP$27="Single_Point",IF(221=$NR$27,$NN$27,0),IF($NP$27="Bell_Curve",$NN$27*(221-$NR$27+1)*($NS$27-221+1)/$NU$27,$NN$27/$NT$27)),0)</f>
        <v/>
      </c>
      <c r="HR27" s="228">
        <f>IF(AND(222&gt;=$NR$27,222&lt;=$NS$27),IF($NP$27="Single_Point",IF(222=$NR$27,$NN$27,0),IF($NP$27="Bell_Curve",$NN$27*(222-$NR$27+1)*($NS$27-222+1)/$NU$27,$NN$27/$NT$27)),0)</f>
        <v/>
      </c>
      <c r="HS27" s="228">
        <f>IF(AND(223&gt;=$NR$27,223&lt;=$NS$27),IF($NP$27="Single_Point",IF(223=$NR$27,$NN$27,0),IF($NP$27="Bell_Curve",$NN$27*(223-$NR$27+1)*($NS$27-223+1)/$NU$27,$NN$27/$NT$27)),0)</f>
        <v/>
      </c>
      <c r="HT27" s="228">
        <f>IF(AND(224&gt;=$NR$27,224&lt;=$NS$27),IF($NP$27="Single_Point",IF(224=$NR$27,$NN$27,0),IF($NP$27="Bell_Curve",$NN$27*(224-$NR$27+1)*($NS$27-224+1)/$NU$27,$NN$27/$NT$27)),0)</f>
        <v/>
      </c>
      <c r="HU27" s="228">
        <f>IF(AND(225&gt;=$NR$27,225&lt;=$NS$27),IF($NP$27="Single_Point",IF(225=$NR$27,$NN$27,0),IF($NP$27="Bell_Curve",$NN$27*(225-$NR$27+1)*($NS$27-225+1)/$NU$27,$NN$27/$NT$27)),0)</f>
        <v/>
      </c>
      <c r="HV27" s="228">
        <f>IF(AND(226&gt;=$NR$27,226&lt;=$NS$27),IF($NP$27="Single_Point",IF(226=$NR$27,$NN$27,0),IF($NP$27="Bell_Curve",$NN$27*(226-$NR$27+1)*($NS$27-226+1)/$NU$27,$NN$27/$NT$27)),0)</f>
        <v/>
      </c>
      <c r="HW27" s="228">
        <f>IF(AND(227&gt;=$NR$27,227&lt;=$NS$27),IF($NP$27="Single_Point",IF(227=$NR$27,$NN$27,0),IF($NP$27="Bell_Curve",$NN$27*(227-$NR$27+1)*($NS$27-227+1)/$NU$27,$NN$27/$NT$27)),0)</f>
        <v/>
      </c>
      <c r="HX27" s="228">
        <f>IF(AND(228&gt;=$NR$27,228&lt;=$NS$27),IF($NP$27="Single_Point",IF(228=$NR$27,$NN$27,0),IF($NP$27="Bell_Curve",$NN$27*(228-$NR$27+1)*($NS$27-228+1)/$NU$27,$NN$27/$NT$27)),0)</f>
        <v/>
      </c>
      <c r="HY27" s="228">
        <f>IF(AND(229&gt;=$NR$27,229&lt;=$NS$27),IF($NP$27="Single_Point",IF(229=$NR$27,$NN$27,0),IF($NP$27="Bell_Curve",$NN$27*(229-$NR$27+1)*($NS$27-229+1)/$NU$27,$NN$27/$NT$27)),0)</f>
        <v/>
      </c>
      <c r="HZ27" s="228">
        <f>IF(AND(230&gt;=$NR$27,230&lt;=$NS$27),IF($NP$27="Single_Point",IF(230=$NR$27,$NN$27,0),IF($NP$27="Bell_Curve",$NN$27*(230-$NR$27+1)*($NS$27-230+1)/$NU$27,$NN$27/$NT$27)),0)</f>
        <v/>
      </c>
      <c r="IA27" s="228">
        <f>IF(AND(231&gt;=$NR$27,231&lt;=$NS$27),IF($NP$27="Single_Point",IF(231=$NR$27,$NN$27,0),IF($NP$27="Bell_Curve",$NN$27*(231-$NR$27+1)*($NS$27-231+1)/$NU$27,$NN$27/$NT$27)),0)</f>
        <v/>
      </c>
      <c r="IB27" s="228">
        <f>IF(AND(232&gt;=$NR$27,232&lt;=$NS$27),IF($NP$27="Single_Point",IF(232=$NR$27,$NN$27,0),IF($NP$27="Bell_Curve",$NN$27*(232-$NR$27+1)*($NS$27-232+1)/$NU$27,$NN$27/$NT$27)),0)</f>
        <v/>
      </c>
      <c r="IC27" s="228">
        <f>IF(AND(233&gt;=$NR$27,233&lt;=$NS$27),IF($NP$27="Single_Point",IF(233=$NR$27,$NN$27,0),IF($NP$27="Bell_Curve",$NN$27*(233-$NR$27+1)*($NS$27-233+1)/$NU$27,$NN$27/$NT$27)),0)</f>
        <v/>
      </c>
      <c r="ID27" s="228">
        <f>IF(AND(234&gt;=$NR$27,234&lt;=$NS$27),IF($NP$27="Single_Point",IF(234=$NR$27,$NN$27,0),IF($NP$27="Bell_Curve",$NN$27*(234-$NR$27+1)*($NS$27-234+1)/$NU$27,$NN$27/$NT$27)),0)</f>
        <v/>
      </c>
      <c r="IE27" s="228">
        <f>IF(AND(235&gt;=$NR$27,235&lt;=$NS$27),IF($NP$27="Single_Point",IF(235=$NR$27,$NN$27,0),IF($NP$27="Bell_Curve",$NN$27*(235-$NR$27+1)*($NS$27-235+1)/$NU$27,$NN$27/$NT$27)),0)</f>
        <v/>
      </c>
      <c r="IF27" s="228">
        <f>IF(AND(236&gt;=$NR$27,236&lt;=$NS$27),IF($NP$27="Single_Point",IF(236=$NR$27,$NN$27,0),IF($NP$27="Bell_Curve",$NN$27*(236-$NR$27+1)*($NS$27-236+1)/$NU$27,$NN$27/$NT$27)),0)</f>
        <v/>
      </c>
      <c r="IG27" s="228">
        <f>IF(AND(237&gt;=$NR$27,237&lt;=$NS$27),IF($NP$27="Single_Point",IF(237=$NR$27,$NN$27,0),IF($NP$27="Bell_Curve",$NN$27*(237-$NR$27+1)*($NS$27-237+1)/$NU$27,$NN$27/$NT$27)),0)</f>
        <v/>
      </c>
      <c r="IH27" s="228">
        <f>IF(AND(238&gt;=$NR$27,238&lt;=$NS$27),IF($NP$27="Single_Point",IF(238=$NR$27,$NN$27,0),IF($NP$27="Bell_Curve",$NN$27*(238-$NR$27+1)*($NS$27-238+1)/$NU$27,$NN$27/$NT$27)),0)</f>
        <v/>
      </c>
      <c r="II27" s="228">
        <f>IF(AND(239&gt;=$NR$27,239&lt;=$NS$27),IF($NP$27="Single_Point",IF(239=$NR$27,$NN$27,0),IF($NP$27="Bell_Curve",$NN$27*(239-$NR$27+1)*($NS$27-239+1)/$NU$27,$NN$27/$NT$27)),0)</f>
        <v/>
      </c>
      <c r="IJ27" s="228">
        <f>IF(AND(240&gt;=$NR$27,240&lt;=$NS$27),IF($NP$27="Single_Point",IF(240=$NR$27,$NN$27,0),IF($NP$27="Bell_Curve",$NN$27*(240-$NR$27+1)*($NS$27-240+1)/$NU$27,$NN$27/$NT$27)),0)</f>
        <v/>
      </c>
      <c r="IK27" s="228">
        <f>IF(AND(241&gt;=$NR$27,241&lt;=$NS$27),IF($NP$27="Single_Point",IF(241=$NR$27,$NN$27,0),IF($NP$27="Bell_Curve",$NN$27*(241-$NR$27+1)*($NS$27-241+1)/$NU$27,$NN$27/$NT$27)),0)</f>
        <v/>
      </c>
      <c r="IL27" s="228">
        <f>IF(AND(242&gt;=$NR$27,242&lt;=$NS$27),IF($NP$27="Single_Point",IF(242=$NR$27,$NN$27,0),IF($NP$27="Bell_Curve",$NN$27*(242-$NR$27+1)*($NS$27-242+1)/$NU$27,$NN$27/$NT$27)),0)</f>
        <v/>
      </c>
      <c r="IM27" s="228">
        <f>IF(AND(243&gt;=$NR$27,243&lt;=$NS$27),IF($NP$27="Single_Point",IF(243=$NR$27,$NN$27,0),IF($NP$27="Bell_Curve",$NN$27*(243-$NR$27+1)*($NS$27-243+1)/$NU$27,$NN$27/$NT$27)),0)</f>
        <v/>
      </c>
      <c r="IN27" s="228">
        <f>IF(AND(244&gt;=$NR$27,244&lt;=$NS$27),IF($NP$27="Single_Point",IF(244=$NR$27,$NN$27,0),IF($NP$27="Bell_Curve",$NN$27*(244-$NR$27+1)*($NS$27-244+1)/$NU$27,$NN$27/$NT$27)),0)</f>
        <v/>
      </c>
      <c r="IO27" s="228">
        <f>IF(AND(245&gt;=$NR$27,245&lt;=$NS$27),IF($NP$27="Single_Point",IF(245=$NR$27,$NN$27,0),IF($NP$27="Bell_Curve",$NN$27*(245-$NR$27+1)*($NS$27-245+1)/$NU$27,$NN$27/$NT$27)),0)</f>
        <v/>
      </c>
      <c r="IP27" s="228">
        <f>IF(AND(246&gt;=$NR$27,246&lt;=$NS$27),IF($NP$27="Single_Point",IF(246=$NR$27,$NN$27,0),IF($NP$27="Bell_Curve",$NN$27*(246-$NR$27+1)*($NS$27-246+1)/$NU$27,$NN$27/$NT$27)),0)</f>
        <v/>
      </c>
      <c r="IQ27" s="228">
        <f>IF(AND(247&gt;=$NR$27,247&lt;=$NS$27),IF($NP$27="Single_Point",IF(247=$NR$27,$NN$27,0),IF($NP$27="Bell_Curve",$NN$27*(247-$NR$27+1)*($NS$27-247+1)/$NU$27,$NN$27/$NT$27)),0)</f>
        <v/>
      </c>
      <c r="IR27" s="228">
        <f>IF(AND(248&gt;=$NR$27,248&lt;=$NS$27),IF($NP$27="Single_Point",IF(248=$NR$27,$NN$27,0),IF($NP$27="Bell_Curve",$NN$27*(248-$NR$27+1)*($NS$27-248+1)/$NU$27,$NN$27/$NT$27)),0)</f>
        <v/>
      </c>
      <c r="IS27" s="228">
        <f>IF(AND(249&gt;=$NR$27,249&lt;=$NS$27),IF($NP$27="Single_Point",IF(249=$NR$27,$NN$27,0),IF($NP$27="Bell_Curve",$NN$27*(249-$NR$27+1)*($NS$27-249+1)/$NU$27,$NN$27/$NT$27)),0)</f>
        <v/>
      </c>
      <c r="IT27" s="228">
        <f>IF(AND(250&gt;=$NR$27,250&lt;=$NS$27),IF($NP$27="Single_Point",IF(250=$NR$27,$NN$27,0),IF($NP$27="Bell_Curve",$NN$27*(250-$NR$27+1)*($NS$27-250+1)/$NU$27,$NN$27/$NT$27)),0)</f>
        <v/>
      </c>
      <c r="IU27" s="228">
        <f>IF(AND(251&gt;=$NR$27,251&lt;=$NS$27),IF($NP$27="Single_Point",IF(251=$NR$27,$NN$27,0),IF($NP$27="Bell_Curve",$NN$27*(251-$NR$27+1)*($NS$27-251+1)/$NU$27,$NN$27/$NT$27)),0)</f>
        <v/>
      </c>
      <c r="IV27" s="228">
        <f>IF(AND(252&gt;=$NR$27,252&lt;=$NS$27),IF($NP$27="Single_Point",IF(252=$NR$27,$NN$27,0),IF($NP$27="Bell_Curve",$NN$27*(252-$NR$27+1)*($NS$27-252+1)/$NU$27,$NN$27/$NT$27)),0)</f>
        <v/>
      </c>
      <c r="IW27" s="228">
        <f>IF(AND(253&gt;=$NR$27,253&lt;=$NS$27),IF($NP$27="Single_Point",IF(253=$NR$27,$NN$27,0),IF($NP$27="Bell_Curve",$NN$27*(253-$NR$27+1)*($NS$27-253+1)/$NU$27,$NN$27/$NT$27)),0)</f>
        <v/>
      </c>
      <c r="IX27" s="228">
        <f>IF(AND(254&gt;=$NR$27,254&lt;=$NS$27),IF($NP$27="Single_Point",IF(254=$NR$27,$NN$27,0),IF($NP$27="Bell_Curve",$NN$27*(254-$NR$27+1)*($NS$27-254+1)/$NU$27,$NN$27/$NT$27)),0)</f>
        <v/>
      </c>
      <c r="IY27" s="228">
        <f>IF(AND(255&gt;=$NR$27,255&lt;=$NS$27),IF($NP$27="Single_Point",IF(255=$NR$27,$NN$27,0),IF($NP$27="Bell_Curve",$NN$27*(255-$NR$27+1)*($NS$27-255+1)/$NU$27,$NN$27/$NT$27)),0)</f>
        <v/>
      </c>
      <c r="IZ27" s="228">
        <f>IF(AND(256&gt;=$NR$27,256&lt;=$NS$27),IF($NP$27="Single_Point",IF(256=$NR$27,$NN$27,0),IF($NP$27="Bell_Curve",$NN$27*(256-$NR$27+1)*($NS$27-256+1)/$NU$27,$NN$27/$NT$27)),0)</f>
        <v/>
      </c>
      <c r="JA27" s="228">
        <f>IF(AND(257&gt;=$NR$27,257&lt;=$NS$27),IF($NP$27="Single_Point",IF(257=$NR$27,$NN$27,0),IF($NP$27="Bell_Curve",$NN$27*(257-$NR$27+1)*($NS$27-257+1)/$NU$27,$NN$27/$NT$27)),0)</f>
        <v/>
      </c>
      <c r="JB27" s="228">
        <f>IF(AND(258&gt;=$NR$27,258&lt;=$NS$27),IF($NP$27="Single_Point",IF(258=$NR$27,$NN$27,0),IF($NP$27="Bell_Curve",$NN$27*(258-$NR$27+1)*($NS$27-258+1)/$NU$27,$NN$27/$NT$27)),0)</f>
        <v/>
      </c>
      <c r="JC27" s="228">
        <f>IF(AND(259&gt;=$NR$27,259&lt;=$NS$27),IF($NP$27="Single_Point",IF(259=$NR$27,$NN$27,0),IF($NP$27="Bell_Curve",$NN$27*(259-$NR$27+1)*($NS$27-259+1)/$NU$27,$NN$27/$NT$27)),0)</f>
        <v/>
      </c>
      <c r="JD27" s="228">
        <f>IF(AND(260&gt;=$NR$27,260&lt;=$NS$27),IF($NP$27="Single_Point",IF(260=$NR$27,$NN$27,0),IF($NP$27="Bell_Curve",$NN$27*(260-$NR$27+1)*($NS$27-260+1)/$NU$27,$NN$27/$NT$27)),0)</f>
        <v/>
      </c>
      <c r="JE27" s="228">
        <f>IF(AND(261&gt;=$NR$27,261&lt;=$NS$27),IF($NP$27="Single_Point",IF(261=$NR$27,$NN$27,0),IF($NP$27="Bell_Curve",$NN$27*(261-$NR$27+1)*($NS$27-261+1)/$NU$27,$NN$27/$NT$27)),0)</f>
        <v/>
      </c>
      <c r="JF27" s="228">
        <f>IF(AND(262&gt;=$NR$27,262&lt;=$NS$27),IF($NP$27="Single_Point",IF(262=$NR$27,$NN$27,0),IF($NP$27="Bell_Curve",$NN$27*(262-$NR$27+1)*($NS$27-262+1)/$NU$27,$NN$27/$NT$27)),0)</f>
        <v/>
      </c>
      <c r="JG27" s="228">
        <f>IF(AND(263&gt;=$NR$27,263&lt;=$NS$27),IF($NP$27="Single_Point",IF(263=$NR$27,$NN$27,0),IF($NP$27="Bell_Curve",$NN$27*(263-$NR$27+1)*($NS$27-263+1)/$NU$27,$NN$27/$NT$27)),0)</f>
        <v/>
      </c>
      <c r="JH27" s="228">
        <f>IF(AND(264&gt;=$NR$27,264&lt;=$NS$27),IF($NP$27="Single_Point",IF(264=$NR$27,$NN$27,0),IF($NP$27="Bell_Curve",$NN$27*(264-$NR$27+1)*($NS$27-264+1)/$NU$27,$NN$27/$NT$27)),0)</f>
        <v/>
      </c>
      <c r="JI27" s="228">
        <f>IF(AND(265&gt;=$NR$27,265&lt;=$NS$27),IF($NP$27="Single_Point",IF(265=$NR$27,$NN$27,0),IF($NP$27="Bell_Curve",$NN$27*(265-$NR$27+1)*($NS$27-265+1)/$NU$27,$NN$27/$NT$27)),0)</f>
        <v/>
      </c>
      <c r="JJ27" s="228">
        <f>IF(AND(266&gt;=$NR$27,266&lt;=$NS$27),IF($NP$27="Single_Point",IF(266=$NR$27,$NN$27,0),IF($NP$27="Bell_Curve",$NN$27*(266-$NR$27+1)*($NS$27-266+1)/$NU$27,$NN$27/$NT$27)),0)</f>
        <v/>
      </c>
      <c r="JK27" s="228">
        <f>IF(AND(267&gt;=$NR$27,267&lt;=$NS$27),IF($NP$27="Single_Point",IF(267=$NR$27,$NN$27,0),IF($NP$27="Bell_Curve",$NN$27*(267-$NR$27+1)*($NS$27-267+1)/$NU$27,$NN$27/$NT$27)),0)</f>
        <v/>
      </c>
      <c r="JL27" s="228">
        <f>IF(AND(268&gt;=$NR$27,268&lt;=$NS$27),IF($NP$27="Single_Point",IF(268=$NR$27,$NN$27,0),IF($NP$27="Bell_Curve",$NN$27*(268-$NR$27+1)*($NS$27-268+1)/$NU$27,$NN$27/$NT$27)),0)</f>
        <v/>
      </c>
      <c r="JM27" s="228">
        <f>IF(AND(269&gt;=$NR$27,269&lt;=$NS$27),IF($NP$27="Single_Point",IF(269=$NR$27,$NN$27,0),IF($NP$27="Bell_Curve",$NN$27*(269-$NR$27+1)*($NS$27-269+1)/$NU$27,$NN$27/$NT$27)),0)</f>
        <v/>
      </c>
      <c r="JN27" s="228">
        <f>IF(AND(270&gt;=$NR$27,270&lt;=$NS$27),IF($NP$27="Single_Point",IF(270=$NR$27,$NN$27,0),IF($NP$27="Bell_Curve",$NN$27*(270-$NR$27+1)*($NS$27-270+1)/$NU$27,$NN$27/$NT$27)),0)</f>
        <v/>
      </c>
      <c r="JO27" s="228">
        <f>IF(AND(271&gt;=$NR$27,271&lt;=$NS$27),IF($NP$27="Single_Point",IF(271=$NR$27,$NN$27,0),IF($NP$27="Bell_Curve",$NN$27*(271-$NR$27+1)*($NS$27-271+1)/$NU$27,$NN$27/$NT$27)),0)</f>
        <v/>
      </c>
      <c r="JP27" s="228">
        <f>IF(AND(272&gt;=$NR$27,272&lt;=$NS$27),IF($NP$27="Single_Point",IF(272=$NR$27,$NN$27,0),IF($NP$27="Bell_Curve",$NN$27*(272-$NR$27+1)*($NS$27-272+1)/$NU$27,$NN$27/$NT$27)),0)</f>
        <v/>
      </c>
      <c r="JQ27" s="228">
        <f>IF(AND(273&gt;=$NR$27,273&lt;=$NS$27),IF($NP$27="Single_Point",IF(273=$NR$27,$NN$27,0),IF($NP$27="Bell_Curve",$NN$27*(273-$NR$27+1)*($NS$27-273+1)/$NU$27,$NN$27/$NT$27)),0)</f>
        <v/>
      </c>
      <c r="JR27" s="228">
        <f>IF(AND(274&gt;=$NR$27,274&lt;=$NS$27),IF($NP$27="Single_Point",IF(274=$NR$27,$NN$27,0),IF($NP$27="Bell_Curve",$NN$27*(274-$NR$27+1)*($NS$27-274+1)/$NU$27,$NN$27/$NT$27)),0)</f>
        <v/>
      </c>
      <c r="JS27" s="228">
        <f>IF(AND(275&gt;=$NR$27,275&lt;=$NS$27),IF($NP$27="Single_Point",IF(275=$NR$27,$NN$27,0),IF($NP$27="Bell_Curve",$NN$27*(275-$NR$27+1)*($NS$27-275+1)/$NU$27,$NN$27/$NT$27)),0)</f>
        <v/>
      </c>
      <c r="JT27" s="228">
        <f>IF(AND(276&gt;=$NR$27,276&lt;=$NS$27),IF($NP$27="Single_Point",IF(276=$NR$27,$NN$27,0),IF($NP$27="Bell_Curve",$NN$27*(276-$NR$27+1)*($NS$27-276+1)/$NU$27,$NN$27/$NT$27)),0)</f>
        <v/>
      </c>
      <c r="JU27" s="228">
        <f>IF(AND(277&gt;=$NR$27,277&lt;=$NS$27),IF($NP$27="Single_Point",IF(277=$NR$27,$NN$27,0),IF($NP$27="Bell_Curve",$NN$27*(277-$NR$27+1)*($NS$27-277+1)/$NU$27,$NN$27/$NT$27)),0)</f>
        <v/>
      </c>
      <c r="JV27" s="228">
        <f>IF(AND(278&gt;=$NR$27,278&lt;=$NS$27),IF($NP$27="Single_Point",IF(278=$NR$27,$NN$27,0),IF($NP$27="Bell_Curve",$NN$27*(278-$NR$27+1)*($NS$27-278+1)/$NU$27,$NN$27/$NT$27)),0)</f>
        <v/>
      </c>
      <c r="JW27" s="228">
        <f>IF(AND(279&gt;=$NR$27,279&lt;=$NS$27),IF($NP$27="Single_Point",IF(279=$NR$27,$NN$27,0),IF($NP$27="Bell_Curve",$NN$27*(279-$NR$27+1)*($NS$27-279+1)/$NU$27,$NN$27/$NT$27)),0)</f>
        <v/>
      </c>
      <c r="JX27" s="228">
        <f>IF(AND(280&gt;=$NR$27,280&lt;=$NS$27),IF($NP$27="Single_Point",IF(280=$NR$27,$NN$27,0),IF($NP$27="Bell_Curve",$NN$27*(280-$NR$27+1)*($NS$27-280+1)/$NU$27,$NN$27/$NT$27)),0)</f>
        <v/>
      </c>
      <c r="JY27" s="228">
        <f>IF(AND(281&gt;=$NR$27,281&lt;=$NS$27),IF($NP$27="Single_Point",IF(281=$NR$27,$NN$27,0),IF($NP$27="Bell_Curve",$NN$27*(281-$NR$27+1)*($NS$27-281+1)/$NU$27,$NN$27/$NT$27)),0)</f>
        <v/>
      </c>
      <c r="JZ27" s="228">
        <f>IF(AND(282&gt;=$NR$27,282&lt;=$NS$27),IF($NP$27="Single_Point",IF(282=$NR$27,$NN$27,0),IF($NP$27="Bell_Curve",$NN$27*(282-$NR$27+1)*($NS$27-282+1)/$NU$27,$NN$27/$NT$27)),0)</f>
        <v/>
      </c>
      <c r="KA27" s="228">
        <f>IF(AND(283&gt;=$NR$27,283&lt;=$NS$27),IF($NP$27="Single_Point",IF(283=$NR$27,$NN$27,0),IF($NP$27="Bell_Curve",$NN$27*(283-$NR$27+1)*($NS$27-283+1)/$NU$27,$NN$27/$NT$27)),0)</f>
        <v/>
      </c>
      <c r="KB27" s="228">
        <f>IF(AND(284&gt;=$NR$27,284&lt;=$NS$27),IF($NP$27="Single_Point",IF(284=$NR$27,$NN$27,0),IF($NP$27="Bell_Curve",$NN$27*(284-$NR$27+1)*($NS$27-284+1)/$NU$27,$NN$27/$NT$27)),0)</f>
        <v/>
      </c>
      <c r="KC27" s="228">
        <f>IF(AND(285&gt;=$NR$27,285&lt;=$NS$27),IF($NP$27="Single_Point",IF(285=$NR$27,$NN$27,0),IF($NP$27="Bell_Curve",$NN$27*(285-$NR$27+1)*($NS$27-285+1)/$NU$27,$NN$27/$NT$27)),0)</f>
        <v/>
      </c>
      <c r="KD27" s="228">
        <f>IF(AND(286&gt;=$NR$27,286&lt;=$NS$27),IF($NP$27="Single_Point",IF(286=$NR$27,$NN$27,0),IF($NP$27="Bell_Curve",$NN$27*(286-$NR$27+1)*($NS$27-286+1)/$NU$27,$NN$27/$NT$27)),0)</f>
        <v/>
      </c>
      <c r="KE27" s="228">
        <f>IF(AND(287&gt;=$NR$27,287&lt;=$NS$27),IF($NP$27="Single_Point",IF(287=$NR$27,$NN$27,0),IF($NP$27="Bell_Curve",$NN$27*(287-$NR$27+1)*($NS$27-287+1)/$NU$27,$NN$27/$NT$27)),0)</f>
        <v/>
      </c>
      <c r="KF27" s="228">
        <f>IF(AND(288&gt;=$NR$27,288&lt;=$NS$27),IF($NP$27="Single_Point",IF(288=$NR$27,$NN$27,0),IF($NP$27="Bell_Curve",$NN$27*(288-$NR$27+1)*($NS$27-288+1)/$NU$27,$NN$27/$NT$27)),0)</f>
        <v/>
      </c>
      <c r="KG27" s="228">
        <f>IF(AND(289&gt;=$NR$27,289&lt;=$NS$27),IF($NP$27="Single_Point",IF(289=$NR$27,$NN$27,0),IF($NP$27="Bell_Curve",$NN$27*(289-$NR$27+1)*($NS$27-289+1)/$NU$27,$NN$27/$NT$27)),0)</f>
        <v/>
      </c>
      <c r="KH27" s="228">
        <f>IF(AND(290&gt;=$NR$27,290&lt;=$NS$27),IF($NP$27="Single_Point",IF(290=$NR$27,$NN$27,0),IF($NP$27="Bell_Curve",$NN$27*(290-$NR$27+1)*($NS$27-290+1)/$NU$27,$NN$27/$NT$27)),0)</f>
        <v/>
      </c>
      <c r="KI27" s="228">
        <f>IF(AND(291&gt;=$NR$27,291&lt;=$NS$27),IF($NP$27="Single_Point",IF(291=$NR$27,$NN$27,0),IF($NP$27="Bell_Curve",$NN$27*(291-$NR$27+1)*($NS$27-291+1)/$NU$27,$NN$27/$NT$27)),0)</f>
        <v/>
      </c>
      <c r="KJ27" s="228">
        <f>IF(AND(292&gt;=$NR$27,292&lt;=$NS$27),IF($NP$27="Single_Point",IF(292=$NR$27,$NN$27,0),IF($NP$27="Bell_Curve",$NN$27*(292-$NR$27+1)*($NS$27-292+1)/$NU$27,$NN$27/$NT$27)),0)</f>
        <v/>
      </c>
      <c r="KK27" s="228">
        <f>IF(AND(293&gt;=$NR$27,293&lt;=$NS$27),IF($NP$27="Single_Point",IF(293=$NR$27,$NN$27,0),IF($NP$27="Bell_Curve",$NN$27*(293-$NR$27+1)*($NS$27-293+1)/$NU$27,$NN$27/$NT$27)),0)</f>
        <v/>
      </c>
      <c r="KL27" s="228">
        <f>IF(AND(294&gt;=$NR$27,294&lt;=$NS$27),IF($NP$27="Single_Point",IF(294=$NR$27,$NN$27,0),IF($NP$27="Bell_Curve",$NN$27*(294-$NR$27+1)*($NS$27-294+1)/$NU$27,$NN$27/$NT$27)),0)</f>
        <v/>
      </c>
      <c r="KM27" s="228">
        <f>IF(AND(295&gt;=$NR$27,295&lt;=$NS$27),IF($NP$27="Single_Point",IF(295=$NR$27,$NN$27,0),IF($NP$27="Bell_Curve",$NN$27*(295-$NR$27+1)*($NS$27-295+1)/$NU$27,$NN$27/$NT$27)),0)</f>
        <v/>
      </c>
      <c r="KN27" s="228">
        <f>IF(AND(296&gt;=$NR$27,296&lt;=$NS$27),IF($NP$27="Single_Point",IF(296=$NR$27,$NN$27,0),IF($NP$27="Bell_Curve",$NN$27*(296-$NR$27+1)*($NS$27-296+1)/$NU$27,$NN$27/$NT$27)),0)</f>
        <v/>
      </c>
      <c r="KO27" s="228">
        <f>IF(AND(297&gt;=$NR$27,297&lt;=$NS$27),IF($NP$27="Single_Point",IF(297=$NR$27,$NN$27,0),IF($NP$27="Bell_Curve",$NN$27*(297-$NR$27+1)*($NS$27-297+1)/$NU$27,$NN$27/$NT$27)),0)</f>
        <v/>
      </c>
      <c r="KP27" s="228">
        <f>IF(AND(298&gt;=$NR$27,298&lt;=$NS$27),IF($NP$27="Single_Point",IF(298=$NR$27,$NN$27,0),IF($NP$27="Bell_Curve",$NN$27*(298-$NR$27+1)*($NS$27-298+1)/$NU$27,$NN$27/$NT$27)),0)</f>
        <v/>
      </c>
      <c r="KQ27" s="228">
        <f>IF(AND(299&gt;=$NR$27,299&lt;=$NS$27),IF($NP$27="Single_Point",IF(299=$NR$27,$NN$27,0),IF($NP$27="Bell_Curve",$NN$27*(299-$NR$27+1)*($NS$27-299+1)/$NU$27,$NN$27/$NT$27)),0)</f>
        <v/>
      </c>
      <c r="KR27" s="228">
        <f>IF(AND(300&gt;=$NR$27,300&lt;=$NS$27),IF($NP$27="Single_Point",IF(300=$NR$27,$NN$27,0),IF($NP$27="Bell_Curve",$NN$27*(300-$NR$27+1)*($NS$27-300+1)/$NU$27,$NN$27/$NT$27)),0)</f>
        <v/>
      </c>
      <c r="KS27" s="228">
        <f>IF(AND(301&gt;=$NR$27,301&lt;=$NS$27),IF($NP$27="Single_Point",IF(301=$NR$27,$NN$27,0),IF($NP$27="Bell_Curve",$NN$27*(301-$NR$27+1)*($NS$27-301+1)/$NU$27,$NN$27/$NT$27)),0)</f>
        <v/>
      </c>
      <c r="KT27" s="228">
        <f>IF(AND(302&gt;=$NR$27,302&lt;=$NS$27),IF($NP$27="Single_Point",IF(302=$NR$27,$NN$27,0),IF($NP$27="Bell_Curve",$NN$27*(302-$NR$27+1)*($NS$27-302+1)/$NU$27,$NN$27/$NT$27)),0)</f>
        <v/>
      </c>
      <c r="KU27" s="228">
        <f>IF(AND(303&gt;=$NR$27,303&lt;=$NS$27),IF($NP$27="Single_Point",IF(303=$NR$27,$NN$27,0),IF($NP$27="Bell_Curve",$NN$27*(303-$NR$27+1)*($NS$27-303+1)/$NU$27,$NN$27/$NT$27)),0)</f>
        <v/>
      </c>
      <c r="KV27" s="228">
        <f>IF(AND(304&gt;=$NR$27,304&lt;=$NS$27),IF($NP$27="Single_Point",IF(304=$NR$27,$NN$27,0),IF($NP$27="Bell_Curve",$NN$27*(304-$NR$27+1)*($NS$27-304+1)/$NU$27,$NN$27/$NT$27)),0)</f>
        <v/>
      </c>
      <c r="KW27" s="228">
        <f>IF(AND(305&gt;=$NR$27,305&lt;=$NS$27),IF($NP$27="Single_Point",IF(305=$NR$27,$NN$27,0),IF($NP$27="Bell_Curve",$NN$27*(305-$NR$27+1)*($NS$27-305+1)/$NU$27,$NN$27/$NT$27)),0)</f>
        <v/>
      </c>
      <c r="KX27" s="228">
        <f>IF(AND(306&gt;=$NR$27,306&lt;=$NS$27),IF($NP$27="Single_Point",IF(306=$NR$27,$NN$27,0),IF($NP$27="Bell_Curve",$NN$27*(306-$NR$27+1)*($NS$27-306+1)/$NU$27,$NN$27/$NT$27)),0)</f>
        <v/>
      </c>
      <c r="KY27" s="228">
        <f>IF(AND(307&gt;=$NR$27,307&lt;=$NS$27),IF($NP$27="Single_Point",IF(307=$NR$27,$NN$27,0),IF($NP$27="Bell_Curve",$NN$27*(307-$NR$27+1)*($NS$27-307+1)/$NU$27,$NN$27/$NT$27)),0)</f>
        <v/>
      </c>
      <c r="KZ27" s="228">
        <f>IF(AND(308&gt;=$NR$27,308&lt;=$NS$27),IF($NP$27="Single_Point",IF(308=$NR$27,$NN$27,0),IF($NP$27="Bell_Curve",$NN$27*(308-$NR$27+1)*($NS$27-308+1)/$NU$27,$NN$27/$NT$27)),0)</f>
        <v/>
      </c>
      <c r="LA27" s="228">
        <f>IF(AND(309&gt;=$NR$27,309&lt;=$NS$27),IF($NP$27="Single_Point",IF(309=$NR$27,$NN$27,0),IF($NP$27="Bell_Curve",$NN$27*(309-$NR$27+1)*($NS$27-309+1)/$NU$27,$NN$27/$NT$27)),0)</f>
        <v/>
      </c>
      <c r="LB27" s="228">
        <f>IF(AND(310&gt;=$NR$27,310&lt;=$NS$27),IF($NP$27="Single_Point",IF(310=$NR$27,$NN$27,0),IF($NP$27="Bell_Curve",$NN$27*(310-$NR$27+1)*($NS$27-310+1)/$NU$27,$NN$27/$NT$27)),0)</f>
        <v/>
      </c>
      <c r="LC27" s="228">
        <f>IF(AND(311&gt;=$NR$27,311&lt;=$NS$27),IF($NP$27="Single_Point",IF(311=$NR$27,$NN$27,0),IF($NP$27="Bell_Curve",$NN$27*(311-$NR$27+1)*($NS$27-311+1)/$NU$27,$NN$27/$NT$27)),0)</f>
        <v/>
      </c>
      <c r="LD27" s="228">
        <f>IF(AND(312&gt;=$NR$27,312&lt;=$NS$27),IF($NP$27="Single_Point",IF(312=$NR$27,$NN$27,0),IF($NP$27="Bell_Curve",$NN$27*(312-$NR$27+1)*($NS$27-312+1)/$NU$27,$NN$27/$NT$27)),0)</f>
        <v/>
      </c>
      <c r="LE27" s="228">
        <f>IF(AND(313&gt;=$NR$27,313&lt;=$NS$27),IF($NP$27="Single_Point",IF(313=$NR$27,$NN$27,0),IF($NP$27="Bell_Curve",$NN$27*(313-$NR$27+1)*($NS$27-313+1)/$NU$27,$NN$27/$NT$27)),0)</f>
        <v/>
      </c>
      <c r="LF27" s="228">
        <f>IF(AND(314&gt;=$NR$27,314&lt;=$NS$27),IF($NP$27="Single_Point",IF(314=$NR$27,$NN$27,0),IF($NP$27="Bell_Curve",$NN$27*(314-$NR$27+1)*($NS$27-314+1)/$NU$27,$NN$27/$NT$27)),0)</f>
        <v/>
      </c>
      <c r="LG27" s="228">
        <f>IF(AND(315&gt;=$NR$27,315&lt;=$NS$27),IF($NP$27="Single_Point",IF(315=$NR$27,$NN$27,0),IF($NP$27="Bell_Curve",$NN$27*(315-$NR$27+1)*($NS$27-315+1)/$NU$27,$NN$27/$NT$27)),0)</f>
        <v/>
      </c>
      <c r="LH27" s="228">
        <f>IF(AND(316&gt;=$NR$27,316&lt;=$NS$27),IF($NP$27="Single_Point",IF(316=$NR$27,$NN$27,0),IF($NP$27="Bell_Curve",$NN$27*(316-$NR$27+1)*($NS$27-316+1)/$NU$27,$NN$27/$NT$27)),0)</f>
        <v/>
      </c>
      <c r="LI27" s="228">
        <f>IF(AND(317&gt;=$NR$27,317&lt;=$NS$27),IF($NP$27="Single_Point",IF(317=$NR$27,$NN$27,0),IF($NP$27="Bell_Curve",$NN$27*(317-$NR$27+1)*($NS$27-317+1)/$NU$27,$NN$27/$NT$27)),0)</f>
        <v/>
      </c>
      <c r="LJ27" s="228">
        <f>IF(AND(318&gt;=$NR$27,318&lt;=$NS$27),IF($NP$27="Single_Point",IF(318=$NR$27,$NN$27,0),IF($NP$27="Bell_Curve",$NN$27*(318-$NR$27+1)*($NS$27-318+1)/$NU$27,$NN$27/$NT$27)),0)</f>
        <v/>
      </c>
      <c r="LK27" s="228">
        <f>IF(AND(319&gt;=$NR$27,319&lt;=$NS$27),IF($NP$27="Single_Point",IF(319=$NR$27,$NN$27,0),IF($NP$27="Bell_Curve",$NN$27*(319-$NR$27+1)*($NS$27-319+1)/$NU$27,$NN$27/$NT$27)),0)</f>
        <v/>
      </c>
      <c r="LL27" s="228">
        <f>IF(AND(320&gt;=$NR$27,320&lt;=$NS$27),IF($NP$27="Single_Point",IF(320=$NR$27,$NN$27,0),IF($NP$27="Bell_Curve",$NN$27*(320-$NR$27+1)*($NS$27-320+1)/$NU$27,$NN$27/$NT$27)),0)</f>
        <v/>
      </c>
      <c r="LM27" s="228">
        <f>IF(AND(321&gt;=$NR$27,321&lt;=$NS$27),IF($NP$27="Single_Point",IF(321=$NR$27,$NN$27,0),IF($NP$27="Bell_Curve",$NN$27*(321-$NR$27+1)*($NS$27-321+1)/$NU$27,$NN$27/$NT$27)),0)</f>
        <v/>
      </c>
      <c r="LN27" s="228">
        <f>IF(AND(322&gt;=$NR$27,322&lt;=$NS$27),IF($NP$27="Single_Point",IF(322=$NR$27,$NN$27,0),IF($NP$27="Bell_Curve",$NN$27*(322-$NR$27+1)*($NS$27-322+1)/$NU$27,$NN$27/$NT$27)),0)</f>
        <v/>
      </c>
      <c r="LO27" s="228">
        <f>IF(AND(323&gt;=$NR$27,323&lt;=$NS$27),IF($NP$27="Single_Point",IF(323=$NR$27,$NN$27,0),IF($NP$27="Bell_Curve",$NN$27*(323-$NR$27+1)*($NS$27-323+1)/$NU$27,$NN$27/$NT$27)),0)</f>
        <v/>
      </c>
      <c r="LP27" s="228">
        <f>IF(AND(324&gt;=$NR$27,324&lt;=$NS$27),IF($NP$27="Single_Point",IF(324=$NR$27,$NN$27,0),IF($NP$27="Bell_Curve",$NN$27*(324-$NR$27+1)*($NS$27-324+1)/$NU$27,$NN$27/$NT$27)),0)</f>
        <v/>
      </c>
      <c r="LQ27" s="228">
        <f>IF(AND(325&gt;=$NR$27,325&lt;=$NS$27),IF($NP$27="Single_Point",IF(325=$NR$27,$NN$27,0),IF($NP$27="Bell_Curve",$NN$27*(325-$NR$27+1)*($NS$27-325+1)/$NU$27,$NN$27/$NT$27)),0)</f>
        <v/>
      </c>
      <c r="LR27" s="228">
        <f>IF(AND(326&gt;=$NR$27,326&lt;=$NS$27),IF($NP$27="Single_Point",IF(326=$NR$27,$NN$27,0),IF($NP$27="Bell_Curve",$NN$27*(326-$NR$27+1)*($NS$27-326+1)/$NU$27,$NN$27/$NT$27)),0)</f>
        <v/>
      </c>
      <c r="LS27" s="228">
        <f>IF(AND(327&gt;=$NR$27,327&lt;=$NS$27),IF($NP$27="Single_Point",IF(327=$NR$27,$NN$27,0),IF($NP$27="Bell_Curve",$NN$27*(327-$NR$27+1)*($NS$27-327+1)/$NU$27,$NN$27/$NT$27)),0)</f>
        <v/>
      </c>
      <c r="LT27" s="228">
        <f>IF(AND(328&gt;=$NR$27,328&lt;=$NS$27),IF($NP$27="Single_Point",IF(328=$NR$27,$NN$27,0),IF($NP$27="Bell_Curve",$NN$27*(328-$NR$27+1)*($NS$27-328+1)/$NU$27,$NN$27/$NT$27)),0)</f>
        <v/>
      </c>
      <c r="LU27" s="228">
        <f>IF(AND(329&gt;=$NR$27,329&lt;=$NS$27),IF($NP$27="Single_Point",IF(329=$NR$27,$NN$27,0),IF($NP$27="Bell_Curve",$NN$27*(329-$NR$27+1)*($NS$27-329+1)/$NU$27,$NN$27/$NT$27)),0)</f>
        <v/>
      </c>
      <c r="LV27" s="228">
        <f>IF(AND(330&gt;=$NR$27,330&lt;=$NS$27),IF($NP$27="Single_Point",IF(330=$NR$27,$NN$27,0),IF($NP$27="Bell_Curve",$NN$27*(330-$NR$27+1)*($NS$27-330+1)/$NU$27,$NN$27/$NT$27)),0)</f>
        <v/>
      </c>
      <c r="LW27" s="228">
        <f>IF(AND(331&gt;=$NR$27,331&lt;=$NS$27),IF($NP$27="Single_Point",IF(331=$NR$27,$NN$27,0),IF($NP$27="Bell_Curve",$NN$27*(331-$NR$27+1)*($NS$27-331+1)/$NU$27,$NN$27/$NT$27)),0)</f>
        <v/>
      </c>
      <c r="LX27" s="228">
        <f>IF(AND(332&gt;=$NR$27,332&lt;=$NS$27),IF($NP$27="Single_Point",IF(332=$NR$27,$NN$27,0),IF($NP$27="Bell_Curve",$NN$27*(332-$NR$27+1)*($NS$27-332+1)/$NU$27,$NN$27/$NT$27)),0)</f>
        <v/>
      </c>
      <c r="LY27" s="228">
        <f>IF(AND(333&gt;=$NR$27,333&lt;=$NS$27),IF($NP$27="Single_Point",IF(333=$NR$27,$NN$27,0),IF($NP$27="Bell_Curve",$NN$27*(333-$NR$27+1)*($NS$27-333+1)/$NU$27,$NN$27/$NT$27)),0)</f>
        <v/>
      </c>
      <c r="LZ27" s="228">
        <f>IF(AND(334&gt;=$NR$27,334&lt;=$NS$27),IF($NP$27="Single_Point",IF(334=$NR$27,$NN$27,0),IF($NP$27="Bell_Curve",$NN$27*(334-$NR$27+1)*($NS$27-334+1)/$NU$27,$NN$27/$NT$27)),0)</f>
        <v/>
      </c>
      <c r="MA27" s="228">
        <f>IF(AND(335&gt;=$NR$27,335&lt;=$NS$27),IF($NP$27="Single_Point",IF(335=$NR$27,$NN$27,0),IF($NP$27="Bell_Curve",$NN$27*(335-$NR$27+1)*($NS$27-335+1)/$NU$27,$NN$27/$NT$27)),0)</f>
        <v/>
      </c>
      <c r="MB27" s="228">
        <f>IF(AND(336&gt;=$NR$27,336&lt;=$NS$27),IF($NP$27="Single_Point",IF(336=$NR$27,$NN$27,0),IF($NP$27="Bell_Curve",$NN$27*(336-$NR$27+1)*($NS$27-336+1)/$NU$27,$NN$27/$NT$27)),0)</f>
        <v/>
      </c>
      <c r="MC27" s="228">
        <f>IF(AND(337&gt;=$NR$27,337&lt;=$NS$27),IF($NP$27="Single_Point",IF(337=$NR$27,$NN$27,0),IF($NP$27="Bell_Curve",$NN$27*(337-$NR$27+1)*($NS$27-337+1)/$NU$27,$NN$27/$NT$27)),0)</f>
        <v/>
      </c>
      <c r="MD27" s="228">
        <f>IF(AND(338&gt;=$NR$27,338&lt;=$NS$27),IF($NP$27="Single_Point",IF(338=$NR$27,$NN$27,0),IF($NP$27="Bell_Curve",$NN$27*(338-$NR$27+1)*($NS$27-338+1)/$NU$27,$NN$27/$NT$27)),0)</f>
        <v/>
      </c>
      <c r="ME27" s="228">
        <f>IF(AND(339&gt;=$NR$27,339&lt;=$NS$27),IF($NP$27="Single_Point",IF(339=$NR$27,$NN$27,0),IF($NP$27="Bell_Curve",$NN$27*(339-$NR$27+1)*($NS$27-339+1)/$NU$27,$NN$27/$NT$27)),0)</f>
        <v/>
      </c>
      <c r="MF27" s="228">
        <f>IF(AND(340&gt;=$NR$27,340&lt;=$NS$27),IF($NP$27="Single_Point",IF(340=$NR$27,$NN$27,0),IF($NP$27="Bell_Curve",$NN$27*(340-$NR$27+1)*($NS$27-340+1)/$NU$27,$NN$27/$NT$27)),0)</f>
        <v/>
      </c>
      <c r="MG27" s="228">
        <f>IF(AND(341&gt;=$NR$27,341&lt;=$NS$27),IF($NP$27="Single_Point",IF(341=$NR$27,$NN$27,0),IF($NP$27="Bell_Curve",$NN$27*(341-$NR$27+1)*($NS$27-341+1)/$NU$27,$NN$27/$NT$27)),0)</f>
        <v/>
      </c>
      <c r="MH27" s="228">
        <f>IF(AND(342&gt;=$NR$27,342&lt;=$NS$27),IF($NP$27="Single_Point",IF(342=$NR$27,$NN$27,0),IF($NP$27="Bell_Curve",$NN$27*(342-$NR$27+1)*($NS$27-342+1)/$NU$27,$NN$27/$NT$27)),0)</f>
        <v/>
      </c>
      <c r="MI27" s="228">
        <f>IF(AND(343&gt;=$NR$27,343&lt;=$NS$27),IF($NP$27="Single_Point",IF(343=$NR$27,$NN$27,0),IF($NP$27="Bell_Curve",$NN$27*(343-$NR$27+1)*($NS$27-343+1)/$NU$27,$NN$27/$NT$27)),0)</f>
        <v/>
      </c>
      <c r="MJ27" s="228">
        <f>IF(AND(344&gt;=$NR$27,344&lt;=$NS$27),IF($NP$27="Single_Point",IF(344=$NR$27,$NN$27,0),IF($NP$27="Bell_Curve",$NN$27*(344-$NR$27+1)*($NS$27-344+1)/$NU$27,$NN$27/$NT$27)),0)</f>
        <v/>
      </c>
      <c r="MK27" s="228">
        <f>IF(AND(345&gt;=$NR$27,345&lt;=$NS$27),IF($NP$27="Single_Point",IF(345=$NR$27,$NN$27,0),IF($NP$27="Bell_Curve",$NN$27*(345-$NR$27+1)*($NS$27-345+1)/$NU$27,$NN$27/$NT$27)),0)</f>
        <v/>
      </c>
      <c r="ML27" s="228">
        <f>IF(AND(346&gt;=$NR$27,346&lt;=$NS$27),IF($NP$27="Single_Point",IF(346=$NR$27,$NN$27,0),IF($NP$27="Bell_Curve",$NN$27*(346-$NR$27+1)*($NS$27-346+1)/$NU$27,$NN$27/$NT$27)),0)</f>
        <v/>
      </c>
      <c r="MM27" s="228">
        <f>IF(AND(347&gt;=$NR$27,347&lt;=$NS$27),IF($NP$27="Single_Point",IF(347=$NR$27,$NN$27,0),IF($NP$27="Bell_Curve",$NN$27*(347-$NR$27+1)*($NS$27-347+1)/$NU$27,$NN$27/$NT$27)),0)</f>
        <v/>
      </c>
      <c r="MN27" s="228">
        <f>IF(AND(348&gt;=$NR$27,348&lt;=$NS$27),IF($NP$27="Single_Point",IF(348=$NR$27,$NN$27,0),IF($NP$27="Bell_Curve",$NN$27*(348-$NR$27+1)*($NS$27-348+1)/$NU$27,$NN$27/$NT$27)),0)</f>
        <v/>
      </c>
      <c r="MO27" s="228">
        <f>IF(AND(349&gt;=$NR$27,349&lt;=$NS$27),IF($NP$27="Single_Point",IF(349=$NR$27,$NN$27,0),IF($NP$27="Bell_Curve",$NN$27*(349-$NR$27+1)*($NS$27-349+1)/$NU$27,$NN$27/$NT$27)),0)</f>
        <v/>
      </c>
      <c r="MP27" s="228">
        <f>IF(AND(350&gt;=$NR$27,350&lt;=$NS$27),IF($NP$27="Single_Point",IF(350=$NR$27,$NN$27,0),IF($NP$27="Bell_Curve",$NN$27*(350-$NR$27+1)*($NS$27-350+1)/$NU$27,$NN$27/$NT$27)),0)</f>
        <v/>
      </c>
      <c r="MQ27" s="228">
        <f>IF(AND(351&gt;=$NR$27,351&lt;=$NS$27),IF($NP$27="Single_Point",IF(351=$NR$27,$NN$27,0),IF($NP$27="Bell_Curve",$NN$27*(351-$NR$27+1)*($NS$27-351+1)/$NU$27,$NN$27/$NT$27)),0)</f>
        <v/>
      </c>
      <c r="MR27" s="228">
        <f>IF(AND(352&gt;=$NR$27,352&lt;=$NS$27),IF($NP$27="Single_Point",IF(352=$NR$27,$NN$27,0),IF($NP$27="Bell_Curve",$NN$27*(352-$NR$27+1)*($NS$27-352+1)/$NU$27,$NN$27/$NT$27)),0)</f>
        <v/>
      </c>
      <c r="MS27" s="228">
        <f>IF(AND(353&gt;=$NR$27,353&lt;=$NS$27),IF($NP$27="Single_Point",IF(353=$NR$27,$NN$27,0),IF($NP$27="Bell_Curve",$NN$27*(353-$NR$27+1)*($NS$27-353+1)/$NU$27,$NN$27/$NT$27)),0)</f>
        <v/>
      </c>
      <c r="MT27" s="228">
        <f>IF(AND(354&gt;=$NR$27,354&lt;=$NS$27),IF($NP$27="Single_Point",IF(354=$NR$27,$NN$27,0),IF($NP$27="Bell_Curve",$NN$27*(354-$NR$27+1)*($NS$27-354+1)/$NU$27,$NN$27/$NT$27)),0)</f>
        <v/>
      </c>
      <c r="MU27" s="228">
        <f>IF(AND(355&gt;=$NR$27,355&lt;=$NS$27),IF($NP$27="Single_Point",IF(355=$NR$27,$NN$27,0),IF($NP$27="Bell_Curve",$NN$27*(355-$NR$27+1)*($NS$27-355+1)/$NU$27,$NN$27/$NT$27)),0)</f>
        <v/>
      </c>
      <c r="MV27" s="228">
        <f>IF(AND(356&gt;=$NR$27,356&lt;=$NS$27),IF($NP$27="Single_Point",IF(356=$NR$27,$NN$27,0),IF($NP$27="Bell_Curve",$NN$27*(356-$NR$27+1)*($NS$27-356+1)/$NU$27,$NN$27/$NT$27)),0)</f>
        <v/>
      </c>
      <c r="MW27" s="228">
        <f>IF(AND(357&gt;=$NR$27,357&lt;=$NS$27),IF($NP$27="Single_Point",IF(357=$NR$27,$NN$27,0),IF($NP$27="Bell_Curve",$NN$27*(357-$NR$27+1)*($NS$27-357+1)/$NU$27,$NN$27/$NT$27)),0)</f>
        <v/>
      </c>
      <c r="MX27" s="228">
        <f>IF(AND(358&gt;=$NR$27,358&lt;=$NS$27),IF($NP$27="Single_Point",IF(358=$NR$27,$NN$27,0),IF($NP$27="Bell_Curve",$NN$27*(358-$NR$27+1)*($NS$27-358+1)/$NU$27,$NN$27/$NT$27)),0)</f>
        <v/>
      </c>
      <c r="MY27" s="228">
        <f>IF(AND(359&gt;=$NR$27,359&lt;=$NS$27),IF($NP$27="Single_Point",IF(359=$NR$27,$NN$27,0),IF($NP$27="Bell_Curve",$NN$27*(359-$NR$27+1)*($NS$27-359+1)/$NU$27,$NN$27/$NT$27)),0)</f>
        <v/>
      </c>
      <c r="MZ27" s="228">
        <f>IF(AND(360&gt;=$NR$27,360&lt;=$NS$27),IF($NP$27="Single_Point",IF(360=$NR$27,$NN$27,0),IF($NP$27="Bell_Curve",$NN$27*(360-$NR$27+1)*($NS$27-360+1)/$NU$27,$NN$27/$NT$27)),0)</f>
        <v/>
      </c>
      <c r="NA27" s="228">
        <f>IF(AND(361&gt;=$NR$27,361&lt;=$NS$27),IF($NP$27="Single_Point",IF(361=$NR$27,$NN$27,0),IF($NP$27="Bell_Curve",$NN$27*(361-$NR$27+1)*($NS$27-361+1)/$NU$27,$NN$27/$NT$27)),0)</f>
        <v/>
      </c>
      <c r="NB27" s="228">
        <f>IF(AND(362&gt;=$NR$27,362&lt;=$NS$27),IF($NP$27="Single_Point",IF(362=$NR$27,$NN$27,0),IF($NP$27="Bell_Curve",$NN$27*(362-$NR$27+1)*($NS$27-362+1)/$NU$27,$NN$27/$NT$27)),0)</f>
        <v/>
      </c>
      <c r="NC27" s="228">
        <f>IF(AND(363&gt;=$NR$27,363&lt;=$NS$27),IF($NP$27="Single_Point",IF(363=$NR$27,$NN$27,0),IF($NP$27="Bell_Curve",$NN$27*(363-$NR$27+1)*($NS$27-363+1)/$NU$27,$NN$27/$NT$27)),0)</f>
        <v/>
      </c>
      <c r="ND27" s="228">
        <f>IF(AND(364&gt;=$NR$27,364&lt;=$NS$27),IF($NP$27="Single_Point",IF(364=$NR$27,$NN$27,0),IF($NP$27="Bell_Curve",$NN$27*(364-$NR$27+1)*($NS$27-364+1)/$NU$27,$NN$27/$NT$27)),0)</f>
        <v/>
      </c>
      <c r="NE27" s="228">
        <f>IF(AND(365&gt;=$NR$27,365&lt;=$NS$27),IF($NP$27="Single_Point",IF(365=$NR$27,$NN$27,0),IF($NP$27="Bell_Curve",$NN$27*(365-$NR$27+1)*($NS$27-365+1)/$NU$27,$NN$27/$NT$27)),0)</f>
        <v/>
      </c>
      <c r="NF27" s="228">
        <f>IF(AND(366&gt;=$NR$27,366&lt;=$NS$27),IF($NP$27="Single_Point",IF(366=$NR$27,$NN$27,0),IF($NP$27="Bell_Curve",$NN$27*(366-$NR$27+1)*($NS$27-366+1)/$NU$27,$NN$27/$NT$27)),0)</f>
        <v/>
      </c>
      <c r="NG27" s="228">
        <f>IF(AND(367&gt;=$NR$27,367&lt;=$NS$27),IF($NP$27="Single_Point",IF(367=$NR$27,$NN$27,0),IF($NP$27="Bell_Curve",$NN$27*(367-$NR$27+1)*($NS$27-367+1)/$NU$27,$NN$27/$NT$27)),0)</f>
        <v/>
      </c>
      <c r="NH27" s="228">
        <f>IF(AND(368&gt;=$NR$27,368&lt;=$NS$27),IF($NP$27="Single_Point",IF(368=$NR$27,$NN$27,0),IF($NP$27="Bell_Curve",$NN$27*(368-$NR$27+1)*($NS$27-368+1)/$NU$27,$NN$27/$NT$27)),0)</f>
        <v/>
      </c>
      <c r="NI27" s="228">
        <f>IF(AND(369&gt;=$NR$27,369&lt;=$NS$27),IF($NP$27="Single_Point",IF(369=$NR$27,$NN$27,0),IF($NP$27="Bell_Curve",$NN$27*(369-$NR$27+1)*($NS$27-369+1)/$NU$27,$NN$27/$NT$27)),0)</f>
        <v/>
      </c>
      <c r="NJ27" s="228">
        <f>IF(AND(370&gt;=$NR$27,370&lt;=$NS$27),IF($NP$27="Single_Point",IF(370=$NR$27,$NN$27,0),IF($NP$27="Bell_Curve",$NN$27*(370-$NR$27+1)*($NS$27-370+1)/$NU$27,$NN$27/$NT$27)),0)</f>
        <v/>
      </c>
      <c r="NK27" s="228">
        <f>IF(AND(371&gt;=$NR$27,371&lt;=$NS$27),IF($NP$27="Single_Point",IF(371=$NR$27,$NN$27,0),IF($NP$27="Bell_Curve",$NN$27*(371-$NR$27+1)*($NS$27-371+1)/$NU$27,$NN$27/$NT$27)),0)</f>
        <v/>
      </c>
      <c r="NL27" s="247">
        <f>IF(AND(372&gt;=$NR$27,372&lt;=$NS$27),IF($NP$27="Single_Point",IF(372=$NR$27,$NN$27,0),IF($NP$27="Bell_Curve",$NN$27*(372-$NR$27+1)*($NS$27-372+1)/$NU$27,$NN$27/$NT$27)),0)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36" t="inlineStr">
        <is>
          <t>Other Hard Cost 2 - Amenity</t>
        </is>
      </c>
      <c r="D28" s="246">
        <f>SUM(E28:NL28)</f>
        <v/>
      </c>
      <c r="E28" s="228">
        <f>IF(AND(1&gt;=$NR$28,1&lt;=$NS$28),IF($NP$28="Single_Point",IF(1=$NR$28,$NN$28,0),IF($NP$28="Bell_Curve",$NN$28*(1-$NR$28+1)*($NS$28-1+1)/$NU$28,$NN$28/$NT$28)),0)</f>
        <v/>
      </c>
      <c r="F28" s="228">
        <f>IF(AND(2&gt;=$NR$28,2&lt;=$NS$28),IF($NP$28="Single_Point",IF(2=$NR$28,$NN$28,0),IF($NP$28="Bell_Curve",$NN$28*(2-$NR$28+1)*($NS$28-2+1)/$NU$28,$NN$28/$NT$28)),0)</f>
        <v/>
      </c>
      <c r="G28" s="228">
        <f>IF(AND(3&gt;=$NR$28,3&lt;=$NS$28),IF($NP$28="Single_Point",IF(3=$NR$28,$NN$28,0),IF($NP$28="Bell_Curve",$NN$28*(3-$NR$28+1)*($NS$28-3+1)/$NU$28,$NN$28/$NT$28)),0)</f>
        <v/>
      </c>
      <c r="H28" s="228">
        <f>IF(AND(4&gt;=$NR$28,4&lt;=$NS$28),IF($NP$28="Single_Point",IF(4=$NR$28,$NN$28,0),IF($NP$28="Bell_Curve",$NN$28*(4-$NR$28+1)*($NS$28-4+1)/$NU$28,$NN$28/$NT$28)),0)</f>
        <v/>
      </c>
      <c r="I28" s="228">
        <f>IF(AND(5&gt;=$NR$28,5&lt;=$NS$28),IF($NP$28="Single_Point",IF(5=$NR$28,$NN$28,0),IF($NP$28="Bell_Curve",$NN$28*(5-$NR$28+1)*($NS$28-5+1)/$NU$28,$NN$28/$NT$28)),0)</f>
        <v/>
      </c>
      <c r="J28" s="228">
        <f>IF(AND(6&gt;=$NR$28,6&lt;=$NS$28),IF($NP$28="Single_Point",IF(6=$NR$28,$NN$28,0),IF($NP$28="Bell_Curve",$NN$28*(6-$NR$28+1)*($NS$28-6+1)/$NU$28,$NN$28/$NT$28)),0)</f>
        <v/>
      </c>
      <c r="K28" s="228">
        <f>IF(AND(7&gt;=$NR$28,7&lt;=$NS$28),IF($NP$28="Single_Point",IF(7=$NR$28,$NN$28,0),IF($NP$28="Bell_Curve",$NN$28*(7-$NR$28+1)*($NS$28-7+1)/$NU$28,$NN$28/$NT$28)),0)</f>
        <v/>
      </c>
      <c r="L28" s="228">
        <f>IF(AND(8&gt;=$NR$28,8&lt;=$NS$28),IF($NP$28="Single_Point",IF(8=$NR$28,$NN$28,0),IF($NP$28="Bell_Curve",$NN$28*(8-$NR$28+1)*($NS$28-8+1)/$NU$28,$NN$28/$NT$28)),0)</f>
        <v/>
      </c>
      <c r="M28" s="228">
        <f>IF(AND(9&gt;=$NR$28,9&lt;=$NS$28),IF($NP$28="Single_Point",IF(9=$NR$28,$NN$28,0),IF($NP$28="Bell_Curve",$NN$28*(9-$NR$28+1)*($NS$28-9+1)/$NU$28,$NN$28/$NT$28)),0)</f>
        <v/>
      </c>
      <c r="N28" s="228">
        <f>IF(AND(10&gt;=$NR$28,10&lt;=$NS$28),IF($NP$28="Single_Point",IF(10=$NR$28,$NN$28,0),IF($NP$28="Bell_Curve",$NN$28*(10-$NR$28+1)*($NS$28-10+1)/$NU$28,$NN$28/$NT$28)),0)</f>
        <v/>
      </c>
      <c r="O28" s="228">
        <f>IF(AND(11&gt;=$NR$28,11&lt;=$NS$28),IF($NP$28="Single_Point",IF(11=$NR$28,$NN$28,0),IF($NP$28="Bell_Curve",$NN$28*(11-$NR$28+1)*($NS$28-11+1)/$NU$28,$NN$28/$NT$28)),0)</f>
        <v/>
      </c>
      <c r="P28" s="228">
        <f>IF(AND(12&gt;=$NR$28,12&lt;=$NS$28),IF($NP$28="Single_Point",IF(12=$NR$28,$NN$28,0),IF($NP$28="Bell_Curve",$NN$28*(12-$NR$28+1)*($NS$28-12+1)/$NU$28,$NN$28/$NT$28)),0)</f>
        <v/>
      </c>
      <c r="Q28" s="228">
        <f>IF(AND(13&gt;=$NR$28,13&lt;=$NS$28),IF($NP$28="Single_Point",IF(13=$NR$28,$NN$28,0),IF($NP$28="Bell_Curve",$NN$28*(13-$NR$28+1)*($NS$28-13+1)/$NU$28,$NN$28/$NT$28)),0)</f>
        <v/>
      </c>
      <c r="R28" s="228">
        <f>IF(AND(14&gt;=$NR$28,14&lt;=$NS$28),IF($NP$28="Single_Point",IF(14=$NR$28,$NN$28,0),IF($NP$28="Bell_Curve",$NN$28*(14-$NR$28+1)*($NS$28-14+1)/$NU$28,$NN$28/$NT$28)),0)</f>
        <v/>
      </c>
      <c r="S28" s="228">
        <f>IF(AND(15&gt;=$NR$28,15&lt;=$NS$28),IF($NP$28="Single_Point",IF(15=$NR$28,$NN$28,0),IF($NP$28="Bell_Curve",$NN$28*(15-$NR$28+1)*($NS$28-15+1)/$NU$28,$NN$28/$NT$28)),0)</f>
        <v/>
      </c>
      <c r="T28" s="228">
        <f>IF(AND(16&gt;=$NR$28,16&lt;=$NS$28),IF($NP$28="Single_Point",IF(16=$NR$28,$NN$28,0),IF($NP$28="Bell_Curve",$NN$28*(16-$NR$28+1)*($NS$28-16+1)/$NU$28,$NN$28/$NT$28)),0)</f>
        <v/>
      </c>
      <c r="U28" s="228">
        <f>IF(AND(17&gt;=$NR$28,17&lt;=$NS$28),IF($NP$28="Single_Point",IF(17=$NR$28,$NN$28,0),IF($NP$28="Bell_Curve",$NN$28*(17-$NR$28+1)*($NS$28-17+1)/$NU$28,$NN$28/$NT$28)),0)</f>
        <v/>
      </c>
      <c r="V28" s="228">
        <f>IF(AND(18&gt;=$NR$28,18&lt;=$NS$28),IF($NP$28="Single_Point",IF(18=$NR$28,$NN$28,0),IF($NP$28="Bell_Curve",$NN$28*(18-$NR$28+1)*($NS$28-18+1)/$NU$28,$NN$28/$NT$28)),0)</f>
        <v/>
      </c>
      <c r="W28" s="228">
        <f>IF(AND(19&gt;=$NR$28,19&lt;=$NS$28),IF($NP$28="Single_Point",IF(19=$NR$28,$NN$28,0),IF($NP$28="Bell_Curve",$NN$28*(19-$NR$28+1)*($NS$28-19+1)/$NU$28,$NN$28/$NT$28)),0)</f>
        <v/>
      </c>
      <c r="X28" s="228">
        <f>IF(AND(20&gt;=$NR$28,20&lt;=$NS$28),IF($NP$28="Single_Point",IF(20=$NR$28,$NN$28,0),IF($NP$28="Bell_Curve",$NN$28*(20-$NR$28+1)*($NS$28-20+1)/$NU$28,$NN$28/$NT$28)),0)</f>
        <v/>
      </c>
      <c r="Y28" s="228">
        <f>IF(AND(21&gt;=$NR$28,21&lt;=$NS$28),IF($NP$28="Single_Point",IF(21=$NR$28,$NN$28,0),IF($NP$28="Bell_Curve",$NN$28*(21-$NR$28+1)*($NS$28-21+1)/$NU$28,$NN$28/$NT$28)),0)</f>
        <v/>
      </c>
      <c r="Z28" s="228">
        <f>IF(AND(22&gt;=$NR$28,22&lt;=$NS$28),IF($NP$28="Single_Point",IF(22=$NR$28,$NN$28,0),IF($NP$28="Bell_Curve",$NN$28*(22-$NR$28+1)*($NS$28-22+1)/$NU$28,$NN$28/$NT$28)),0)</f>
        <v/>
      </c>
      <c r="AA28" s="228">
        <f>IF(AND(23&gt;=$NR$28,23&lt;=$NS$28),IF($NP$28="Single_Point",IF(23=$NR$28,$NN$28,0),IF($NP$28="Bell_Curve",$NN$28*(23-$NR$28+1)*($NS$28-23+1)/$NU$28,$NN$28/$NT$28)),0)</f>
        <v/>
      </c>
      <c r="AB28" s="228">
        <f>IF(AND(24&gt;=$NR$28,24&lt;=$NS$28),IF($NP$28="Single_Point",IF(24=$NR$28,$NN$28,0),IF($NP$28="Bell_Curve",$NN$28*(24-$NR$28+1)*($NS$28-24+1)/$NU$28,$NN$28/$NT$28)),0)</f>
        <v/>
      </c>
      <c r="AC28" s="228">
        <f>IF(AND(25&gt;=$NR$28,25&lt;=$NS$28),IF($NP$28="Single_Point",IF(25=$NR$28,$NN$28,0),IF($NP$28="Bell_Curve",$NN$28*(25-$NR$28+1)*($NS$28-25+1)/$NU$28,$NN$28/$NT$28)),0)</f>
        <v/>
      </c>
      <c r="AD28" s="228">
        <f>IF(AND(26&gt;=$NR$28,26&lt;=$NS$28),IF($NP$28="Single_Point",IF(26=$NR$28,$NN$28,0),IF($NP$28="Bell_Curve",$NN$28*(26-$NR$28+1)*($NS$28-26+1)/$NU$28,$NN$28/$NT$28)),0)</f>
        <v/>
      </c>
      <c r="AE28" s="228">
        <f>IF(AND(27&gt;=$NR$28,27&lt;=$NS$28),IF($NP$28="Single_Point",IF(27=$NR$28,$NN$28,0),IF($NP$28="Bell_Curve",$NN$28*(27-$NR$28+1)*($NS$28-27+1)/$NU$28,$NN$28/$NT$28)),0)</f>
        <v/>
      </c>
      <c r="AF28" s="228">
        <f>IF(AND(28&gt;=$NR$28,28&lt;=$NS$28),IF($NP$28="Single_Point",IF(28=$NR$28,$NN$28,0),IF($NP$28="Bell_Curve",$NN$28*(28-$NR$28+1)*($NS$28-28+1)/$NU$28,$NN$28/$NT$28)),0)</f>
        <v/>
      </c>
      <c r="AG28" s="228">
        <f>IF(AND(29&gt;=$NR$28,29&lt;=$NS$28),IF($NP$28="Single_Point",IF(29=$NR$28,$NN$28,0),IF($NP$28="Bell_Curve",$NN$28*(29-$NR$28+1)*($NS$28-29+1)/$NU$28,$NN$28/$NT$28)),0)</f>
        <v/>
      </c>
      <c r="AH28" s="228">
        <f>IF(AND(30&gt;=$NR$28,30&lt;=$NS$28),IF($NP$28="Single_Point",IF(30=$NR$28,$NN$28,0),IF($NP$28="Bell_Curve",$NN$28*(30-$NR$28+1)*($NS$28-30+1)/$NU$28,$NN$28/$NT$28)),0)</f>
        <v/>
      </c>
      <c r="AI28" s="228">
        <f>IF(AND(31&gt;=$NR$28,31&lt;=$NS$28),IF($NP$28="Single_Point",IF(31=$NR$28,$NN$28,0),IF($NP$28="Bell_Curve",$NN$28*(31-$NR$28+1)*($NS$28-31+1)/$NU$28,$NN$28/$NT$28)),0)</f>
        <v/>
      </c>
      <c r="AJ28" s="228">
        <f>IF(AND(32&gt;=$NR$28,32&lt;=$NS$28),IF($NP$28="Single_Point",IF(32=$NR$28,$NN$28,0),IF($NP$28="Bell_Curve",$NN$28*(32-$NR$28+1)*($NS$28-32+1)/$NU$28,$NN$28/$NT$28)),0)</f>
        <v/>
      </c>
      <c r="AK28" s="228">
        <f>IF(AND(33&gt;=$NR$28,33&lt;=$NS$28),IF($NP$28="Single_Point",IF(33=$NR$28,$NN$28,0),IF($NP$28="Bell_Curve",$NN$28*(33-$NR$28+1)*($NS$28-33+1)/$NU$28,$NN$28/$NT$28)),0)</f>
        <v/>
      </c>
      <c r="AL28" s="228">
        <f>IF(AND(34&gt;=$NR$28,34&lt;=$NS$28),IF($NP$28="Single_Point",IF(34=$NR$28,$NN$28,0),IF($NP$28="Bell_Curve",$NN$28*(34-$NR$28+1)*($NS$28-34+1)/$NU$28,$NN$28/$NT$28)),0)</f>
        <v/>
      </c>
      <c r="AM28" s="228">
        <f>IF(AND(35&gt;=$NR$28,35&lt;=$NS$28),IF($NP$28="Single_Point",IF(35=$NR$28,$NN$28,0),IF($NP$28="Bell_Curve",$NN$28*(35-$NR$28+1)*($NS$28-35+1)/$NU$28,$NN$28/$NT$28)),0)</f>
        <v/>
      </c>
      <c r="AN28" s="228">
        <f>IF(AND(36&gt;=$NR$28,36&lt;=$NS$28),IF($NP$28="Single_Point",IF(36=$NR$28,$NN$28,0),IF($NP$28="Bell_Curve",$NN$28*(36-$NR$28+1)*($NS$28-36+1)/$NU$28,$NN$28/$NT$28)),0)</f>
        <v/>
      </c>
      <c r="AO28" s="228">
        <f>IF(AND(37&gt;=$NR$28,37&lt;=$NS$28),IF($NP$28="Single_Point",IF(37=$NR$28,$NN$28,0),IF($NP$28="Bell_Curve",$NN$28*(37-$NR$28+1)*($NS$28-37+1)/$NU$28,$NN$28/$NT$28)),0)</f>
        <v/>
      </c>
      <c r="AP28" s="228">
        <f>IF(AND(38&gt;=$NR$28,38&lt;=$NS$28),IF($NP$28="Single_Point",IF(38=$NR$28,$NN$28,0),IF($NP$28="Bell_Curve",$NN$28*(38-$NR$28+1)*($NS$28-38+1)/$NU$28,$NN$28/$NT$28)),0)</f>
        <v/>
      </c>
      <c r="AQ28" s="228">
        <f>IF(AND(39&gt;=$NR$28,39&lt;=$NS$28),IF($NP$28="Single_Point",IF(39=$NR$28,$NN$28,0),IF($NP$28="Bell_Curve",$NN$28*(39-$NR$28+1)*($NS$28-39+1)/$NU$28,$NN$28/$NT$28)),0)</f>
        <v/>
      </c>
      <c r="AR28" s="228">
        <f>IF(AND(40&gt;=$NR$28,40&lt;=$NS$28),IF($NP$28="Single_Point",IF(40=$NR$28,$NN$28,0),IF($NP$28="Bell_Curve",$NN$28*(40-$NR$28+1)*($NS$28-40+1)/$NU$28,$NN$28/$NT$28)),0)</f>
        <v/>
      </c>
      <c r="AS28" s="228">
        <f>IF(AND(41&gt;=$NR$28,41&lt;=$NS$28),IF($NP$28="Single_Point",IF(41=$NR$28,$NN$28,0),IF($NP$28="Bell_Curve",$NN$28*(41-$NR$28+1)*($NS$28-41+1)/$NU$28,$NN$28/$NT$28)),0)</f>
        <v/>
      </c>
      <c r="AT28" s="228">
        <f>IF(AND(42&gt;=$NR$28,42&lt;=$NS$28),IF($NP$28="Single_Point",IF(42=$NR$28,$NN$28,0),IF($NP$28="Bell_Curve",$NN$28*(42-$NR$28+1)*($NS$28-42+1)/$NU$28,$NN$28/$NT$28)),0)</f>
        <v/>
      </c>
      <c r="AU28" s="228">
        <f>IF(AND(43&gt;=$NR$28,43&lt;=$NS$28),IF($NP$28="Single_Point",IF(43=$NR$28,$NN$28,0),IF($NP$28="Bell_Curve",$NN$28*(43-$NR$28+1)*($NS$28-43+1)/$NU$28,$NN$28/$NT$28)),0)</f>
        <v/>
      </c>
      <c r="AV28" s="228">
        <f>IF(AND(44&gt;=$NR$28,44&lt;=$NS$28),IF($NP$28="Single_Point",IF(44=$NR$28,$NN$28,0),IF($NP$28="Bell_Curve",$NN$28*(44-$NR$28+1)*($NS$28-44+1)/$NU$28,$NN$28/$NT$28)),0)</f>
        <v/>
      </c>
      <c r="AW28" s="228">
        <f>IF(AND(45&gt;=$NR$28,45&lt;=$NS$28),IF($NP$28="Single_Point",IF(45=$NR$28,$NN$28,0),IF($NP$28="Bell_Curve",$NN$28*(45-$NR$28+1)*($NS$28-45+1)/$NU$28,$NN$28/$NT$28)),0)</f>
        <v/>
      </c>
      <c r="AX28" s="228">
        <f>IF(AND(46&gt;=$NR$28,46&lt;=$NS$28),IF($NP$28="Single_Point",IF(46=$NR$28,$NN$28,0),IF($NP$28="Bell_Curve",$NN$28*(46-$NR$28+1)*($NS$28-46+1)/$NU$28,$NN$28/$NT$28)),0)</f>
        <v/>
      </c>
      <c r="AY28" s="228">
        <f>IF(AND(47&gt;=$NR$28,47&lt;=$NS$28),IF($NP$28="Single_Point",IF(47=$NR$28,$NN$28,0),IF($NP$28="Bell_Curve",$NN$28*(47-$NR$28+1)*($NS$28-47+1)/$NU$28,$NN$28/$NT$28)),0)</f>
        <v/>
      </c>
      <c r="AZ28" s="228">
        <f>IF(AND(48&gt;=$NR$28,48&lt;=$NS$28),IF($NP$28="Single_Point",IF(48=$NR$28,$NN$28,0),IF($NP$28="Bell_Curve",$NN$28*(48-$NR$28+1)*($NS$28-48+1)/$NU$28,$NN$28/$NT$28)),0)</f>
        <v/>
      </c>
      <c r="BA28" s="228">
        <f>IF(AND(49&gt;=$NR$28,49&lt;=$NS$28),IF($NP$28="Single_Point",IF(49=$NR$28,$NN$28,0),IF($NP$28="Bell_Curve",$NN$28*(49-$NR$28+1)*($NS$28-49+1)/$NU$28,$NN$28/$NT$28)),0)</f>
        <v/>
      </c>
      <c r="BB28" s="228">
        <f>IF(AND(50&gt;=$NR$28,50&lt;=$NS$28),IF($NP$28="Single_Point",IF(50=$NR$28,$NN$28,0),IF($NP$28="Bell_Curve",$NN$28*(50-$NR$28+1)*($NS$28-50+1)/$NU$28,$NN$28/$NT$28)),0)</f>
        <v/>
      </c>
      <c r="BC28" s="228">
        <f>IF(AND(51&gt;=$NR$28,51&lt;=$NS$28),IF($NP$28="Single_Point",IF(51=$NR$28,$NN$28,0),IF($NP$28="Bell_Curve",$NN$28*(51-$NR$28+1)*($NS$28-51+1)/$NU$28,$NN$28/$NT$28)),0)</f>
        <v/>
      </c>
      <c r="BD28" s="228">
        <f>IF(AND(52&gt;=$NR$28,52&lt;=$NS$28),IF($NP$28="Single_Point",IF(52=$NR$28,$NN$28,0),IF($NP$28="Bell_Curve",$NN$28*(52-$NR$28+1)*($NS$28-52+1)/$NU$28,$NN$28/$NT$28)),0)</f>
        <v/>
      </c>
      <c r="BE28" s="228">
        <f>IF(AND(53&gt;=$NR$28,53&lt;=$NS$28),IF($NP$28="Single_Point",IF(53=$NR$28,$NN$28,0),IF($NP$28="Bell_Curve",$NN$28*(53-$NR$28+1)*($NS$28-53+1)/$NU$28,$NN$28/$NT$28)),0)</f>
        <v/>
      </c>
      <c r="BF28" s="228">
        <f>IF(AND(54&gt;=$NR$28,54&lt;=$NS$28),IF($NP$28="Single_Point",IF(54=$NR$28,$NN$28,0),IF($NP$28="Bell_Curve",$NN$28*(54-$NR$28+1)*($NS$28-54+1)/$NU$28,$NN$28/$NT$28)),0)</f>
        <v/>
      </c>
      <c r="BG28" s="228">
        <f>IF(AND(55&gt;=$NR$28,55&lt;=$NS$28),IF($NP$28="Single_Point",IF(55=$NR$28,$NN$28,0),IF($NP$28="Bell_Curve",$NN$28*(55-$NR$28+1)*($NS$28-55+1)/$NU$28,$NN$28/$NT$28)),0)</f>
        <v/>
      </c>
      <c r="BH28" s="228">
        <f>IF(AND(56&gt;=$NR$28,56&lt;=$NS$28),IF($NP$28="Single_Point",IF(56=$NR$28,$NN$28,0),IF($NP$28="Bell_Curve",$NN$28*(56-$NR$28+1)*($NS$28-56+1)/$NU$28,$NN$28/$NT$28)),0)</f>
        <v/>
      </c>
      <c r="BI28" s="228">
        <f>IF(AND(57&gt;=$NR$28,57&lt;=$NS$28),IF($NP$28="Single_Point",IF(57=$NR$28,$NN$28,0),IF($NP$28="Bell_Curve",$NN$28*(57-$NR$28+1)*($NS$28-57+1)/$NU$28,$NN$28/$NT$28)),0)</f>
        <v/>
      </c>
      <c r="BJ28" s="228">
        <f>IF(AND(58&gt;=$NR$28,58&lt;=$NS$28),IF($NP$28="Single_Point",IF(58=$NR$28,$NN$28,0),IF($NP$28="Bell_Curve",$NN$28*(58-$NR$28+1)*($NS$28-58+1)/$NU$28,$NN$28/$NT$28)),0)</f>
        <v/>
      </c>
      <c r="BK28" s="228">
        <f>IF(AND(59&gt;=$NR$28,59&lt;=$NS$28),IF($NP$28="Single_Point",IF(59=$NR$28,$NN$28,0),IF($NP$28="Bell_Curve",$NN$28*(59-$NR$28+1)*($NS$28-59+1)/$NU$28,$NN$28/$NT$28)),0)</f>
        <v/>
      </c>
      <c r="BL28" s="228">
        <f>IF(AND(60&gt;=$NR$28,60&lt;=$NS$28),IF($NP$28="Single_Point",IF(60=$NR$28,$NN$28,0),IF($NP$28="Bell_Curve",$NN$28*(60-$NR$28+1)*($NS$28-60+1)/$NU$28,$NN$28/$NT$28)),0)</f>
        <v/>
      </c>
      <c r="BM28" s="228">
        <f>IF(AND(61&gt;=$NR$28,61&lt;=$NS$28),IF($NP$28="Single_Point",IF(61=$NR$28,$NN$28,0),IF($NP$28="Bell_Curve",$NN$28*(61-$NR$28+1)*($NS$28-61+1)/$NU$28,$NN$28/$NT$28)),0)</f>
        <v/>
      </c>
      <c r="BN28" s="228">
        <f>IF(AND(62&gt;=$NR$28,62&lt;=$NS$28),IF($NP$28="Single_Point",IF(62=$NR$28,$NN$28,0),IF($NP$28="Bell_Curve",$NN$28*(62-$NR$28+1)*($NS$28-62+1)/$NU$28,$NN$28/$NT$28)),0)</f>
        <v/>
      </c>
      <c r="BO28" s="228">
        <f>IF(AND(63&gt;=$NR$28,63&lt;=$NS$28),IF($NP$28="Single_Point",IF(63=$NR$28,$NN$28,0),IF($NP$28="Bell_Curve",$NN$28*(63-$NR$28+1)*($NS$28-63+1)/$NU$28,$NN$28/$NT$28)),0)</f>
        <v/>
      </c>
      <c r="BP28" s="228">
        <f>IF(AND(64&gt;=$NR$28,64&lt;=$NS$28),IF($NP$28="Single_Point",IF(64=$NR$28,$NN$28,0),IF($NP$28="Bell_Curve",$NN$28*(64-$NR$28+1)*($NS$28-64+1)/$NU$28,$NN$28/$NT$28)),0)</f>
        <v/>
      </c>
      <c r="BQ28" s="228">
        <f>IF(AND(65&gt;=$NR$28,65&lt;=$NS$28),IF($NP$28="Single_Point",IF(65=$NR$28,$NN$28,0),IF($NP$28="Bell_Curve",$NN$28*(65-$NR$28+1)*($NS$28-65+1)/$NU$28,$NN$28/$NT$28)),0)</f>
        <v/>
      </c>
      <c r="BR28" s="228">
        <f>IF(AND(66&gt;=$NR$28,66&lt;=$NS$28),IF($NP$28="Single_Point",IF(66=$NR$28,$NN$28,0),IF($NP$28="Bell_Curve",$NN$28*(66-$NR$28+1)*($NS$28-66+1)/$NU$28,$NN$28/$NT$28)),0)</f>
        <v/>
      </c>
      <c r="BS28" s="228">
        <f>IF(AND(67&gt;=$NR$28,67&lt;=$NS$28),IF($NP$28="Single_Point",IF(67=$NR$28,$NN$28,0),IF($NP$28="Bell_Curve",$NN$28*(67-$NR$28+1)*($NS$28-67+1)/$NU$28,$NN$28/$NT$28)),0)</f>
        <v/>
      </c>
      <c r="BT28" s="228">
        <f>IF(AND(68&gt;=$NR$28,68&lt;=$NS$28),IF($NP$28="Single_Point",IF(68=$NR$28,$NN$28,0),IF($NP$28="Bell_Curve",$NN$28*(68-$NR$28+1)*($NS$28-68+1)/$NU$28,$NN$28/$NT$28)),0)</f>
        <v/>
      </c>
      <c r="BU28" s="228">
        <f>IF(AND(69&gt;=$NR$28,69&lt;=$NS$28),IF($NP$28="Single_Point",IF(69=$NR$28,$NN$28,0),IF($NP$28="Bell_Curve",$NN$28*(69-$NR$28+1)*($NS$28-69+1)/$NU$28,$NN$28/$NT$28)),0)</f>
        <v/>
      </c>
      <c r="BV28" s="228">
        <f>IF(AND(70&gt;=$NR$28,70&lt;=$NS$28),IF($NP$28="Single_Point",IF(70=$NR$28,$NN$28,0),IF($NP$28="Bell_Curve",$NN$28*(70-$NR$28+1)*($NS$28-70+1)/$NU$28,$NN$28/$NT$28)),0)</f>
        <v/>
      </c>
      <c r="BW28" s="228">
        <f>IF(AND(71&gt;=$NR$28,71&lt;=$NS$28),IF($NP$28="Single_Point",IF(71=$NR$28,$NN$28,0),IF($NP$28="Bell_Curve",$NN$28*(71-$NR$28+1)*($NS$28-71+1)/$NU$28,$NN$28/$NT$28)),0)</f>
        <v/>
      </c>
      <c r="BX28" s="228">
        <f>IF(AND(72&gt;=$NR$28,72&lt;=$NS$28),IF($NP$28="Single_Point",IF(72=$NR$28,$NN$28,0),IF($NP$28="Bell_Curve",$NN$28*(72-$NR$28+1)*($NS$28-72+1)/$NU$28,$NN$28/$NT$28)),0)</f>
        <v/>
      </c>
      <c r="BY28" s="228">
        <f>IF(AND(73&gt;=$NR$28,73&lt;=$NS$28),IF($NP$28="Single_Point",IF(73=$NR$28,$NN$28,0),IF($NP$28="Bell_Curve",$NN$28*(73-$NR$28+1)*($NS$28-73+1)/$NU$28,$NN$28/$NT$28)),0)</f>
        <v/>
      </c>
      <c r="BZ28" s="228">
        <f>IF(AND(74&gt;=$NR$28,74&lt;=$NS$28),IF($NP$28="Single_Point",IF(74=$NR$28,$NN$28,0),IF($NP$28="Bell_Curve",$NN$28*(74-$NR$28+1)*($NS$28-74+1)/$NU$28,$NN$28/$NT$28)),0)</f>
        <v/>
      </c>
      <c r="CA28" s="228">
        <f>IF(AND(75&gt;=$NR$28,75&lt;=$NS$28),IF($NP$28="Single_Point",IF(75=$NR$28,$NN$28,0),IF($NP$28="Bell_Curve",$NN$28*(75-$NR$28+1)*($NS$28-75+1)/$NU$28,$NN$28/$NT$28)),0)</f>
        <v/>
      </c>
      <c r="CB28" s="228">
        <f>IF(AND(76&gt;=$NR$28,76&lt;=$NS$28),IF($NP$28="Single_Point",IF(76=$NR$28,$NN$28,0),IF($NP$28="Bell_Curve",$NN$28*(76-$NR$28+1)*($NS$28-76+1)/$NU$28,$NN$28/$NT$28)),0)</f>
        <v/>
      </c>
      <c r="CC28" s="228">
        <f>IF(AND(77&gt;=$NR$28,77&lt;=$NS$28),IF($NP$28="Single_Point",IF(77=$NR$28,$NN$28,0),IF($NP$28="Bell_Curve",$NN$28*(77-$NR$28+1)*($NS$28-77+1)/$NU$28,$NN$28/$NT$28)),0)</f>
        <v/>
      </c>
      <c r="CD28" s="228">
        <f>IF(AND(78&gt;=$NR$28,78&lt;=$NS$28),IF($NP$28="Single_Point",IF(78=$NR$28,$NN$28,0),IF($NP$28="Bell_Curve",$NN$28*(78-$NR$28+1)*($NS$28-78+1)/$NU$28,$NN$28/$NT$28)),0)</f>
        <v/>
      </c>
      <c r="CE28" s="228">
        <f>IF(AND(79&gt;=$NR$28,79&lt;=$NS$28),IF($NP$28="Single_Point",IF(79=$NR$28,$NN$28,0),IF($NP$28="Bell_Curve",$NN$28*(79-$NR$28+1)*($NS$28-79+1)/$NU$28,$NN$28/$NT$28)),0)</f>
        <v/>
      </c>
      <c r="CF28" s="228">
        <f>IF(AND(80&gt;=$NR$28,80&lt;=$NS$28),IF($NP$28="Single_Point",IF(80=$NR$28,$NN$28,0),IF($NP$28="Bell_Curve",$NN$28*(80-$NR$28+1)*($NS$28-80+1)/$NU$28,$NN$28/$NT$28)),0)</f>
        <v/>
      </c>
      <c r="CG28" s="228">
        <f>IF(AND(81&gt;=$NR$28,81&lt;=$NS$28),IF($NP$28="Single_Point",IF(81=$NR$28,$NN$28,0),IF($NP$28="Bell_Curve",$NN$28*(81-$NR$28+1)*($NS$28-81+1)/$NU$28,$NN$28/$NT$28)),0)</f>
        <v/>
      </c>
      <c r="CH28" s="228">
        <f>IF(AND(82&gt;=$NR$28,82&lt;=$NS$28),IF($NP$28="Single_Point",IF(82=$NR$28,$NN$28,0),IF($NP$28="Bell_Curve",$NN$28*(82-$NR$28+1)*($NS$28-82+1)/$NU$28,$NN$28/$NT$28)),0)</f>
        <v/>
      </c>
      <c r="CI28" s="228">
        <f>IF(AND(83&gt;=$NR$28,83&lt;=$NS$28),IF($NP$28="Single_Point",IF(83=$NR$28,$NN$28,0),IF($NP$28="Bell_Curve",$NN$28*(83-$NR$28+1)*($NS$28-83+1)/$NU$28,$NN$28/$NT$28)),0)</f>
        <v/>
      </c>
      <c r="CJ28" s="228">
        <f>IF(AND(84&gt;=$NR$28,84&lt;=$NS$28),IF($NP$28="Single_Point",IF(84=$NR$28,$NN$28,0),IF($NP$28="Bell_Curve",$NN$28*(84-$NR$28+1)*($NS$28-84+1)/$NU$28,$NN$28/$NT$28)),0)</f>
        <v/>
      </c>
      <c r="CK28" s="228">
        <f>IF(AND(85&gt;=$NR$28,85&lt;=$NS$28),IF($NP$28="Single_Point",IF(85=$NR$28,$NN$28,0),IF($NP$28="Bell_Curve",$NN$28*(85-$NR$28+1)*($NS$28-85+1)/$NU$28,$NN$28/$NT$28)),0)</f>
        <v/>
      </c>
      <c r="CL28" s="228">
        <f>IF(AND(86&gt;=$NR$28,86&lt;=$NS$28),IF($NP$28="Single_Point",IF(86=$NR$28,$NN$28,0),IF($NP$28="Bell_Curve",$NN$28*(86-$NR$28+1)*($NS$28-86+1)/$NU$28,$NN$28/$NT$28)),0)</f>
        <v/>
      </c>
      <c r="CM28" s="228">
        <f>IF(AND(87&gt;=$NR$28,87&lt;=$NS$28),IF($NP$28="Single_Point",IF(87=$NR$28,$NN$28,0),IF($NP$28="Bell_Curve",$NN$28*(87-$NR$28+1)*($NS$28-87+1)/$NU$28,$NN$28/$NT$28)),0)</f>
        <v/>
      </c>
      <c r="CN28" s="228">
        <f>IF(AND(88&gt;=$NR$28,88&lt;=$NS$28),IF($NP$28="Single_Point",IF(88=$NR$28,$NN$28,0),IF($NP$28="Bell_Curve",$NN$28*(88-$NR$28+1)*($NS$28-88+1)/$NU$28,$NN$28/$NT$28)),0)</f>
        <v/>
      </c>
      <c r="CO28" s="228">
        <f>IF(AND(89&gt;=$NR$28,89&lt;=$NS$28),IF($NP$28="Single_Point",IF(89=$NR$28,$NN$28,0),IF($NP$28="Bell_Curve",$NN$28*(89-$NR$28+1)*($NS$28-89+1)/$NU$28,$NN$28/$NT$28)),0)</f>
        <v/>
      </c>
      <c r="CP28" s="228">
        <f>IF(AND(90&gt;=$NR$28,90&lt;=$NS$28),IF($NP$28="Single_Point",IF(90=$NR$28,$NN$28,0),IF($NP$28="Bell_Curve",$NN$28*(90-$NR$28+1)*($NS$28-90+1)/$NU$28,$NN$28/$NT$28)),0)</f>
        <v/>
      </c>
      <c r="CQ28" s="228">
        <f>IF(AND(91&gt;=$NR$28,91&lt;=$NS$28),IF($NP$28="Single_Point",IF(91=$NR$28,$NN$28,0),IF($NP$28="Bell_Curve",$NN$28*(91-$NR$28+1)*($NS$28-91+1)/$NU$28,$NN$28/$NT$28)),0)</f>
        <v/>
      </c>
      <c r="CR28" s="228">
        <f>IF(AND(92&gt;=$NR$28,92&lt;=$NS$28),IF($NP$28="Single_Point",IF(92=$NR$28,$NN$28,0),IF($NP$28="Bell_Curve",$NN$28*(92-$NR$28+1)*($NS$28-92+1)/$NU$28,$NN$28/$NT$28)),0)</f>
        <v/>
      </c>
      <c r="CS28" s="228">
        <f>IF(AND(93&gt;=$NR$28,93&lt;=$NS$28),IF($NP$28="Single_Point",IF(93=$NR$28,$NN$28,0),IF($NP$28="Bell_Curve",$NN$28*(93-$NR$28+1)*($NS$28-93+1)/$NU$28,$NN$28/$NT$28)),0)</f>
        <v/>
      </c>
      <c r="CT28" s="228">
        <f>IF(AND(94&gt;=$NR$28,94&lt;=$NS$28),IF($NP$28="Single_Point",IF(94=$NR$28,$NN$28,0),IF($NP$28="Bell_Curve",$NN$28*(94-$NR$28+1)*($NS$28-94+1)/$NU$28,$NN$28/$NT$28)),0)</f>
        <v/>
      </c>
      <c r="CU28" s="228">
        <f>IF(AND(95&gt;=$NR$28,95&lt;=$NS$28),IF($NP$28="Single_Point",IF(95=$NR$28,$NN$28,0),IF($NP$28="Bell_Curve",$NN$28*(95-$NR$28+1)*($NS$28-95+1)/$NU$28,$NN$28/$NT$28)),0)</f>
        <v/>
      </c>
      <c r="CV28" s="228">
        <f>IF(AND(96&gt;=$NR$28,96&lt;=$NS$28),IF($NP$28="Single_Point",IF(96=$NR$28,$NN$28,0),IF($NP$28="Bell_Curve",$NN$28*(96-$NR$28+1)*($NS$28-96+1)/$NU$28,$NN$28/$NT$28)),0)</f>
        <v/>
      </c>
      <c r="CW28" s="228">
        <f>IF(AND(97&gt;=$NR$28,97&lt;=$NS$28),IF($NP$28="Single_Point",IF(97=$NR$28,$NN$28,0),IF($NP$28="Bell_Curve",$NN$28*(97-$NR$28+1)*($NS$28-97+1)/$NU$28,$NN$28/$NT$28)),0)</f>
        <v/>
      </c>
      <c r="CX28" s="228">
        <f>IF(AND(98&gt;=$NR$28,98&lt;=$NS$28),IF($NP$28="Single_Point",IF(98=$NR$28,$NN$28,0),IF($NP$28="Bell_Curve",$NN$28*(98-$NR$28+1)*($NS$28-98+1)/$NU$28,$NN$28/$NT$28)),0)</f>
        <v/>
      </c>
      <c r="CY28" s="228">
        <f>IF(AND(99&gt;=$NR$28,99&lt;=$NS$28),IF($NP$28="Single_Point",IF(99=$NR$28,$NN$28,0),IF($NP$28="Bell_Curve",$NN$28*(99-$NR$28+1)*($NS$28-99+1)/$NU$28,$NN$28/$NT$28)),0)</f>
        <v/>
      </c>
      <c r="CZ28" s="228">
        <f>IF(AND(100&gt;=$NR$28,100&lt;=$NS$28),IF($NP$28="Single_Point",IF(100=$NR$28,$NN$28,0),IF($NP$28="Bell_Curve",$NN$28*(100-$NR$28+1)*($NS$28-100+1)/$NU$28,$NN$28/$NT$28)),0)</f>
        <v/>
      </c>
      <c r="DA28" s="228">
        <f>IF(AND(101&gt;=$NR$28,101&lt;=$NS$28),IF($NP$28="Single_Point",IF(101=$NR$28,$NN$28,0),IF($NP$28="Bell_Curve",$NN$28*(101-$NR$28+1)*($NS$28-101+1)/$NU$28,$NN$28/$NT$28)),0)</f>
        <v/>
      </c>
      <c r="DB28" s="228">
        <f>IF(AND(102&gt;=$NR$28,102&lt;=$NS$28),IF($NP$28="Single_Point",IF(102=$NR$28,$NN$28,0),IF($NP$28="Bell_Curve",$NN$28*(102-$NR$28+1)*($NS$28-102+1)/$NU$28,$NN$28/$NT$28)),0)</f>
        <v/>
      </c>
      <c r="DC28" s="228">
        <f>IF(AND(103&gt;=$NR$28,103&lt;=$NS$28),IF($NP$28="Single_Point",IF(103=$NR$28,$NN$28,0),IF($NP$28="Bell_Curve",$NN$28*(103-$NR$28+1)*($NS$28-103+1)/$NU$28,$NN$28/$NT$28)),0)</f>
        <v/>
      </c>
      <c r="DD28" s="228">
        <f>IF(AND(104&gt;=$NR$28,104&lt;=$NS$28),IF($NP$28="Single_Point",IF(104=$NR$28,$NN$28,0),IF($NP$28="Bell_Curve",$NN$28*(104-$NR$28+1)*($NS$28-104+1)/$NU$28,$NN$28/$NT$28)),0)</f>
        <v/>
      </c>
      <c r="DE28" s="228">
        <f>IF(AND(105&gt;=$NR$28,105&lt;=$NS$28),IF($NP$28="Single_Point",IF(105=$NR$28,$NN$28,0),IF($NP$28="Bell_Curve",$NN$28*(105-$NR$28+1)*($NS$28-105+1)/$NU$28,$NN$28/$NT$28)),0)</f>
        <v/>
      </c>
      <c r="DF28" s="228">
        <f>IF(AND(106&gt;=$NR$28,106&lt;=$NS$28),IF($NP$28="Single_Point",IF(106=$NR$28,$NN$28,0),IF($NP$28="Bell_Curve",$NN$28*(106-$NR$28+1)*($NS$28-106+1)/$NU$28,$NN$28/$NT$28)),0)</f>
        <v/>
      </c>
      <c r="DG28" s="228">
        <f>IF(AND(107&gt;=$NR$28,107&lt;=$NS$28),IF($NP$28="Single_Point",IF(107=$NR$28,$NN$28,0),IF($NP$28="Bell_Curve",$NN$28*(107-$NR$28+1)*($NS$28-107+1)/$NU$28,$NN$28/$NT$28)),0)</f>
        <v/>
      </c>
      <c r="DH28" s="228">
        <f>IF(AND(108&gt;=$NR$28,108&lt;=$NS$28),IF($NP$28="Single_Point",IF(108=$NR$28,$NN$28,0),IF($NP$28="Bell_Curve",$NN$28*(108-$NR$28+1)*($NS$28-108+1)/$NU$28,$NN$28/$NT$28)),0)</f>
        <v/>
      </c>
      <c r="DI28" s="228">
        <f>IF(AND(109&gt;=$NR$28,109&lt;=$NS$28),IF($NP$28="Single_Point",IF(109=$NR$28,$NN$28,0),IF($NP$28="Bell_Curve",$NN$28*(109-$NR$28+1)*($NS$28-109+1)/$NU$28,$NN$28/$NT$28)),0)</f>
        <v/>
      </c>
      <c r="DJ28" s="228">
        <f>IF(AND(110&gt;=$NR$28,110&lt;=$NS$28),IF($NP$28="Single_Point",IF(110=$NR$28,$NN$28,0),IF($NP$28="Bell_Curve",$NN$28*(110-$NR$28+1)*($NS$28-110+1)/$NU$28,$NN$28/$NT$28)),0)</f>
        <v/>
      </c>
      <c r="DK28" s="228">
        <f>IF(AND(111&gt;=$NR$28,111&lt;=$NS$28),IF($NP$28="Single_Point",IF(111=$NR$28,$NN$28,0),IF($NP$28="Bell_Curve",$NN$28*(111-$NR$28+1)*($NS$28-111+1)/$NU$28,$NN$28/$NT$28)),0)</f>
        <v/>
      </c>
      <c r="DL28" s="228">
        <f>IF(AND(112&gt;=$NR$28,112&lt;=$NS$28),IF($NP$28="Single_Point",IF(112=$NR$28,$NN$28,0),IF($NP$28="Bell_Curve",$NN$28*(112-$NR$28+1)*($NS$28-112+1)/$NU$28,$NN$28/$NT$28)),0)</f>
        <v/>
      </c>
      <c r="DM28" s="228">
        <f>IF(AND(113&gt;=$NR$28,113&lt;=$NS$28),IF($NP$28="Single_Point",IF(113=$NR$28,$NN$28,0),IF($NP$28="Bell_Curve",$NN$28*(113-$NR$28+1)*($NS$28-113+1)/$NU$28,$NN$28/$NT$28)),0)</f>
        <v/>
      </c>
      <c r="DN28" s="228">
        <f>IF(AND(114&gt;=$NR$28,114&lt;=$NS$28),IF($NP$28="Single_Point",IF(114=$NR$28,$NN$28,0),IF($NP$28="Bell_Curve",$NN$28*(114-$NR$28+1)*($NS$28-114+1)/$NU$28,$NN$28/$NT$28)),0)</f>
        <v/>
      </c>
      <c r="DO28" s="228">
        <f>IF(AND(115&gt;=$NR$28,115&lt;=$NS$28),IF($NP$28="Single_Point",IF(115=$NR$28,$NN$28,0),IF($NP$28="Bell_Curve",$NN$28*(115-$NR$28+1)*($NS$28-115+1)/$NU$28,$NN$28/$NT$28)),0)</f>
        <v/>
      </c>
      <c r="DP28" s="228">
        <f>IF(AND(116&gt;=$NR$28,116&lt;=$NS$28),IF($NP$28="Single_Point",IF(116=$NR$28,$NN$28,0),IF($NP$28="Bell_Curve",$NN$28*(116-$NR$28+1)*($NS$28-116+1)/$NU$28,$NN$28/$NT$28)),0)</f>
        <v/>
      </c>
      <c r="DQ28" s="228">
        <f>IF(AND(117&gt;=$NR$28,117&lt;=$NS$28),IF($NP$28="Single_Point",IF(117=$NR$28,$NN$28,0),IF($NP$28="Bell_Curve",$NN$28*(117-$NR$28+1)*($NS$28-117+1)/$NU$28,$NN$28/$NT$28)),0)</f>
        <v/>
      </c>
      <c r="DR28" s="228">
        <f>IF(AND(118&gt;=$NR$28,118&lt;=$NS$28),IF($NP$28="Single_Point",IF(118=$NR$28,$NN$28,0),IF($NP$28="Bell_Curve",$NN$28*(118-$NR$28+1)*($NS$28-118+1)/$NU$28,$NN$28/$NT$28)),0)</f>
        <v/>
      </c>
      <c r="DS28" s="228">
        <f>IF(AND(119&gt;=$NR$28,119&lt;=$NS$28),IF($NP$28="Single_Point",IF(119=$NR$28,$NN$28,0),IF($NP$28="Bell_Curve",$NN$28*(119-$NR$28+1)*($NS$28-119+1)/$NU$28,$NN$28/$NT$28)),0)</f>
        <v/>
      </c>
      <c r="DT28" s="228">
        <f>IF(AND(120&gt;=$NR$28,120&lt;=$NS$28),IF($NP$28="Single_Point",IF(120=$NR$28,$NN$28,0),IF($NP$28="Bell_Curve",$NN$28*(120-$NR$28+1)*($NS$28-120+1)/$NU$28,$NN$28/$NT$28)),0)</f>
        <v/>
      </c>
      <c r="DU28" s="228">
        <f>IF(AND(121&gt;=$NR$28,121&lt;=$NS$28),IF($NP$28="Single_Point",IF(121=$NR$28,$NN$28,0),IF($NP$28="Bell_Curve",$NN$28*(121-$NR$28+1)*($NS$28-121+1)/$NU$28,$NN$28/$NT$28)),0)</f>
        <v/>
      </c>
      <c r="DV28" s="228">
        <f>IF(AND(122&gt;=$NR$28,122&lt;=$NS$28),IF($NP$28="Single_Point",IF(122=$NR$28,$NN$28,0),IF($NP$28="Bell_Curve",$NN$28*(122-$NR$28+1)*($NS$28-122+1)/$NU$28,$NN$28/$NT$28)),0)</f>
        <v/>
      </c>
      <c r="DW28" s="228">
        <f>IF(AND(123&gt;=$NR$28,123&lt;=$NS$28),IF($NP$28="Single_Point",IF(123=$NR$28,$NN$28,0),IF($NP$28="Bell_Curve",$NN$28*(123-$NR$28+1)*($NS$28-123+1)/$NU$28,$NN$28/$NT$28)),0)</f>
        <v/>
      </c>
      <c r="DX28" s="228">
        <f>IF(AND(124&gt;=$NR$28,124&lt;=$NS$28),IF($NP$28="Single_Point",IF(124=$NR$28,$NN$28,0),IF($NP$28="Bell_Curve",$NN$28*(124-$NR$28+1)*($NS$28-124+1)/$NU$28,$NN$28/$NT$28)),0)</f>
        <v/>
      </c>
      <c r="DY28" s="228">
        <f>IF(AND(125&gt;=$NR$28,125&lt;=$NS$28),IF($NP$28="Single_Point",IF(125=$NR$28,$NN$28,0),IF($NP$28="Bell_Curve",$NN$28*(125-$NR$28+1)*($NS$28-125+1)/$NU$28,$NN$28/$NT$28)),0)</f>
        <v/>
      </c>
      <c r="DZ28" s="228">
        <f>IF(AND(126&gt;=$NR$28,126&lt;=$NS$28),IF($NP$28="Single_Point",IF(126=$NR$28,$NN$28,0),IF($NP$28="Bell_Curve",$NN$28*(126-$NR$28+1)*($NS$28-126+1)/$NU$28,$NN$28/$NT$28)),0)</f>
        <v/>
      </c>
      <c r="EA28" s="228">
        <f>IF(AND(127&gt;=$NR$28,127&lt;=$NS$28),IF($NP$28="Single_Point",IF(127=$NR$28,$NN$28,0),IF($NP$28="Bell_Curve",$NN$28*(127-$NR$28+1)*($NS$28-127+1)/$NU$28,$NN$28/$NT$28)),0)</f>
        <v/>
      </c>
      <c r="EB28" s="228">
        <f>IF(AND(128&gt;=$NR$28,128&lt;=$NS$28),IF($NP$28="Single_Point",IF(128=$NR$28,$NN$28,0),IF($NP$28="Bell_Curve",$NN$28*(128-$NR$28+1)*($NS$28-128+1)/$NU$28,$NN$28/$NT$28)),0)</f>
        <v/>
      </c>
      <c r="EC28" s="228">
        <f>IF(AND(129&gt;=$NR$28,129&lt;=$NS$28),IF($NP$28="Single_Point",IF(129=$NR$28,$NN$28,0),IF($NP$28="Bell_Curve",$NN$28*(129-$NR$28+1)*($NS$28-129+1)/$NU$28,$NN$28/$NT$28)),0)</f>
        <v/>
      </c>
      <c r="ED28" s="228">
        <f>IF(AND(130&gt;=$NR$28,130&lt;=$NS$28),IF($NP$28="Single_Point",IF(130=$NR$28,$NN$28,0),IF($NP$28="Bell_Curve",$NN$28*(130-$NR$28+1)*($NS$28-130+1)/$NU$28,$NN$28/$NT$28)),0)</f>
        <v/>
      </c>
      <c r="EE28" s="228">
        <f>IF(AND(131&gt;=$NR$28,131&lt;=$NS$28),IF($NP$28="Single_Point",IF(131=$NR$28,$NN$28,0),IF($NP$28="Bell_Curve",$NN$28*(131-$NR$28+1)*($NS$28-131+1)/$NU$28,$NN$28/$NT$28)),0)</f>
        <v/>
      </c>
      <c r="EF28" s="228">
        <f>IF(AND(132&gt;=$NR$28,132&lt;=$NS$28),IF($NP$28="Single_Point",IF(132=$NR$28,$NN$28,0),IF($NP$28="Bell_Curve",$NN$28*(132-$NR$28+1)*($NS$28-132+1)/$NU$28,$NN$28/$NT$28)),0)</f>
        <v/>
      </c>
      <c r="EG28" s="228">
        <f>IF(AND(133&gt;=$NR$28,133&lt;=$NS$28),IF($NP$28="Single_Point",IF(133=$NR$28,$NN$28,0),IF($NP$28="Bell_Curve",$NN$28*(133-$NR$28+1)*($NS$28-133+1)/$NU$28,$NN$28/$NT$28)),0)</f>
        <v/>
      </c>
      <c r="EH28" s="228">
        <f>IF(AND(134&gt;=$NR$28,134&lt;=$NS$28),IF($NP$28="Single_Point",IF(134=$NR$28,$NN$28,0),IF($NP$28="Bell_Curve",$NN$28*(134-$NR$28+1)*($NS$28-134+1)/$NU$28,$NN$28/$NT$28)),0)</f>
        <v/>
      </c>
      <c r="EI28" s="228">
        <f>IF(AND(135&gt;=$NR$28,135&lt;=$NS$28),IF($NP$28="Single_Point",IF(135=$NR$28,$NN$28,0),IF($NP$28="Bell_Curve",$NN$28*(135-$NR$28+1)*($NS$28-135+1)/$NU$28,$NN$28/$NT$28)),0)</f>
        <v/>
      </c>
      <c r="EJ28" s="228">
        <f>IF(AND(136&gt;=$NR$28,136&lt;=$NS$28),IF($NP$28="Single_Point",IF(136=$NR$28,$NN$28,0),IF($NP$28="Bell_Curve",$NN$28*(136-$NR$28+1)*($NS$28-136+1)/$NU$28,$NN$28/$NT$28)),0)</f>
        <v/>
      </c>
      <c r="EK28" s="228">
        <f>IF(AND(137&gt;=$NR$28,137&lt;=$NS$28),IF($NP$28="Single_Point",IF(137=$NR$28,$NN$28,0),IF($NP$28="Bell_Curve",$NN$28*(137-$NR$28+1)*($NS$28-137+1)/$NU$28,$NN$28/$NT$28)),0)</f>
        <v/>
      </c>
      <c r="EL28" s="228">
        <f>IF(AND(138&gt;=$NR$28,138&lt;=$NS$28),IF($NP$28="Single_Point",IF(138=$NR$28,$NN$28,0),IF($NP$28="Bell_Curve",$NN$28*(138-$NR$28+1)*($NS$28-138+1)/$NU$28,$NN$28/$NT$28)),0)</f>
        <v/>
      </c>
      <c r="EM28" s="228">
        <f>IF(AND(139&gt;=$NR$28,139&lt;=$NS$28),IF($NP$28="Single_Point",IF(139=$NR$28,$NN$28,0),IF($NP$28="Bell_Curve",$NN$28*(139-$NR$28+1)*($NS$28-139+1)/$NU$28,$NN$28/$NT$28)),0)</f>
        <v/>
      </c>
      <c r="EN28" s="228">
        <f>IF(AND(140&gt;=$NR$28,140&lt;=$NS$28),IF($NP$28="Single_Point",IF(140=$NR$28,$NN$28,0),IF($NP$28="Bell_Curve",$NN$28*(140-$NR$28+1)*($NS$28-140+1)/$NU$28,$NN$28/$NT$28)),0)</f>
        <v/>
      </c>
      <c r="EO28" s="228">
        <f>IF(AND(141&gt;=$NR$28,141&lt;=$NS$28),IF($NP$28="Single_Point",IF(141=$NR$28,$NN$28,0),IF($NP$28="Bell_Curve",$NN$28*(141-$NR$28+1)*($NS$28-141+1)/$NU$28,$NN$28/$NT$28)),0)</f>
        <v/>
      </c>
      <c r="EP28" s="228">
        <f>IF(AND(142&gt;=$NR$28,142&lt;=$NS$28),IF($NP$28="Single_Point",IF(142=$NR$28,$NN$28,0),IF($NP$28="Bell_Curve",$NN$28*(142-$NR$28+1)*($NS$28-142+1)/$NU$28,$NN$28/$NT$28)),0)</f>
        <v/>
      </c>
      <c r="EQ28" s="228">
        <f>IF(AND(143&gt;=$NR$28,143&lt;=$NS$28),IF($NP$28="Single_Point",IF(143=$NR$28,$NN$28,0),IF($NP$28="Bell_Curve",$NN$28*(143-$NR$28+1)*($NS$28-143+1)/$NU$28,$NN$28/$NT$28)),0)</f>
        <v/>
      </c>
      <c r="ER28" s="228">
        <f>IF(AND(144&gt;=$NR$28,144&lt;=$NS$28),IF($NP$28="Single_Point",IF(144=$NR$28,$NN$28,0),IF($NP$28="Bell_Curve",$NN$28*(144-$NR$28+1)*($NS$28-144+1)/$NU$28,$NN$28/$NT$28)),0)</f>
        <v/>
      </c>
      <c r="ES28" s="228">
        <f>IF(AND(145&gt;=$NR$28,145&lt;=$NS$28),IF($NP$28="Single_Point",IF(145=$NR$28,$NN$28,0),IF($NP$28="Bell_Curve",$NN$28*(145-$NR$28+1)*($NS$28-145+1)/$NU$28,$NN$28/$NT$28)),0)</f>
        <v/>
      </c>
      <c r="ET28" s="228">
        <f>IF(AND(146&gt;=$NR$28,146&lt;=$NS$28),IF($NP$28="Single_Point",IF(146=$NR$28,$NN$28,0),IF($NP$28="Bell_Curve",$NN$28*(146-$NR$28+1)*($NS$28-146+1)/$NU$28,$NN$28/$NT$28)),0)</f>
        <v/>
      </c>
      <c r="EU28" s="228">
        <f>IF(AND(147&gt;=$NR$28,147&lt;=$NS$28),IF($NP$28="Single_Point",IF(147=$NR$28,$NN$28,0),IF($NP$28="Bell_Curve",$NN$28*(147-$NR$28+1)*($NS$28-147+1)/$NU$28,$NN$28/$NT$28)),0)</f>
        <v/>
      </c>
      <c r="EV28" s="228">
        <f>IF(AND(148&gt;=$NR$28,148&lt;=$NS$28),IF($NP$28="Single_Point",IF(148=$NR$28,$NN$28,0),IF($NP$28="Bell_Curve",$NN$28*(148-$NR$28+1)*($NS$28-148+1)/$NU$28,$NN$28/$NT$28)),0)</f>
        <v/>
      </c>
      <c r="EW28" s="228">
        <f>IF(AND(149&gt;=$NR$28,149&lt;=$NS$28),IF($NP$28="Single_Point",IF(149=$NR$28,$NN$28,0),IF($NP$28="Bell_Curve",$NN$28*(149-$NR$28+1)*($NS$28-149+1)/$NU$28,$NN$28/$NT$28)),0)</f>
        <v/>
      </c>
      <c r="EX28" s="228">
        <f>IF(AND(150&gt;=$NR$28,150&lt;=$NS$28),IF($NP$28="Single_Point",IF(150=$NR$28,$NN$28,0),IF($NP$28="Bell_Curve",$NN$28*(150-$NR$28+1)*($NS$28-150+1)/$NU$28,$NN$28/$NT$28)),0)</f>
        <v/>
      </c>
      <c r="EY28" s="228">
        <f>IF(AND(151&gt;=$NR$28,151&lt;=$NS$28),IF($NP$28="Single_Point",IF(151=$NR$28,$NN$28,0),IF($NP$28="Bell_Curve",$NN$28*(151-$NR$28+1)*($NS$28-151+1)/$NU$28,$NN$28/$NT$28)),0)</f>
        <v/>
      </c>
      <c r="EZ28" s="228">
        <f>IF(AND(152&gt;=$NR$28,152&lt;=$NS$28),IF($NP$28="Single_Point",IF(152=$NR$28,$NN$28,0),IF($NP$28="Bell_Curve",$NN$28*(152-$NR$28+1)*($NS$28-152+1)/$NU$28,$NN$28/$NT$28)),0)</f>
        <v/>
      </c>
      <c r="FA28" s="228">
        <f>IF(AND(153&gt;=$NR$28,153&lt;=$NS$28),IF($NP$28="Single_Point",IF(153=$NR$28,$NN$28,0),IF($NP$28="Bell_Curve",$NN$28*(153-$NR$28+1)*($NS$28-153+1)/$NU$28,$NN$28/$NT$28)),0)</f>
        <v/>
      </c>
      <c r="FB28" s="228">
        <f>IF(AND(154&gt;=$NR$28,154&lt;=$NS$28),IF($NP$28="Single_Point",IF(154=$NR$28,$NN$28,0),IF($NP$28="Bell_Curve",$NN$28*(154-$NR$28+1)*($NS$28-154+1)/$NU$28,$NN$28/$NT$28)),0)</f>
        <v/>
      </c>
      <c r="FC28" s="228">
        <f>IF(AND(155&gt;=$NR$28,155&lt;=$NS$28),IF($NP$28="Single_Point",IF(155=$NR$28,$NN$28,0),IF($NP$28="Bell_Curve",$NN$28*(155-$NR$28+1)*($NS$28-155+1)/$NU$28,$NN$28/$NT$28)),0)</f>
        <v/>
      </c>
      <c r="FD28" s="228">
        <f>IF(AND(156&gt;=$NR$28,156&lt;=$NS$28),IF($NP$28="Single_Point",IF(156=$NR$28,$NN$28,0),IF($NP$28="Bell_Curve",$NN$28*(156-$NR$28+1)*($NS$28-156+1)/$NU$28,$NN$28/$NT$28)),0)</f>
        <v/>
      </c>
      <c r="FE28" s="228">
        <f>IF(AND(157&gt;=$NR$28,157&lt;=$NS$28),IF($NP$28="Single_Point",IF(157=$NR$28,$NN$28,0),IF($NP$28="Bell_Curve",$NN$28*(157-$NR$28+1)*($NS$28-157+1)/$NU$28,$NN$28/$NT$28)),0)</f>
        <v/>
      </c>
      <c r="FF28" s="228">
        <f>IF(AND(158&gt;=$NR$28,158&lt;=$NS$28),IF($NP$28="Single_Point",IF(158=$NR$28,$NN$28,0),IF($NP$28="Bell_Curve",$NN$28*(158-$NR$28+1)*($NS$28-158+1)/$NU$28,$NN$28/$NT$28)),0)</f>
        <v/>
      </c>
      <c r="FG28" s="228">
        <f>IF(AND(159&gt;=$NR$28,159&lt;=$NS$28),IF($NP$28="Single_Point",IF(159=$NR$28,$NN$28,0),IF($NP$28="Bell_Curve",$NN$28*(159-$NR$28+1)*($NS$28-159+1)/$NU$28,$NN$28/$NT$28)),0)</f>
        <v/>
      </c>
      <c r="FH28" s="228">
        <f>IF(AND(160&gt;=$NR$28,160&lt;=$NS$28),IF($NP$28="Single_Point",IF(160=$NR$28,$NN$28,0),IF($NP$28="Bell_Curve",$NN$28*(160-$NR$28+1)*($NS$28-160+1)/$NU$28,$NN$28/$NT$28)),0)</f>
        <v/>
      </c>
      <c r="FI28" s="228">
        <f>IF(AND(161&gt;=$NR$28,161&lt;=$NS$28),IF($NP$28="Single_Point",IF(161=$NR$28,$NN$28,0),IF($NP$28="Bell_Curve",$NN$28*(161-$NR$28+1)*($NS$28-161+1)/$NU$28,$NN$28/$NT$28)),0)</f>
        <v/>
      </c>
      <c r="FJ28" s="228">
        <f>IF(AND(162&gt;=$NR$28,162&lt;=$NS$28),IF($NP$28="Single_Point",IF(162=$NR$28,$NN$28,0),IF($NP$28="Bell_Curve",$NN$28*(162-$NR$28+1)*($NS$28-162+1)/$NU$28,$NN$28/$NT$28)),0)</f>
        <v/>
      </c>
      <c r="FK28" s="228">
        <f>IF(AND(163&gt;=$NR$28,163&lt;=$NS$28),IF($NP$28="Single_Point",IF(163=$NR$28,$NN$28,0),IF($NP$28="Bell_Curve",$NN$28*(163-$NR$28+1)*($NS$28-163+1)/$NU$28,$NN$28/$NT$28)),0)</f>
        <v/>
      </c>
      <c r="FL28" s="228">
        <f>IF(AND(164&gt;=$NR$28,164&lt;=$NS$28),IF($NP$28="Single_Point",IF(164=$NR$28,$NN$28,0),IF($NP$28="Bell_Curve",$NN$28*(164-$NR$28+1)*($NS$28-164+1)/$NU$28,$NN$28/$NT$28)),0)</f>
        <v/>
      </c>
      <c r="FM28" s="228">
        <f>IF(AND(165&gt;=$NR$28,165&lt;=$NS$28),IF($NP$28="Single_Point",IF(165=$NR$28,$NN$28,0),IF($NP$28="Bell_Curve",$NN$28*(165-$NR$28+1)*($NS$28-165+1)/$NU$28,$NN$28/$NT$28)),0)</f>
        <v/>
      </c>
      <c r="FN28" s="228">
        <f>IF(AND(166&gt;=$NR$28,166&lt;=$NS$28),IF($NP$28="Single_Point",IF(166=$NR$28,$NN$28,0),IF($NP$28="Bell_Curve",$NN$28*(166-$NR$28+1)*($NS$28-166+1)/$NU$28,$NN$28/$NT$28)),0)</f>
        <v/>
      </c>
      <c r="FO28" s="228">
        <f>IF(AND(167&gt;=$NR$28,167&lt;=$NS$28),IF($NP$28="Single_Point",IF(167=$NR$28,$NN$28,0),IF($NP$28="Bell_Curve",$NN$28*(167-$NR$28+1)*($NS$28-167+1)/$NU$28,$NN$28/$NT$28)),0)</f>
        <v/>
      </c>
      <c r="FP28" s="228">
        <f>IF(AND(168&gt;=$NR$28,168&lt;=$NS$28),IF($NP$28="Single_Point",IF(168=$NR$28,$NN$28,0),IF($NP$28="Bell_Curve",$NN$28*(168-$NR$28+1)*($NS$28-168+1)/$NU$28,$NN$28/$NT$28)),0)</f>
        <v/>
      </c>
      <c r="FQ28" s="228">
        <f>IF(AND(169&gt;=$NR$28,169&lt;=$NS$28),IF($NP$28="Single_Point",IF(169=$NR$28,$NN$28,0),IF($NP$28="Bell_Curve",$NN$28*(169-$NR$28+1)*($NS$28-169+1)/$NU$28,$NN$28/$NT$28)),0)</f>
        <v/>
      </c>
      <c r="FR28" s="228">
        <f>IF(AND(170&gt;=$NR$28,170&lt;=$NS$28),IF($NP$28="Single_Point",IF(170=$NR$28,$NN$28,0),IF($NP$28="Bell_Curve",$NN$28*(170-$NR$28+1)*($NS$28-170+1)/$NU$28,$NN$28/$NT$28)),0)</f>
        <v/>
      </c>
      <c r="FS28" s="228">
        <f>IF(AND(171&gt;=$NR$28,171&lt;=$NS$28),IF($NP$28="Single_Point",IF(171=$NR$28,$NN$28,0),IF($NP$28="Bell_Curve",$NN$28*(171-$NR$28+1)*($NS$28-171+1)/$NU$28,$NN$28/$NT$28)),0)</f>
        <v/>
      </c>
      <c r="FT28" s="228">
        <f>IF(AND(172&gt;=$NR$28,172&lt;=$NS$28),IF($NP$28="Single_Point",IF(172=$NR$28,$NN$28,0),IF($NP$28="Bell_Curve",$NN$28*(172-$NR$28+1)*($NS$28-172+1)/$NU$28,$NN$28/$NT$28)),0)</f>
        <v/>
      </c>
      <c r="FU28" s="228">
        <f>IF(AND(173&gt;=$NR$28,173&lt;=$NS$28),IF($NP$28="Single_Point",IF(173=$NR$28,$NN$28,0),IF($NP$28="Bell_Curve",$NN$28*(173-$NR$28+1)*($NS$28-173+1)/$NU$28,$NN$28/$NT$28)),0)</f>
        <v/>
      </c>
      <c r="FV28" s="228">
        <f>IF(AND(174&gt;=$NR$28,174&lt;=$NS$28),IF($NP$28="Single_Point",IF(174=$NR$28,$NN$28,0),IF($NP$28="Bell_Curve",$NN$28*(174-$NR$28+1)*($NS$28-174+1)/$NU$28,$NN$28/$NT$28)),0)</f>
        <v/>
      </c>
      <c r="FW28" s="228">
        <f>IF(AND(175&gt;=$NR$28,175&lt;=$NS$28),IF($NP$28="Single_Point",IF(175=$NR$28,$NN$28,0),IF($NP$28="Bell_Curve",$NN$28*(175-$NR$28+1)*($NS$28-175+1)/$NU$28,$NN$28/$NT$28)),0)</f>
        <v/>
      </c>
      <c r="FX28" s="228">
        <f>IF(AND(176&gt;=$NR$28,176&lt;=$NS$28),IF($NP$28="Single_Point",IF(176=$NR$28,$NN$28,0),IF($NP$28="Bell_Curve",$NN$28*(176-$NR$28+1)*($NS$28-176+1)/$NU$28,$NN$28/$NT$28)),0)</f>
        <v/>
      </c>
      <c r="FY28" s="228">
        <f>IF(AND(177&gt;=$NR$28,177&lt;=$NS$28),IF($NP$28="Single_Point",IF(177=$NR$28,$NN$28,0),IF($NP$28="Bell_Curve",$NN$28*(177-$NR$28+1)*($NS$28-177+1)/$NU$28,$NN$28/$NT$28)),0)</f>
        <v/>
      </c>
      <c r="FZ28" s="228">
        <f>IF(AND(178&gt;=$NR$28,178&lt;=$NS$28),IF($NP$28="Single_Point",IF(178=$NR$28,$NN$28,0),IF($NP$28="Bell_Curve",$NN$28*(178-$NR$28+1)*($NS$28-178+1)/$NU$28,$NN$28/$NT$28)),0)</f>
        <v/>
      </c>
      <c r="GA28" s="228">
        <f>IF(AND(179&gt;=$NR$28,179&lt;=$NS$28),IF($NP$28="Single_Point",IF(179=$NR$28,$NN$28,0),IF($NP$28="Bell_Curve",$NN$28*(179-$NR$28+1)*($NS$28-179+1)/$NU$28,$NN$28/$NT$28)),0)</f>
        <v/>
      </c>
      <c r="GB28" s="228">
        <f>IF(AND(180&gt;=$NR$28,180&lt;=$NS$28),IF($NP$28="Single_Point",IF(180=$NR$28,$NN$28,0),IF($NP$28="Bell_Curve",$NN$28*(180-$NR$28+1)*($NS$28-180+1)/$NU$28,$NN$28/$NT$28)),0)</f>
        <v/>
      </c>
      <c r="GC28" s="228">
        <f>IF(AND(181&gt;=$NR$28,181&lt;=$NS$28),IF($NP$28="Single_Point",IF(181=$NR$28,$NN$28,0),IF($NP$28="Bell_Curve",$NN$28*(181-$NR$28+1)*($NS$28-181+1)/$NU$28,$NN$28/$NT$28)),0)</f>
        <v/>
      </c>
      <c r="GD28" s="228">
        <f>IF(AND(182&gt;=$NR$28,182&lt;=$NS$28),IF($NP$28="Single_Point",IF(182=$NR$28,$NN$28,0),IF($NP$28="Bell_Curve",$NN$28*(182-$NR$28+1)*($NS$28-182+1)/$NU$28,$NN$28/$NT$28)),0)</f>
        <v/>
      </c>
      <c r="GE28" s="228">
        <f>IF(AND(183&gt;=$NR$28,183&lt;=$NS$28),IF($NP$28="Single_Point",IF(183=$NR$28,$NN$28,0),IF($NP$28="Bell_Curve",$NN$28*(183-$NR$28+1)*($NS$28-183+1)/$NU$28,$NN$28/$NT$28)),0)</f>
        <v/>
      </c>
      <c r="GF28" s="228">
        <f>IF(AND(184&gt;=$NR$28,184&lt;=$NS$28),IF($NP$28="Single_Point",IF(184=$NR$28,$NN$28,0),IF($NP$28="Bell_Curve",$NN$28*(184-$NR$28+1)*($NS$28-184+1)/$NU$28,$NN$28/$NT$28)),0)</f>
        <v/>
      </c>
      <c r="GG28" s="228">
        <f>IF(AND(185&gt;=$NR$28,185&lt;=$NS$28),IF($NP$28="Single_Point",IF(185=$NR$28,$NN$28,0),IF($NP$28="Bell_Curve",$NN$28*(185-$NR$28+1)*($NS$28-185+1)/$NU$28,$NN$28/$NT$28)),0)</f>
        <v/>
      </c>
      <c r="GH28" s="228">
        <f>IF(AND(186&gt;=$NR$28,186&lt;=$NS$28),IF($NP$28="Single_Point",IF(186=$NR$28,$NN$28,0),IF($NP$28="Bell_Curve",$NN$28*(186-$NR$28+1)*($NS$28-186+1)/$NU$28,$NN$28/$NT$28)),0)</f>
        <v/>
      </c>
      <c r="GI28" s="228">
        <f>IF(AND(187&gt;=$NR$28,187&lt;=$NS$28),IF($NP$28="Single_Point",IF(187=$NR$28,$NN$28,0),IF($NP$28="Bell_Curve",$NN$28*(187-$NR$28+1)*($NS$28-187+1)/$NU$28,$NN$28/$NT$28)),0)</f>
        <v/>
      </c>
      <c r="GJ28" s="228">
        <f>IF(AND(188&gt;=$NR$28,188&lt;=$NS$28),IF($NP$28="Single_Point",IF(188=$NR$28,$NN$28,0),IF($NP$28="Bell_Curve",$NN$28*(188-$NR$28+1)*($NS$28-188+1)/$NU$28,$NN$28/$NT$28)),0)</f>
        <v/>
      </c>
      <c r="GK28" s="228">
        <f>IF(AND(189&gt;=$NR$28,189&lt;=$NS$28),IF($NP$28="Single_Point",IF(189=$NR$28,$NN$28,0),IF($NP$28="Bell_Curve",$NN$28*(189-$NR$28+1)*($NS$28-189+1)/$NU$28,$NN$28/$NT$28)),0)</f>
        <v/>
      </c>
      <c r="GL28" s="228">
        <f>IF(AND(190&gt;=$NR$28,190&lt;=$NS$28),IF($NP$28="Single_Point",IF(190=$NR$28,$NN$28,0),IF($NP$28="Bell_Curve",$NN$28*(190-$NR$28+1)*($NS$28-190+1)/$NU$28,$NN$28/$NT$28)),0)</f>
        <v/>
      </c>
      <c r="GM28" s="228">
        <f>IF(AND(191&gt;=$NR$28,191&lt;=$NS$28),IF($NP$28="Single_Point",IF(191=$NR$28,$NN$28,0),IF($NP$28="Bell_Curve",$NN$28*(191-$NR$28+1)*($NS$28-191+1)/$NU$28,$NN$28/$NT$28)),0)</f>
        <v/>
      </c>
      <c r="GN28" s="228">
        <f>IF(AND(192&gt;=$NR$28,192&lt;=$NS$28),IF($NP$28="Single_Point",IF(192=$NR$28,$NN$28,0),IF($NP$28="Bell_Curve",$NN$28*(192-$NR$28+1)*($NS$28-192+1)/$NU$28,$NN$28/$NT$28)),0)</f>
        <v/>
      </c>
      <c r="GO28" s="228">
        <f>IF(AND(193&gt;=$NR$28,193&lt;=$NS$28),IF($NP$28="Single_Point",IF(193=$NR$28,$NN$28,0),IF($NP$28="Bell_Curve",$NN$28*(193-$NR$28+1)*($NS$28-193+1)/$NU$28,$NN$28/$NT$28)),0)</f>
        <v/>
      </c>
      <c r="GP28" s="228">
        <f>IF(AND(194&gt;=$NR$28,194&lt;=$NS$28),IF($NP$28="Single_Point",IF(194=$NR$28,$NN$28,0),IF($NP$28="Bell_Curve",$NN$28*(194-$NR$28+1)*($NS$28-194+1)/$NU$28,$NN$28/$NT$28)),0)</f>
        <v/>
      </c>
      <c r="GQ28" s="228">
        <f>IF(AND(195&gt;=$NR$28,195&lt;=$NS$28),IF($NP$28="Single_Point",IF(195=$NR$28,$NN$28,0),IF($NP$28="Bell_Curve",$NN$28*(195-$NR$28+1)*($NS$28-195+1)/$NU$28,$NN$28/$NT$28)),0)</f>
        <v/>
      </c>
      <c r="GR28" s="228">
        <f>IF(AND(196&gt;=$NR$28,196&lt;=$NS$28),IF($NP$28="Single_Point",IF(196=$NR$28,$NN$28,0),IF($NP$28="Bell_Curve",$NN$28*(196-$NR$28+1)*($NS$28-196+1)/$NU$28,$NN$28/$NT$28)),0)</f>
        <v/>
      </c>
      <c r="GS28" s="228">
        <f>IF(AND(197&gt;=$NR$28,197&lt;=$NS$28),IF($NP$28="Single_Point",IF(197=$NR$28,$NN$28,0),IF($NP$28="Bell_Curve",$NN$28*(197-$NR$28+1)*($NS$28-197+1)/$NU$28,$NN$28/$NT$28)),0)</f>
        <v/>
      </c>
      <c r="GT28" s="228">
        <f>IF(AND(198&gt;=$NR$28,198&lt;=$NS$28),IF($NP$28="Single_Point",IF(198=$NR$28,$NN$28,0),IF($NP$28="Bell_Curve",$NN$28*(198-$NR$28+1)*($NS$28-198+1)/$NU$28,$NN$28/$NT$28)),0)</f>
        <v/>
      </c>
      <c r="GU28" s="228">
        <f>IF(AND(199&gt;=$NR$28,199&lt;=$NS$28),IF($NP$28="Single_Point",IF(199=$NR$28,$NN$28,0),IF($NP$28="Bell_Curve",$NN$28*(199-$NR$28+1)*($NS$28-199+1)/$NU$28,$NN$28/$NT$28)),0)</f>
        <v/>
      </c>
      <c r="GV28" s="228">
        <f>IF(AND(200&gt;=$NR$28,200&lt;=$NS$28),IF($NP$28="Single_Point",IF(200=$NR$28,$NN$28,0),IF($NP$28="Bell_Curve",$NN$28*(200-$NR$28+1)*($NS$28-200+1)/$NU$28,$NN$28/$NT$28)),0)</f>
        <v/>
      </c>
      <c r="GW28" s="228">
        <f>IF(AND(201&gt;=$NR$28,201&lt;=$NS$28),IF($NP$28="Single_Point",IF(201=$NR$28,$NN$28,0),IF($NP$28="Bell_Curve",$NN$28*(201-$NR$28+1)*($NS$28-201+1)/$NU$28,$NN$28/$NT$28)),0)</f>
        <v/>
      </c>
      <c r="GX28" s="228">
        <f>IF(AND(202&gt;=$NR$28,202&lt;=$NS$28),IF($NP$28="Single_Point",IF(202=$NR$28,$NN$28,0),IF($NP$28="Bell_Curve",$NN$28*(202-$NR$28+1)*($NS$28-202+1)/$NU$28,$NN$28/$NT$28)),0)</f>
        <v/>
      </c>
      <c r="GY28" s="228">
        <f>IF(AND(203&gt;=$NR$28,203&lt;=$NS$28),IF($NP$28="Single_Point",IF(203=$NR$28,$NN$28,0),IF($NP$28="Bell_Curve",$NN$28*(203-$NR$28+1)*($NS$28-203+1)/$NU$28,$NN$28/$NT$28)),0)</f>
        <v/>
      </c>
      <c r="GZ28" s="228">
        <f>IF(AND(204&gt;=$NR$28,204&lt;=$NS$28),IF($NP$28="Single_Point",IF(204=$NR$28,$NN$28,0),IF($NP$28="Bell_Curve",$NN$28*(204-$NR$28+1)*($NS$28-204+1)/$NU$28,$NN$28/$NT$28)),0)</f>
        <v/>
      </c>
      <c r="HA28" s="228">
        <f>IF(AND(205&gt;=$NR$28,205&lt;=$NS$28),IF($NP$28="Single_Point",IF(205=$NR$28,$NN$28,0),IF($NP$28="Bell_Curve",$NN$28*(205-$NR$28+1)*($NS$28-205+1)/$NU$28,$NN$28/$NT$28)),0)</f>
        <v/>
      </c>
      <c r="HB28" s="228">
        <f>IF(AND(206&gt;=$NR$28,206&lt;=$NS$28),IF($NP$28="Single_Point",IF(206=$NR$28,$NN$28,0),IF($NP$28="Bell_Curve",$NN$28*(206-$NR$28+1)*($NS$28-206+1)/$NU$28,$NN$28/$NT$28)),0)</f>
        <v/>
      </c>
      <c r="HC28" s="228">
        <f>IF(AND(207&gt;=$NR$28,207&lt;=$NS$28),IF($NP$28="Single_Point",IF(207=$NR$28,$NN$28,0),IF($NP$28="Bell_Curve",$NN$28*(207-$NR$28+1)*($NS$28-207+1)/$NU$28,$NN$28/$NT$28)),0)</f>
        <v/>
      </c>
      <c r="HD28" s="228">
        <f>IF(AND(208&gt;=$NR$28,208&lt;=$NS$28),IF($NP$28="Single_Point",IF(208=$NR$28,$NN$28,0),IF($NP$28="Bell_Curve",$NN$28*(208-$NR$28+1)*($NS$28-208+1)/$NU$28,$NN$28/$NT$28)),0)</f>
        <v/>
      </c>
      <c r="HE28" s="228">
        <f>IF(AND(209&gt;=$NR$28,209&lt;=$NS$28),IF($NP$28="Single_Point",IF(209=$NR$28,$NN$28,0),IF($NP$28="Bell_Curve",$NN$28*(209-$NR$28+1)*($NS$28-209+1)/$NU$28,$NN$28/$NT$28)),0)</f>
        <v/>
      </c>
      <c r="HF28" s="228">
        <f>IF(AND(210&gt;=$NR$28,210&lt;=$NS$28),IF($NP$28="Single_Point",IF(210=$NR$28,$NN$28,0),IF($NP$28="Bell_Curve",$NN$28*(210-$NR$28+1)*($NS$28-210+1)/$NU$28,$NN$28/$NT$28)),0)</f>
        <v/>
      </c>
      <c r="HG28" s="228">
        <f>IF(AND(211&gt;=$NR$28,211&lt;=$NS$28),IF($NP$28="Single_Point",IF(211=$NR$28,$NN$28,0),IF($NP$28="Bell_Curve",$NN$28*(211-$NR$28+1)*($NS$28-211+1)/$NU$28,$NN$28/$NT$28)),0)</f>
        <v/>
      </c>
      <c r="HH28" s="228">
        <f>IF(AND(212&gt;=$NR$28,212&lt;=$NS$28),IF($NP$28="Single_Point",IF(212=$NR$28,$NN$28,0),IF($NP$28="Bell_Curve",$NN$28*(212-$NR$28+1)*($NS$28-212+1)/$NU$28,$NN$28/$NT$28)),0)</f>
        <v/>
      </c>
      <c r="HI28" s="228">
        <f>IF(AND(213&gt;=$NR$28,213&lt;=$NS$28),IF($NP$28="Single_Point",IF(213=$NR$28,$NN$28,0),IF($NP$28="Bell_Curve",$NN$28*(213-$NR$28+1)*($NS$28-213+1)/$NU$28,$NN$28/$NT$28)),0)</f>
        <v/>
      </c>
      <c r="HJ28" s="228">
        <f>IF(AND(214&gt;=$NR$28,214&lt;=$NS$28),IF($NP$28="Single_Point",IF(214=$NR$28,$NN$28,0),IF($NP$28="Bell_Curve",$NN$28*(214-$NR$28+1)*($NS$28-214+1)/$NU$28,$NN$28/$NT$28)),0)</f>
        <v/>
      </c>
      <c r="HK28" s="228">
        <f>IF(AND(215&gt;=$NR$28,215&lt;=$NS$28),IF($NP$28="Single_Point",IF(215=$NR$28,$NN$28,0),IF($NP$28="Bell_Curve",$NN$28*(215-$NR$28+1)*($NS$28-215+1)/$NU$28,$NN$28/$NT$28)),0)</f>
        <v/>
      </c>
      <c r="HL28" s="228">
        <f>IF(AND(216&gt;=$NR$28,216&lt;=$NS$28),IF($NP$28="Single_Point",IF(216=$NR$28,$NN$28,0),IF($NP$28="Bell_Curve",$NN$28*(216-$NR$28+1)*($NS$28-216+1)/$NU$28,$NN$28/$NT$28)),0)</f>
        <v/>
      </c>
      <c r="HM28" s="228">
        <f>IF(AND(217&gt;=$NR$28,217&lt;=$NS$28),IF($NP$28="Single_Point",IF(217=$NR$28,$NN$28,0),IF($NP$28="Bell_Curve",$NN$28*(217-$NR$28+1)*($NS$28-217+1)/$NU$28,$NN$28/$NT$28)),0)</f>
        <v/>
      </c>
      <c r="HN28" s="228">
        <f>IF(AND(218&gt;=$NR$28,218&lt;=$NS$28),IF($NP$28="Single_Point",IF(218=$NR$28,$NN$28,0),IF($NP$28="Bell_Curve",$NN$28*(218-$NR$28+1)*($NS$28-218+1)/$NU$28,$NN$28/$NT$28)),0)</f>
        <v/>
      </c>
      <c r="HO28" s="228">
        <f>IF(AND(219&gt;=$NR$28,219&lt;=$NS$28),IF($NP$28="Single_Point",IF(219=$NR$28,$NN$28,0),IF($NP$28="Bell_Curve",$NN$28*(219-$NR$28+1)*($NS$28-219+1)/$NU$28,$NN$28/$NT$28)),0)</f>
        <v/>
      </c>
      <c r="HP28" s="228">
        <f>IF(AND(220&gt;=$NR$28,220&lt;=$NS$28),IF($NP$28="Single_Point",IF(220=$NR$28,$NN$28,0),IF($NP$28="Bell_Curve",$NN$28*(220-$NR$28+1)*($NS$28-220+1)/$NU$28,$NN$28/$NT$28)),0)</f>
        <v/>
      </c>
      <c r="HQ28" s="228">
        <f>IF(AND(221&gt;=$NR$28,221&lt;=$NS$28),IF($NP$28="Single_Point",IF(221=$NR$28,$NN$28,0),IF($NP$28="Bell_Curve",$NN$28*(221-$NR$28+1)*($NS$28-221+1)/$NU$28,$NN$28/$NT$28)),0)</f>
        <v/>
      </c>
      <c r="HR28" s="228">
        <f>IF(AND(222&gt;=$NR$28,222&lt;=$NS$28),IF($NP$28="Single_Point",IF(222=$NR$28,$NN$28,0),IF($NP$28="Bell_Curve",$NN$28*(222-$NR$28+1)*($NS$28-222+1)/$NU$28,$NN$28/$NT$28)),0)</f>
        <v/>
      </c>
      <c r="HS28" s="228">
        <f>IF(AND(223&gt;=$NR$28,223&lt;=$NS$28),IF($NP$28="Single_Point",IF(223=$NR$28,$NN$28,0),IF($NP$28="Bell_Curve",$NN$28*(223-$NR$28+1)*($NS$28-223+1)/$NU$28,$NN$28/$NT$28)),0)</f>
        <v/>
      </c>
      <c r="HT28" s="228">
        <f>IF(AND(224&gt;=$NR$28,224&lt;=$NS$28),IF($NP$28="Single_Point",IF(224=$NR$28,$NN$28,0),IF($NP$28="Bell_Curve",$NN$28*(224-$NR$28+1)*($NS$28-224+1)/$NU$28,$NN$28/$NT$28)),0)</f>
        <v/>
      </c>
      <c r="HU28" s="228">
        <f>IF(AND(225&gt;=$NR$28,225&lt;=$NS$28),IF($NP$28="Single_Point",IF(225=$NR$28,$NN$28,0),IF($NP$28="Bell_Curve",$NN$28*(225-$NR$28+1)*($NS$28-225+1)/$NU$28,$NN$28/$NT$28)),0)</f>
        <v/>
      </c>
      <c r="HV28" s="228">
        <f>IF(AND(226&gt;=$NR$28,226&lt;=$NS$28),IF($NP$28="Single_Point",IF(226=$NR$28,$NN$28,0),IF($NP$28="Bell_Curve",$NN$28*(226-$NR$28+1)*($NS$28-226+1)/$NU$28,$NN$28/$NT$28)),0)</f>
        <v/>
      </c>
      <c r="HW28" s="228">
        <f>IF(AND(227&gt;=$NR$28,227&lt;=$NS$28),IF($NP$28="Single_Point",IF(227=$NR$28,$NN$28,0),IF($NP$28="Bell_Curve",$NN$28*(227-$NR$28+1)*($NS$28-227+1)/$NU$28,$NN$28/$NT$28)),0)</f>
        <v/>
      </c>
      <c r="HX28" s="228">
        <f>IF(AND(228&gt;=$NR$28,228&lt;=$NS$28),IF($NP$28="Single_Point",IF(228=$NR$28,$NN$28,0),IF($NP$28="Bell_Curve",$NN$28*(228-$NR$28+1)*($NS$28-228+1)/$NU$28,$NN$28/$NT$28)),0)</f>
        <v/>
      </c>
      <c r="HY28" s="228">
        <f>IF(AND(229&gt;=$NR$28,229&lt;=$NS$28),IF($NP$28="Single_Point",IF(229=$NR$28,$NN$28,0),IF($NP$28="Bell_Curve",$NN$28*(229-$NR$28+1)*($NS$28-229+1)/$NU$28,$NN$28/$NT$28)),0)</f>
        <v/>
      </c>
      <c r="HZ28" s="228">
        <f>IF(AND(230&gt;=$NR$28,230&lt;=$NS$28),IF($NP$28="Single_Point",IF(230=$NR$28,$NN$28,0),IF($NP$28="Bell_Curve",$NN$28*(230-$NR$28+1)*($NS$28-230+1)/$NU$28,$NN$28/$NT$28)),0)</f>
        <v/>
      </c>
      <c r="IA28" s="228">
        <f>IF(AND(231&gt;=$NR$28,231&lt;=$NS$28),IF($NP$28="Single_Point",IF(231=$NR$28,$NN$28,0),IF($NP$28="Bell_Curve",$NN$28*(231-$NR$28+1)*($NS$28-231+1)/$NU$28,$NN$28/$NT$28)),0)</f>
        <v/>
      </c>
      <c r="IB28" s="228">
        <f>IF(AND(232&gt;=$NR$28,232&lt;=$NS$28),IF($NP$28="Single_Point",IF(232=$NR$28,$NN$28,0),IF($NP$28="Bell_Curve",$NN$28*(232-$NR$28+1)*($NS$28-232+1)/$NU$28,$NN$28/$NT$28)),0)</f>
        <v/>
      </c>
      <c r="IC28" s="228">
        <f>IF(AND(233&gt;=$NR$28,233&lt;=$NS$28),IF($NP$28="Single_Point",IF(233=$NR$28,$NN$28,0),IF($NP$28="Bell_Curve",$NN$28*(233-$NR$28+1)*($NS$28-233+1)/$NU$28,$NN$28/$NT$28)),0)</f>
        <v/>
      </c>
      <c r="ID28" s="228">
        <f>IF(AND(234&gt;=$NR$28,234&lt;=$NS$28),IF($NP$28="Single_Point",IF(234=$NR$28,$NN$28,0),IF($NP$28="Bell_Curve",$NN$28*(234-$NR$28+1)*($NS$28-234+1)/$NU$28,$NN$28/$NT$28)),0)</f>
        <v/>
      </c>
      <c r="IE28" s="228">
        <f>IF(AND(235&gt;=$NR$28,235&lt;=$NS$28),IF($NP$28="Single_Point",IF(235=$NR$28,$NN$28,0),IF($NP$28="Bell_Curve",$NN$28*(235-$NR$28+1)*($NS$28-235+1)/$NU$28,$NN$28/$NT$28)),0)</f>
        <v/>
      </c>
      <c r="IF28" s="228">
        <f>IF(AND(236&gt;=$NR$28,236&lt;=$NS$28),IF($NP$28="Single_Point",IF(236=$NR$28,$NN$28,0),IF($NP$28="Bell_Curve",$NN$28*(236-$NR$28+1)*($NS$28-236+1)/$NU$28,$NN$28/$NT$28)),0)</f>
        <v/>
      </c>
      <c r="IG28" s="228">
        <f>IF(AND(237&gt;=$NR$28,237&lt;=$NS$28),IF($NP$28="Single_Point",IF(237=$NR$28,$NN$28,0),IF($NP$28="Bell_Curve",$NN$28*(237-$NR$28+1)*($NS$28-237+1)/$NU$28,$NN$28/$NT$28)),0)</f>
        <v/>
      </c>
      <c r="IH28" s="228">
        <f>IF(AND(238&gt;=$NR$28,238&lt;=$NS$28),IF($NP$28="Single_Point",IF(238=$NR$28,$NN$28,0),IF($NP$28="Bell_Curve",$NN$28*(238-$NR$28+1)*($NS$28-238+1)/$NU$28,$NN$28/$NT$28)),0)</f>
        <v/>
      </c>
      <c r="II28" s="228">
        <f>IF(AND(239&gt;=$NR$28,239&lt;=$NS$28),IF($NP$28="Single_Point",IF(239=$NR$28,$NN$28,0),IF($NP$28="Bell_Curve",$NN$28*(239-$NR$28+1)*($NS$28-239+1)/$NU$28,$NN$28/$NT$28)),0)</f>
        <v/>
      </c>
      <c r="IJ28" s="228">
        <f>IF(AND(240&gt;=$NR$28,240&lt;=$NS$28),IF($NP$28="Single_Point",IF(240=$NR$28,$NN$28,0),IF($NP$28="Bell_Curve",$NN$28*(240-$NR$28+1)*($NS$28-240+1)/$NU$28,$NN$28/$NT$28)),0)</f>
        <v/>
      </c>
      <c r="IK28" s="228">
        <f>IF(AND(241&gt;=$NR$28,241&lt;=$NS$28),IF($NP$28="Single_Point",IF(241=$NR$28,$NN$28,0),IF($NP$28="Bell_Curve",$NN$28*(241-$NR$28+1)*($NS$28-241+1)/$NU$28,$NN$28/$NT$28)),0)</f>
        <v/>
      </c>
      <c r="IL28" s="228">
        <f>IF(AND(242&gt;=$NR$28,242&lt;=$NS$28),IF($NP$28="Single_Point",IF(242=$NR$28,$NN$28,0),IF($NP$28="Bell_Curve",$NN$28*(242-$NR$28+1)*($NS$28-242+1)/$NU$28,$NN$28/$NT$28)),0)</f>
        <v/>
      </c>
      <c r="IM28" s="228">
        <f>IF(AND(243&gt;=$NR$28,243&lt;=$NS$28),IF($NP$28="Single_Point",IF(243=$NR$28,$NN$28,0),IF($NP$28="Bell_Curve",$NN$28*(243-$NR$28+1)*($NS$28-243+1)/$NU$28,$NN$28/$NT$28)),0)</f>
        <v/>
      </c>
      <c r="IN28" s="228">
        <f>IF(AND(244&gt;=$NR$28,244&lt;=$NS$28),IF($NP$28="Single_Point",IF(244=$NR$28,$NN$28,0),IF($NP$28="Bell_Curve",$NN$28*(244-$NR$28+1)*($NS$28-244+1)/$NU$28,$NN$28/$NT$28)),0)</f>
        <v/>
      </c>
      <c r="IO28" s="228">
        <f>IF(AND(245&gt;=$NR$28,245&lt;=$NS$28),IF($NP$28="Single_Point",IF(245=$NR$28,$NN$28,0),IF($NP$28="Bell_Curve",$NN$28*(245-$NR$28+1)*($NS$28-245+1)/$NU$28,$NN$28/$NT$28)),0)</f>
        <v/>
      </c>
      <c r="IP28" s="228">
        <f>IF(AND(246&gt;=$NR$28,246&lt;=$NS$28),IF($NP$28="Single_Point",IF(246=$NR$28,$NN$28,0),IF($NP$28="Bell_Curve",$NN$28*(246-$NR$28+1)*($NS$28-246+1)/$NU$28,$NN$28/$NT$28)),0)</f>
        <v/>
      </c>
      <c r="IQ28" s="228">
        <f>IF(AND(247&gt;=$NR$28,247&lt;=$NS$28),IF($NP$28="Single_Point",IF(247=$NR$28,$NN$28,0),IF($NP$28="Bell_Curve",$NN$28*(247-$NR$28+1)*($NS$28-247+1)/$NU$28,$NN$28/$NT$28)),0)</f>
        <v/>
      </c>
      <c r="IR28" s="228">
        <f>IF(AND(248&gt;=$NR$28,248&lt;=$NS$28),IF($NP$28="Single_Point",IF(248=$NR$28,$NN$28,0),IF($NP$28="Bell_Curve",$NN$28*(248-$NR$28+1)*($NS$28-248+1)/$NU$28,$NN$28/$NT$28)),0)</f>
        <v/>
      </c>
      <c r="IS28" s="228">
        <f>IF(AND(249&gt;=$NR$28,249&lt;=$NS$28),IF($NP$28="Single_Point",IF(249=$NR$28,$NN$28,0),IF($NP$28="Bell_Curve",$NN$28*(249-$NR$28+1)*($NS$28-249+1)/$NU$28,$NN$28/$NT$28)),0)</f>
        <v/>
      </c>
      <c r="IT28" s="228">
        <f>IF(AND(250&gt;=$NR$28,250&lt;=$NS$28),IF($NP$28="Single_Point",IF(250=$NR$28,$NN$28,0),IF($NP$28="Bell_Curve",$NN$28*(250-$NR$28+1)*($NS$28-250+1)/$NU$28,$NN$28/$NT$28)),0)</f>
        <v/>
      </c>
      <c r="IU28" s="228">
        <f>IF(AND(251&gt;=$NR$28,251&lt;=$NS$28),IF($NP$28="Single_Point",IF(251=$NR$28,$NN$28,0),IF($NP$28="Bell_Curve",$NN$28*(251-$NR$28+1)*($NS$28-251+1)/$NU$28,$NN$28/$NT$28)),0)</f>
        <v/>
      </c>
      <c r="IV28" s="228">
        <f>IF(AND(252&gt;=$NR$28,252&lt;=$NS$28),IF($NP$28="Single_Point",IF(252=$NR$28,$NN$28,0),IF($NP$28="Bell_Curve",$NN$28*(252-$NR$28+1)*($NS$28-252+1)/$NU$28,$NN$28/$NT$28)),0)</f>
        <v/>
      </c>
      <c r="IW28" s="228">
        <f>IF(AND(253&gt;=$NR$28,253&lt;=$NS$28),IF($NP$28="Single_Point",IF(253=$NR$28,$NN$28,0),IF($NP$28="Bell_Curve",$NN$28*(253-$NR$28+1)*($NS$28-253+1)/$NU$28,$NN$28/$NT$28)),0)</f>
        <v/>
      </c>
      <c r="IX28" s="228">
        <f>IF(AND(254&gt;=$NR$28,254&lt;=$NS$28),IF($NP$28="Single_Point",IF(254=$NR$28,$NN$28,0),IF($NP$28="Bell_Curve",$NN$28*(254-$NR$28+1)*($NS$28-254+1)/$NU$28,$NN$28/$NT$28)),0)</f>
        <v/>
      </c>
      <c r="IY28" s="228">
        <f>IF(AND(255&gt;=$NR$28,255&lt;=$NS$28),IF($NP$28="Single_Point",IF(255=$NR$28,$NN$28,0),IF($NP$28="Bell_Curve",$NN$28*(255-$NR$28+1)*($NS$28-255+1)/$NU$28,$NN$28/$NT$28)),0)</f>
        <v/>
      </c>
      <c r="IZ28" s="228">
        <f>IF(AND(256&gt;=$NR$28,256&lt;=$NS$28),IF($NP$28="Single_Point",IF(256=$NR$28,$NN$28,0),IF($NP$28="Bell_Curve",$NN$28*(256-$NR$28+1)*($NS$28-256+1)/$NU$28,$NN$28/$NT$28)),0)</f>
        <v/>
      </c>
      <c r="JA28" s="228">
        <f>IF(AND(257&gt;=$NR$28,257&lt;=$NS$28),IF($NP$28="Single_Point",IF(257=$NR$28,$NN$28,0),IF($NP$28="Bell_Curve",$NN$28*(257-$NR$28+1)*($NS$28-257+1)/$NU$28,$NN$28/$NT$28)),0)</f>
        <v/>
      </c>
      <c r="JB28" s="228">
        <f>IF(AND(258&gt;=$NR$28,258&lt;=$NS$28),IF($NP$28="Single_Point",IF(258=$NR$28,$NN$28,0),IF($NP$28="Bell_Curve",$NN$28*(258-$NR$28+1)*($NS$28-258+1)/$NU$28,$NN$28/$NT$28)),0)</f>
        <v/>
      </c>
      <c r="JC28" s="228">
        <f>IF(AND(259&gt;=$NR$28,259&lt;=$NS$28),IF($NP$28="Single_Point",IF(259=$NR$28,$NN$28,0),IF($NP$28="Bell_Curve",$NN$28*(259-$NR$28+1)*($NS$28-259+1)/$NU$28,$NN$28/$NT$28)),0)</f>
        <v/>
      </c>
      <c r="JD28" s="228">
        <f>IF(AND(260&gt;=$NR$28,260&lt;=$NS$28),IF($NP$28="Single_Point",IF(260=$NR$28,$NN$28,0),IF($NP$28="Bell_Curve",$NN$28*(260-$NR$28+1)*($NS$28-260+1)/$NU$28,$NN$28/$NT$28)),0)</f>
        <v/>
      </c>
      <c r="JE28" s="228">
        <f>IF(AND(261&gt;=$NR$28,261&lt;=$NS$28),IF($NP$28="Single_Point",IF(261=$NR$28,$NN$28,0),IF($NP$28="Bell_Curve",$NN$28*(261-$NR$28+1)*($NS$28-261+1)/$NU$28,$NN$28/$NT$28)),0)</f>
        <v/>
      </c>
      <c r="JF28" s="228">
        <f>IF(AND(262&gt;=$NR$28,262&lt;=$NS$28),IF($NP$28="Single_Point",IF(262=$NR$28,$NN$28,0),IF($NP$28="Bell_Curve",$NN$28*(262-$NR$28+1)*($NS$28-262+1)/$NU$28,$NN$28/$NT$28)),0)</f>
        <v/>
      </c>
      <c r="JG28" s="228">
        <f>IF(AND(263&gt;=$NR$28,263&lt;=$NS$28),IF($NP$28="Single_Point",IF(263=$NR$28,$NN$28,0),IF($NP$28="Bell_Curve",$NN$28*(263-$NR$28+1)*($NS$28-263+1)/$NU$28,$NN$28/$NT$28)),0)</f>
        <v/>
      </c>
      <c r="JH28" s="228">
        <f>IF(AND(264&gt;=$NR$28,264&lt;=$NS$28),IF($NP$28="Single_Point",IF(264=$NR$28,$NN$28,0),IF($NP$28="Bell_Curve",$NN$28*(264-$NR$28+1)*($NS$28-264+1)/$NU$28,$NN$28/$NT$28)),0)</f>
        <v/>
      </c>
      <c r="JI28" s="228">
        <f>IF(AND(265&gt;=$NR$28,265&lt;=$NS$28),IF($NP$28="Single_Point",IF(265=$NR$28,$NN$28,0),IF($NP$28="Bell_Curve",$NN$28*(265-$NR$28+1)*($NS$28-265+1)/$NU$28,$NN$28/$NT$28)),0)</f>
        <v/>
      </c>
      <c r="JJ28" s="228">
        <f>IF(AND(266&gt;=$NR$28,266&lt;=$NS$28),IF($NP$28="Single_Point",IF(266=$NR$28,$NN$28,0),IF($NP$28="Bell_Curve",$NN$28*(266-$NR$28+1)*($NS$28-266+1)/$NU$28,$NN$28/$NT$28)),0)</f>
        <v/>
      </c>
      <c r="JK28" s="228">
        <f>IF(AND(267&gt;=$NR$28,267&lt;=$NS$28),IF($NP$28="Single_Point",IF(267=$NR$28,$NN$28,0),IF($NP$28="Bell_Curve",$NN$28*(267-$NR$28+1)*($NS$28-267+1)/$NU$28,$NN$28/$NT$28)),0)</f>
        <v/>
      </c>
      <c r="JL28" s="228">
        <f>IF(AND(268&gt;=$NR$28,268&lt;=$NS$28),IF($NP$28="Single_Point",IF(268=$NR$28,$NN$28,0),IF($NP$28="Bell_Curve",$NN$28*(268-$NR$28+1)*($NS$28-268+1)/$NU$28,$NN$28/$NT$28)),0)</f>
        <v/>
      </c>
      <c r="JM28" s="228">
        <f>IF(AND(269&gt;=$NR$28,269&lt;=$NS$28),IF($NP$28="Single_Point",IF(269=$NR$28,$NN$28,0),IF($NP$28="Bell_Curve",$NN$28*(269-$NR$28+1)*($NS$28-269+1)/$NU$28,$NN$28/$NT$28)),0)</f>
        <v/>
      </c>
      <c r="JN28" s="228">
        <f>IF(AND(270&gt;=$NR$28,270&lt;=$NS$28),IF($NP$28="Single_Point",IF(270=$NR$28,$NN$28,0),IF($NP$28="Bell_Curve",$NN$28*(270-$NR$28+1)*($NS$28-270+1)/$NU$28,$NN$28/$NT$28)),0)</f>
        <v/>
      </c>
      <c r="JO28" s="228">
        <f>IF(AND(271&gt;=$NR$28,271&lt;=$NS$28),IF($NP$28="Single_Point",IF(271=$NR$28,$NN$28,0),IF($NP$28="Bell_Curve",$NN$28*(271-$NR$28+1)*($NS$28-271+1)/$NU$28,$NN$28/$NT$28)),0)</f>
        <v/>
      </c>
      <c r="JP28" s="228">
        <f>IF(AND(272&gt;=$NR$28,272&lt;=$NS$28),IF($NP$28="Single_Point",IF(272=$NR$28,$NN$28,0),IF($NP$28="Bell_Curve",$NN$28*(272-$NR$28+1)*($NS$28-272+1)/$NU$28,$NN$28/$NT$28)),0)</f>
        <v/>
      </c>
      <c r="JQ28" s="228">
        <f>IF(AND(273&gt;=$NR$28,273&lt;=$NS$28),IF($NP$28="Single_Point",IF(273=$NR$28,$NN$28,0),IF($NP$28="Bell_Curve",$NN$28*(273-$NR$28+1)*($NS$28-273+1)/$NU$28,$NN$28/$NT$28)),0)</f>
        <v/>
      </c>
      <c r="JR28" s="228">
        <f>IF(AND(274&gt;=$NR$28,274&lt;=$NS$28),IF($NP$28="Single_Point",IF(274=$NR$28,$NN$28,0),IF($NP$28="Bell_Curve",$NN$28*(274-$NR$28+1)*($NS$28-274+1)/$NU$28,$NN$28/$NT$28)),0)</f>
        <v/>
      </c>
      <c r="JS28" s="228">
        <f>IF(AND(275&gt;=$NR$28,275&lt;=$NS$28),IF($NP$28="Single_Point",IF(275=$NR$28,$NN$28,0),IF($NP$28="Bell_Curve",$NN$28*(275-$NR$28+1)*($NS$28-275+1)/$NU$28,$NN$28/$NT$28)),0)</f>
        <v/>
      </c>
      <c r="JT28" s="228">
        <f>IF(AND(276&gt;=$NR$28,276&lt;=$NS$28),IF($NP$28="Single_Point",IF(276=$NR$28,$NN$28,0),IF($NP$28="Bell_Curve",$NN$28*(276-$NR$28+1)*($NS$28-276+1)/$NU$28,$NN$28/$NT$28)),0)</f>
        <v/>
      </c>
      <c r="JU28" s="228">
        <f>IF(AND(277&gt;=$NR$28,277&lt;=$NS$28),IF($NP$28="Single_Point",IF(277=$NR$28,$NN$28,0),IF($NP$28="Bell_Curve",$NN$28*(277-$NR$28+1)*($NS$28-277+1)/$NU$28,$NN$28/$NT$28)),0)</f>
        <v/>
      </c>
      <c r="JV28" s="228">
        <f>IF(AND(278&gt;=$NR$28,278&lt;=$NS$28),IF($NP$28="Single_Point",IF(278=$NR$28,$NN$28,0),IF($NP$28="Bell_Curve",$NN$28*(278-$NR$28+1)*($NS$28-278+1)/$NU$28,$NN$28/$NT$28)),0)</f>
        <v/>
      </c>
      <c r="JW28" s="228">
        <f>IF(AND(279&gt;=$NR$28,279&lt;=$NS$28),IF($NP$28="Single_Point",IF(279=$NR$28,$NN$28,0),IF($NP$28="Bell_Curve",$NN$28*(279-$NR$28+1)*($NS$28-279+1)/$NU$28,$NN$28/$NT$28)),0)</f>
        <v/>
      </c>
      <c r="JX28" s="228">
        <f>IF(AND(280&gt;=$NR$28,280&lt;=$NS$28),IF($NP$28="Single_Point",IF(280=$NR$28,$NN$28,0),IF($NP$28="Bell_Curve",$NN$28*(280-$NR$28+1)*($NS$28-280+1)/$NU$28,$NN$28/$NT$28)),0)</f>
        <v/>
      </c>
      <c r="JY28" s="228">
        <f>IF(AND(281&gt;=$NR$28,281&lt;=$NS$28),IF($NP$28="Single_Point",IF(281=$NR$28,$NN$28,0),IF($NP$28="Bell_Curve",$NN$28*(281-$NR$28+1)*($NS$28-281+1)/$NU$28,$NN$28/$NT$28)),0)</f>
        <v/>
      </c>
      <c r="JZ28" s="228">
        <f>IF(AND(282&gt;=$NR$28,282&lt;=$NS$28),IF($NP$28="Single_Point",IF(282=$NR$28,$NN$28,0),IF($NP$28="Bell_Curve",$NN$28*(282-$NR$28+1)*($NS$28-282+1)/$NU$28,$NN$28/$NT$28)),0)</f>
        <v/>
      </c>
      <c r="KA28" s="228">
        <f>IF(AND(283&gt;=$NR$28,283&lt;=$NS$28),IF($NP$28="Single_Point",IF(283=$NR$28,$NN$28,0),IF($NP$28="Bell_Curve",$NN$28*(283-$NR$28+1)*($NS$28-283+1)/$NU$28,$NN$28/$NT$28)),0)</f>
        <v/>
      </c>
      <c r="KB28" s="228">
        <f>IF(AND(284&gt;=$NR$28,284&lt;=$NS$28),IF($NP$28="Single_Point",IF(284=$NR$28,$NN$28,0),IF($NP$28="Bell_Curve",$NN$28*(284-$NR$28+1)*($NS$28-284+1)/$NU$28,$NN$28/$NT$28)),0)</f>
        <v/>
      </c>
      <c r="KC28" s="228">
        <f>IF(AND(285&gt;=$NR$28,285&lt;=$NS$28),IF($NP$28="Single_Point",IF(285=$NR$28,$NN$28,0),IF($NP$28="Bell_Curve",$NN$28*(285-$NR$28+1)*($NS$28-285+1)/$NU$28,$NN$28/$NT$28)),0)</f>
        <v/>
      </c>
      <c r="KD28" s="228">
        <f>IF(AND(286&gt;=$NR$28,286&lt;=$NS$28),IF($NP$28="Single_Point",IF(286=$NR$28,$NN$28,0),IF($NP$28="Bell_Curve",$NN$28*(286-$NR$28+1)*($NS$28-286+1)/$NU$28,$NN$28/$NT$28)),0)</f>
        <v/>
      </c>
      <c r="KE28" s="228">
        <f>IF(AND(287&gt;=$NR$28,287&lt;=$NS$28),IF($NP$28="Single_Point",IF(287=$NR$28,$NN$28,0),IF($NP$28="Bell_Curve",$NN$28*(287-$NR$28+1)*($NS$28-287+1)/$NU$28,$NN$28/$NT$28)),0)</f>
        <v/>
      </c>
      <c r="KF28" s="228">
        <f>IF(AND(288&gt;=$NR$28,288&lt;=$NS$28),IF($NP$28="Single_Point",IF(288=$NR$28,$NN$28,0),IF($NP$28="Bell_Curve",$NN$28*(288-$NR$28+1)*($NS$28-288+1)/$NU$28,$NN$28/$NT$28)),0)</f>
        <v/>
      </c>
      <c r="KG28" s="228">
        <f>IF(AND(289&gt;=$NR$28,289&lt;=$NS$28),IF($NP$28="Single_Point",IF(289=$NR$28,$NN$28,0),IF($NP$28="Bell_Curve",$NN$28*(289-$NR$28+1)*($NS$28-289+1)/$NU$28,$NN$28/$NT$28)),0)</f>
        <v/>
      </c>
      <c r="KH28" s="228">
        <f>IF(AND(290&gt;=$NR$28,290&lt;=$NS$28),IF($NP$28="Single_Point",IF(290=$NR$28,$NN$28,0),IF($NP$28="Bell_Curve",$NN$28*(290-$NR$28+1)*($NS$28-290+1)/$NU$28,$NN$28/$NT$28)),0)</f>
        <v/>
      </c>
      <c r="KI28" s="228">
        <f>IF(AND(291&gt;=$NR$28,291&lt;=$NS$28),IF($NP$28="Single_Point",IF(291=$NR$28,$NN$28,0),IF($NP$28="Bell_Curve",$NN$28*(291-$NR$28+1)*($NS$28-291+1)/$NU$28,$NN$28/$NT$28)),0)</f>
        <v/>
      </c>
      <c r="KJ28" s="228">
        <f>IF(AND(292&gt;=$NR$28,292&lt;=$NS$28),IF($NP$28="Single_Point",IF(292=$NR$28,$NN$28,0),IF($NP$28="Bell_Curve",$NN$28*(292-$NR$28+1)*($NS$28-292+1)/$NU$28,$NN$28/$NT$28)),0)</f>
        <v/>
      </c>
      <c r="KK28" s="228">
        <f>IF(AND(293&gt;=$NR$28,293&lt;=$NS$28),IF($NP$28="Single_Point",IF(293=$NR$28,$NN$28,0),IF($NP$28="Bell_Curve",$NN$28*(293-$NR$28+1)*($NS$28-293+1)/$NU$28,$NN$28/$NT$28)),0)</f>
        <v/>
      </c>
      <c r="KL28" s="228">
        <f>IF(AND(294&gt;=$NR$28,294&lt;=$NS$28),IF($NP$28="Single_Point",IF(294=$NR$28,$NN$28,0),IF($NP$28="Bell_Curve",$NN$28*(294-$NR$28+1)*($NS$28-294+1)/$NU$28,$NN$28/$NT$28)),0)</f>
        <v/>
      </c>
      <c r="KM28" s="228">
        <f>IF(AND(295&gt;=$NR$28,295&lt;=$NS$28),IF($NP$28="Single_Point",IF(295=$NR$28,$NN$28,0),IF($NP$28="Bell_Curve",$NN$28*(295-$NR$28+1)*($NS$28-295+1)/$NU$28,$NN$28/$NT$28)),0)</f>
        <v/>
      </c>
      <c r="KN28" s="228">
        <f>IF(AND(296&gt;=$NR$28,296&lt;=$NS$28),IF($NP$28="Single_Point",IF(296=$NR$28,$NN$28,0),IF($NP$28="Bell_Curve",$NN$28*(296-$NR$28+1)*($NS$28-296+1)/$NU$28,$NN$28/$NT$28)),0)</f>
        <v/>
      </c>
      <c r="KO28" s="228">
        <f>IF(AND(297&gt;=$NR$28,297&lt;=$NS$28),IF($NP$28="Single_Point",IF(297=$NR$28,$NN$28,0),IF($NP$28="Bell_Curve",$NN$28*(297-$NR$28+1)*($NS$28-297+1)/$NU$28,$NN$28/$NT$28)),0)</f>
        <v/>
      </c>
      <c r="KP28" s="228">
        <f>IF(AND(298&gt;=$NR$28,298&lt;=$NS$28),IF($NP$28="Single_Point",IF(298=$NR$28,$NN$28,0),IF($NP$28="Bell_Curve",$NN$28*(298-$NR$28+1)*($NS$28-298+1)/$NU$28,$NN$28/$NT$28)),0)</f>
        <v/>
      </c>
      <c r="KQ28" s="228">
        <f>IF(AND(299&gt;=$NR$28,299&lt;=$NS$28),IF($NP$28="Single_Point",IF(299=$NR$28,$NN$28,0),IF($NP$28="Bell_Curve",$NN$28*(299-$NR$28+1)*($NS$28-299+1)/$NU$28,$NN$28/$NT$28)),0)</f>
        <v/>
      </c>
      <c r="KR28" s="228">
        <f>IF(AND(300&gt;=$NR$28,300&lt;=$NS$28),IF($NP$28="Single_Point",IF(300=$NR$28,$NN$28,0),IF($NP$28="Bell_Curve",$NN$28*(300-$NR$28+1)*($NS$28-300+1)/$NU$28,$NN$28/$NT$28)),0)</f>
        <v/>
      </c>
      <c r="KS28" s="228">
        <f>IF(AND(301&gt;=$NR$28,301&lt;=$NS$28),IF($NP$28="Single_Point",IF(301=$NR$28,$NN$28,0),IF($NP$28="Bell_Curve",$NN$28*(301-$NR$28+1)*($NS$28-301+1)/$NU$28,$NN$28/$NT$28)),0)</f>
        <v/>
      </c>
      <c r="KT28" s="228">
        <f>IF(AND(302&gt;=$NR$28,302&lt;=$NS$28),IF($NP$28="Single_Point",IF(302=$NR$28,$NN$28,0),IF($NP$28="Bell_Curve",$NN$28*(302-$NR$28+1)*($NS$28-302+1)/$NU$28,$NN$28/$NT$28)),0)</f>
        <v/>
      </c>
      <c r="KU28" s="228">
        <f>IF(AND(303&gt;=$NR$28,303&lt;=$NS$28),IF($NP$28="Single_Point",IF(303=$NR$28,$NN$28,0),IF($NP$28="Bell_Curve",$NN$28*(303-$NR$28+1)*($NS$28-303+1)/$NU$28,$NN$28/$NT$28)),0)</f>
        <v/>
      </c>
      <c r="KV28" s="228">
        <f>IF(AND(304&gt;=$NR$28,304&lt;=$NS$28),IF($NP$28="Single_Point",IF(304=$NR$28,$NN$28,0),IF($NP$28="Bell_Curve",$NN$28*(304-$NR$28+1)*($NS$28-304+1)/$NU$28,$NN$28/$NT$28)),0)</f>
        <v/>
      </c>
      <c r="KW28" s="228">
        <f>IF(AND(305&gt;=$NR$28,305&lt;=$NS$28),IF($NP$28="Single_Point",IF(305=$NR$28,$NN$28,0),IF($NP$28="Bell_Curve",$NN$28*(305-$NR$28+1)*($NS$28-305+1)/$NU$28,$NN$28/$NT$28)),0)</f>
        <v/>
      </c>
      <c r="KX28" s="228">
        <f>IF(AND(306&gt;=$NR$28,306&lt;=$NS$28),IF($NP$28="Single_Point",IF(306=$NR$28,$NN$28,0),IF($NP$28="Bell_Curve",$NN$28*(306-$NR$28+1)*($NS$28-306+1)/$NU$28,$NN$28/$NT$28)),0)</f>
        <v/>
      </c>
      <c r="KY28" s="228">
        <f>IF(AND(307&gt;=$NR$28,307&lt;=$NS$28),IF($NP$28="Single_Point",IF(307=$NR$28,$NN$28,0),IF($NP$28="Bell_Curve",$NN$28*(307-$NR$28+1)*($NS$28-307+1)/$NU$28,$NN$28/$NT$28)),0)</f>
        <v/>
      </c>
      <c r="KZ28" s="228">
        <f>IF(AND(308&gt;=$NR$28,308&lt;=$NS$28),IF($NP$28="Single_Point",IF(308=$NR$28,$NN$28,0),IF($NP$28="Bell_Curve",$NN$28*(308-$NR$28+1)*($NS$28-308+1)/$NU$28,$NN$28/$NT$28)),0)</f>
        <v/>
      </c>
      <c r="LA28" s="228">
        <f>IF(AND(309&gt;=$NR$28,309&lt;=$NS$28),IF($NP$28="Single_Point",IF(309=$NR$28,$NN$28,0),IF($NP$28="Bell_Curve",$NN$28*(309-$NR$28+1)*($NS$28-309+1)/$NU$28,$NN$28/$NT$28)),0)</f>
        <v/>
      </c>
      <c r="LB28" s="228">
        <f>IF(AND(310&gt;=$NR$28,310&lt;=$NS$28),IF($NP$28="Single_Point",IF(310=$NR$28,$NN$28,0),IF($NP$28="Bell_Curve",$NN$28*(310-$NR$28+1)*($NS$28-310+1)/$NU$28,$NN$28/$NT$28)),0)</f>
        <v/>
      </c>
      <c r="LC28" s="228">
        <f>IF(AND(311&gt;=$NR$28,311&lt;=$NS$28),IF($NP$28="Single_Point",IF(311=$NR$28,$NN$28,0),IF($NP$28="Bell_Curve",$NN$28*(311-$NR$28+1)*($NS$28-311+1)/$NU$28,$NN$28/$NT$28)),0)</f>
        <v/>
      </c>
      <c r="LD28" s="228">
        <f>IF(AND(312&gt;=$NR$28,312&lt;=$NS$28),IF($NP$28="Single_Point",IF(312=$NR$28,$NN$28,0),IF($NP$28="Bell_Curve",$NN$28*(312-$NR$28+1)*($NS$28-312+1)/$NU$28,$NN$28/$NT$28)),0)</f>
        <v/>
      </c>
      <c r="LE28" s="228">
        <f>IF(AND(313&gt;=$NR$28,313&lt;=$NS$28),IF($NP$28="Single_Point",IF(313=$NR$28,$NN$28,0),IF($NP$28="Bell_Curve",$NN$28*(313-$NR$28+1)*($NS$28-313+1)/$NU$28,$NN$28/$NT$28)),0)</f>
        <v/>
      </c>
      <c r="LF28" s="228">
        <f>IF(AND(314&gt;=$NR$28,314&lt;=$NS$28),IF($NP$28="Single_Point",IF(314=$NR$28,$NN$28,0),IF($NP$28="Bell_Curve",$NN$28*(314-$NR$28+1)*($NS$28-314+1)/$NU$28,$NN$28/$NT$28)),0)</f>
        <v/>
      </c>
      <c r="LG28" s="228">
        <f>IF(AND(315&gt;=$NR$28,315&lt;=$NS$28),IF($NP$28="Single_Point",IF(315=$NR$28,$NN$28,0),IF($NP$28="Bell_Curve",$NN$28*(315-$NR$28+1)*($NS$28-315+1)/$NU$28,$NN$28/$NT$28)),0)</f>
        <v/>
      </c>
      <c r="LH28" s="228">
        <f>IF(AND(316&gt;=$NR$28,316&lt;=$NS$28),IF($NP$28="Single_Point",IF(316=$NR$28,$NN$28,0),IF($NP$28="Bell_Curve",$NN$28*(316-$NR$28+1)*($NS$28-316+1)/$NU$28,$NN$28/$NT$28)),0)</f>
        <v/>
      </c>
      <c r="LI28" s="228">
        <f>IF(AND(317&gt;=$NR$28,317&lt;=$NS$28),IF($NP$28="Single_Point",IF(317=$NR$28,$NN$28,0),IF($NP$28="Bell_Curve",$NN$28*(317-$NR$28+1)*($NS$28-317+1)/$NU$28,$NN$28/$NT$28)),0)</f>
        <v/>
      </c>
      <c r="LJ28" s="228">
        <f>IF(AND(318&gt;=$NR$28,318&lt;=$NS$28),IF($NP$28="Single_Point",IF(318=$NR$28,$NN$28,0),IF($NP$28="Bell_Curve",$NN$28*(318-$NR$28+1)*($NS$28-318+1)/$NU$28,$NN$28/$NT$28)),0)</f>
        <v/>
      </c>
      <c r="LK28" s="228">
        <f>IF(AND(319&gt;=$NR$28,319&lt;=$NS$28),IF($NP$28="Single_Point",IF(319=$NR$28,$NN$28,0),IF($NP$28="Bell_Curve",$NN$28*(319-$NR$28+1)*($NS$28-319+1)/$NU$28,$NN$28/$NT$28)),0)</f>
        <v/>
      </c>
      <c r="LL28" s="228">
        <f>IF(AND(320&gt;=$NR$28,320&lt;=$NS$28),IF($NP$28="Single_Point",IF(320=$NR$28,$NN$28,0),IF($NP$28="Bell_Curve",$NN$28*(320-$NR$28+1)*($NS$28-320+1)/$NU$28,$NN$28/$NT$28)),0)</f>
        <v/>
      </c>
      <c r="LM28" s="228">
        <f>IF(AND(321&gt;=$NR$28,321&lt;=$NS$28),IF($NP$28="Single_Point",IF(321=$NR$28,$NN$28,0),IF($NP$28="Bell_Curve",$NN$28*(321-$NR$28+1)*($NS$28-321+1)/$NU$28,$NN$28/$NT$28)),0)</f>
        <v/>
      </c>
      <c r="LN28" s="228">
        <f>IF(AND(322&gt;=$NR$28,322&lt;=$NS$28),IF($NP$28="Single_Point",IF(322=$NR$28,$NN$28,0),IF($NP$28="Bell_Curve",$NN$28*(322-$NR$28+1)*($NS$28-322+1)/$NU$28,$NN$28/$NT$28)),0)</f>
        <v/>
      </c>
      <c r="LO28" s="228">
        <f>IF(AND(323&gt;=$NR$28,323&lt;=$NS$28),IF($NP$28="Single_Point",IF(323=$NR$28,$NN$28,0),IF($NP$28="Bell_Curve",$NN$28*(323-$NR$28+1)*($NS$28-323+1)/$NU$28,$NN$28/$NT$28)),0)</f>
        <v/>
      </c>
      <c r="LP28" s="228">
        <f>IF(AND(324&gt;=$NR$28,324&lt;=$NS$28),IF($NP$28="Single_Point",IF(324=$NR$28,$NN$28,0),IF($NP$28="Bell_Curve",$NN$28*(324-$NR$28+1)*($NS$28-324+1)/$NU$28,$NN$28/$NT$28)),0)</f>
        <v/>
      </c>
      <c r="LQ28" s="228">
        <f>IF(AND(325&gt;=$NR$28,325&lt;=$NS$28),IF($NP$28="Single_Point",IF(325=$NR$28,$NN$28,0),IF($NP$28="Bell_Curve",$NN$28*(325-$NR$28+1)*($NS$28-325+1)/$NU$28,$NN$28/$NT$28)),0)</f>
        <v/>
      </c>
      <c r="LR28" s="228">
        <f>IF(AND(326&gt;=$NR$28,326&lt;=$NS$28),IF($NP$28="Single_Point",IF(326=$NR$28,$NN$28,0),IF($NP$28="Bell_Curve",$NN$28*(326-$NR$28+1)*($NS$28-326+1)/$NU$28,$NN$28/$NT$28)),0)</f>
        <v/>
      </c>
      <c r="LS28" s="228">
        <f>IF(AND(327&gt;=$NR$28,327&lt;=$NS$28),IF($NP$28="Single_Point",IF(327=$NR$28,$NN$28,0),IF($NP$28="Bell_Curve",$NN$28*(327-$NR$28+1)*($NS$28-327+1)/$NU$28,$NN$28/$NT$28)),0)</f>
        <v/>
      </c>
      <c r="LT28" s="228">
        <f>IF(AND(328&gt;=$NR$28,328&lt;=$NS$28),IF($NP$28="Single_Point",IF(328=$NR$28,$NN$28,0),IF($NP$28="Bell_Curve",$NN$28*(328-$NR$28+1)*($NS$28-328+1)/$NU$28,$NN$28/$NT$28)),0)</f>
        <v/>
      </c>
      <c r="LU28" s="228">
        <f>IF(AND(329&gt;=$NR$28,329&lt;=$NS$28),IF($NP$28="Single_Point",IF(329=$NR$28,$NN$28,0),IF($NP$28="Bell_Curve",$NN$28*(329-$NR$28+1)*($NS$28-329+1)/$NU$28,$NN$28/$NT$28)),0)</f>
        <v/>
      </c>
      <c r="LV28" s="228">
        <f>IF(AND(330&gt;=$NR$28,330&lt;=$NS$28),IF($NP$28="Single_Point",IF(330=$NR$28,$NN$28,0),IF($NP$28="Bell_Curve",$NN$28*(330-$NR$28+1)*($NS$28-330+1)/$NU$28,$NN$28/$NT$28)),0)</f>
        <v/>
      </c>
      <c r="LW28" s="228">
        <f>IF(AND(331&gt;=$NR$28,331&lt;=$NS$28),IF($NP$28="Single_Point",IF(331=$NR$28,$NN$28,0),IF($NP$28="Bell_Curve",$NN$28*(331-$NR$28+1)*($NS$28-331+1)/$NU$28,$NN$28/$NT$28)),0)</f>
        <v/>
      </c>
      <c r="LX28" s="228">
        <f>IF(AND(332&gt;=$NR$28,332&lt;=$NS$28),IF($NP$28="Single_Point",IF(332=$NR$28,$NN$28,0),IF($NP$28="Bell_Curve",$NN$28*(332-$NR$28+1)*($NS$28-332+1)/$NU$28,$NN$28/$NT$28)),0)</f>
        <v/>
      </c>
      <c r="LY28" s="228">
        <f>IF(AND(333&gt;=$NR$28,333&lt;=$NS$28),IF($NP$28="Single_Point",IF(333=$NR$28,$NN$28,0),IF($NP$28="Bell_Curve",$NN$28*(333-$NR$28+1)*($NS$28-333+1)/$NU$28,$NN$28/$NT$28)),0)</f>
        <v/>
      </c>
      <c r="LZ28" s="228">
        <f>IF(AND(334&gt;=$NR$28,334&lt;=$NS$28),IF($NP$28="Single_Point",IF(334=$NR$28,$NN$28,0),IF($NP$28="Bell_Curve",$NN$28*(334-$NR$28+1)*($NS$28-334+1)/$NU$28,$NN$28/$NT$28)),0)</f>
        <v/>
      </c>
      <c r="MA28" s="228">
        <f>IF(AND(335&gt;=$NR$28,335&lt;=$NS$28),IF($NP$28="Single_Point",IF(335=$NR$28,$NN$28,0),IF($NP$28="Bell_Curve",$NN$28*(335-$NR$28+1)*($NS$28-335+1)/$NU$28,$NN$28/$NT$28)),0)</f>
        <v/>
      </c>
      <c r="MB28" s="228">
        <f>IF(AND(336&gt;=$NR$28,336&lt;=$NS$28),IF($NP$28="Single_Point",IF(336=$NR$28,$NN$28,0),IF($NP$28="Bell_Curve",$NN$28*(336-$NR$28+1)*($NS$28-336+1)/$NU$28,$NN$28/$NT$28)),0)</f>
        <v/>
      </c>
      <c r="MC28" s="228">
        <f>IF(AND(337&gt;=$NR$28,337&lt;=$NS$28),IF($NP$28="Single_Point",IF(337=$NR$28,$NN$28,0),IF($NP$28="Bell_Curve",$NN$28*(337-$NR$28+1)*($NS$28-337+1)/$NU$28,$NN$28/$NT$28)),0)</f>
        <v/>
      </c>
      <c r="MD28" s="228">
        <f>IF(AND(338&gt;=$NR$28,338&lt;=$NS$28),IF($NP$28="Single_Point",IF(338=$NR$28,$NN$28,0),IF($NP$28="Bell_Curve",$NN$28*(338-$NR$28+1)*($NS$28-338+1)/$NU$28,$NN$28/$NT$28)),0)</f>
        <v/>
      </c>
      <c r="ME28" s="228">
        <f>IF(AND(339&gt;=$NR$28,339&lt;=$NS$28),IF($NP$28="Single_Point",IF(339=$NR$28,$NN$28,0),IF($NP$28="Bell_Curve",$NN$28*(339-$NR$28+1)*($NS$28-339+1)/$NU$28,$NN$28/$NT$28)),0)</f>
        <v/>
      </c>
      <c r="MF28" s="228">
        <f>IF(AND(340&gt;=$NR$28,340&lt;=$NS$28),IF($NP$28="Single_Point",IF(340=$NR$28,$NN$28,0),IF($NP$28="Bell_Curve",$NN$28*(340-$NR$28+1)*($NS$28-340+1)/$NU$28,$NN$28/$NT$28)),0)</f>
        <v/>
      </c>
      <c r="MG28" s="228">
        <f>IF(AND(341&gt;=$NR$28,341&lt;=$NS$28),IF($NP$28="Single_Point",IF(341=$NR$28,$NN$28,0),IF($NP$28="Bell_Curve",$NN$28*(341-$NR$28+1)*($NS$28-341+1)/$NU$28,$NN$28/$NT$28)),0)</f>
        <v/>
      </c>
      <c r="MH28" s="228">
        <f>IF(AND(342&gt;=$NR$28,342&lt;=$NS$28),IF($NP$28="Single_Point",IF(342=$NR$28,$NN$28,0),IF($NP$28="Bell_Curve",$NN$28*(342-$NR$28+1)*($NS$28-342+1)/$NU$28,$NN$28/$NT$28)),0)</f>
        <v/>
      </c>
      <c r="MI28" s="228">
        <f>IF(AND(343&gt;=$NR$28,343&lt;=$NS$28),IF($NP$28="Single_Point",IF(343=$NR$28,$NN$28,0),IF($NP$28="Bell_Curve",$NN$28*(343-$NR$28+1)*($NS$28-343+1)/$NU$28,$NN$28/$NT$28)),0)</f>
        <v/>
      </c>
      <c r="MJ28" s="228">
        <f>IF(AND(344&gt;=$NR$28,344&lt;=$NS$28),IF($NP$28="Single_Point",IF(344=$NR$28,$NN$28,0),IF($NP$28="Bell_Curve",$NN$28*(344-$NR$28+1)*($NS$28-344+1)/$NU$28,$NN$28/$NT$28)),0)</f>
        <v/>
      </c>
      <c r="MK28" s="228">
        <f>IF(AND(345&gt;=$NR$28,345&lt;=$NS$28),IF($NP$28="Single_Point",IF(345=$NR$28,$NN$28,0),IF($NP$28="Bell_Curve",$NN$28*(345-$NR$28+1)*($NS$28-345+1)/$NU$28,$NN$28/$NT$28)),0)</f>
        <v/>
      </c>
      <c r="ML28" s="228">
        <f>IF(AND(346&gt;=$NR$28,346&lt;=$NS$28),IF($NP$28="Single_Point",IF(346=$NR$28,$NN$28,0),IF($NP$28="Bell_Curve",$NN$28*(346-$NR$28+1)*($NS$28-346+1)/$NU$28,$NN$28/$NT$28)),0)</f>
        <v/>
      </c>
      <c r="MM28" s="228">
        <f>IF(AND(347&gt;=$NR$28,347&lt;=$NS$28),IF($NP$28="Single_Point",IF(347=$NR$28,$NN$28,0),IF($NP$28="Bell_Curve",$NN$28*(347-$NR$28+1)*($NS$28-347+1)/$NU$28,$NN$28/$NT$28)),0)</f>
        <v/>
      </c>
      <c r="MN28" s="228">
        <f>IF(AND(348&gt;=$NR$28,348&lt;=$NS$28),IF($NP$28="Single_Point",IF(348=$NR$28,$NN$28,0),IF($NP$28="Bell_Curve",$NN$28*(348-$NR$28+1)*($NS$28-348+1)/$NU$28,$NN$28/$NT$28)),0)</f>
        <v/>
      </c>
      <c r="MO28" s="228">
        <f>IF(AND(349&gt;=$NR$28,349&lt;=$NS$28),IF($NP$28="Single_Point",IF(349=$NR$28,$NN$28,0),IF($NP$28="Bell_Curve",$NN$28*(349-$NR$28+1)*($NS$28-349+1)/$NU$28,$NN$28/$NT$28)),0)</f>
        <v/>
      </c>
      <c r="MP28" s="228">
        <f>IF(AND(350&gt;=$NR$28,350&lt;=$NS$28),IF($NP$28="Single_Point",IF(350=$NR$28,$NN$28,0),IF($NP$28="Bell_Curve",$NN$28*(350-$NR$28+1)*($NS$28-350+1)/$NU$28,$NN$28/$NT$28)),0)</f>
        <v/>
      </c>
      <c r="MQ28" s="228">
        <f>IF(AND(351&gt;=$NR$28,351&lt;=$NS$28),IF($NP$28="Single_Point",IF(351=$NR$28,$NN$28,0),IF($NP$28="Bell_Curve",$NN$28*(351-$NR$28+1)*($NS$28-351+1)/$NU$28,$NN$28/$NT$28)),0)</f>
        <v/>
      </c>
      <c r="MR28" s="228">
        <f>IF(AND(352&gt;=$NR$28,352&lt;=$NS$28),IF($NP$28="Single_Point",IF(352=$NR$28,$NN$28,0),IF($NP$28="Bell_Curve",$NN$28*(352-$NR$28+1)*($NS$28-352+1)/$NU$28,$NN$28/$NT$28)),0)</f>
        <v/>
      </c>
      <c r="MS28" s="228">
        <f>IF(AND(353&gt;=$NR$28,353&lt;=$NS$28),IF($NP$28="Single_Point",IF(353=$NR$28,$NN$28,0),IF($NP$28="Bell_Curve",$NN$28*(353-$NR$28+1)*($NS$28-353+1)/$NU$28,$NN$28/$NT$28)),0)</f>
        <v/>
      </c>
      <c r="MT28" s="228">
        <f>IF(AND(354&gt;=$NR$28,354&lt;=$NS$28),IF($NP$28="Single_Point",IF(354=$NR$28,$NN$28,0),IF($NP$28="Bell_Curve",$NN$28*(354-$NR$28+1)*($NS$28-354+1)/$NU$28,$NN$28/$NT$28)),0)</f>
        <v/>
      </c>
      <c r="MU28" s="228">
        <f>IF(AND(355&gt;=$NR$28,355&lt;=$NS$28),IF($NP$28="Single_Point",IF(355=$NR$28,$NN$28,0),IF($NP$28="Bell_Curve",$NN$28*(355-$NR$28+1)*($NS$28-355+1)/$NU$28,$NN$28/$NT$28)),0)</f>
        <v/>
      </c>
      <c r="MV28" s="228">
        <f>IF(AND(356&gt;=$NR$28,356&lt;=$NS$28),IF($NP$28="Single_Point",IF(356=$NR$28,$NN$28,0),IF($NP$28="Bell_Curve",$NN$28*(356-$NR$28+1)*($NS$28-356+1)/$NU$28,$NN$28/$NT$28)),0)</f>
        <v/>
      </c>
      <c r="MW28" s="228">
        <f>IF(AND(357&gt;=$NR$28,357&lt;=$NS$28),IF($NP$28="Single_Point",IF(357=$NR$28,$NN$28,0),IF($NP$28="Bell_Curve",$NN$28*(357-$NR$28+1)*($NS$28-357+1)/$NU$28,$NN$28/$NT$28)),0)</f>
        <v/>
      </c>
      <c r="MX28" s="228">
        <f>IF(AND(358&gt;=$NR$28,358&lt;=$NS$28),IF($NP$28="Single_Point",IF(358=$NR$28,$NN$28,0),IF($NP$28="Bell_Curve",$NN$28*(358-$NR$28+1)*($NS$28-358+1)/$NU$28,$NN$28/$NT$28)),0)</f>
        <v/>
      </c>
      <c r="MY28" s="228">
        <f>IF(AND(359&gt;=$NR$28,359&lt;=$NS$28),IF($NP$28="Single_Point",IF(359=$NR$28,$NN$28,0),IF($NP$28="Bell_Curve",$NN$28*(359-$NR$28+1)*($NS$28-359+1)/$NU$28,$NN$28/$NT$28)),0)</f>
        <v/>
      </c>
      <c r="MZ28" s="228">
        <f>IF(AND(360&gt;=$NR$28,360&lt;=$NS$28),IF($NP$28="Single_Point",IF(360=$NR$28,$NN$28,0),IF($NP$28="Bell_Curve",$NN$28*(360-$NR$28+1)*($NS$28-360+1)/$NU$28,$NN$28/$NT$28)),0)</f>
        <v/>
      </c>
      <c r="NA28" s="228">
        <f>IF(AND(361&gt;=$NR$28,361&lt;=$NS$28),IF($NP$28="Single_Point",IF(361=$NR$28,$NN$28,0),IF($NP$28="Bell_Curve",$NN$28*(361-$NR$28+1)*($NS$28-361+1)/$NU$28,$NN$28/$NT$28)),0)</f>
        <v/>
      </c>
      <c r="NB28" s="228">
        <f>IF(AND(362&gt;=$NR$28,362&lt;=$NS$28),IF($NP$28="Single_Point",IF(362=$NR$28,$NN$28,0),IF($NP$28="Bell_Curve",$NN$28*(362-$NR$28+1)*($NS$28-362+1)/$NU$28,$NN$28/$NT$28)),0)</f>
        <v/>
      </c>
      <c r="NC28" s="228">
        <f>IF(AND(363&gt;=$NR$28,363&lt;=$NS$28),IF($NP$28="Single_Point",IF(363=$NR$28,$NN$28,0),IF($NP$28="Bell_Curve",$NN$28*(363-$NR$28+1)*($NS$28-363+1)/$NU$28,$NN$28/$NT$28)),0)</f>
        <v/>
      </c>
      <c r="ND28" s="228">
        <f>IF(AND(364&gt;=$NR$28,364&lt;=$NS$28),IF($NP$28="Single_Point",IF(364=$NR$28,$NN$28,0),IF($NP$28="Bell_Curve",$NN$28*(364-$NR$28+1)*($NS$28-364+1)/$NU$28,$NN$28/$NT$28)),0)</f>
        <v/>
      </c>
      <c r="NE28" s="228">
        <f>IF(AND(365&gt;=$NR$28,365&lt;=$NS$28),IF($NP$28="Single_Point",IF(365=$NR$28,$NN$28,0),IF($NP$28="Bell_Curve",$NN$28*(365-$NR$28+1)*($NS$28-365+1)/$NU$28,$NN$28/$NT$28)),0)</f>
        <v/>
      </c>
      <c r="NF28" s="228">
        <f>IF(AND(366&gt;=$NR$28,366&lt;=$NS$28),IF($NP$28="Single_Point",IF(366=$NR$28,$NN$28,0),IF($NP$28="Bell_Curve",$NN$28*(366-$NR$28+1)*($NS$28-366+1)/$NU$28,$NN$28/$NT$28)),0)</f>
        <v/>
      </c>
      <c r="NG28" s="228">
        <f>IF(AND(367&gt;=$NR$28,367&lt;=$NS$28),IF($NP$28="Single_Point",IF(367=$NR$28,$NN$28,0),IF($NP$28="Bell_Curve",$NN$28*(367-$NR$28+1)*($NS$28-367+1)/$NU$28,$NN$28/$NT$28)),0)</f>
        <v/>
      </c>
      <c r="NH28" s="228">
        <f>IF(AND(368&gt;=$NR$28,368&lt;=$NS$28),IF($NP$28="Single_Point",IF(368=$NR$28,$NN$28,0),IF($NP$28="Bell_Curve",$NN$28*(368-$NR$28+1)*($NS$28-368+1)/$NU$28,$NN$28/$NT$28)),0)</f>
        <v/>
      </c>
      <c r="NI28" s="228">
        <f>IF(AND(369&gt;=$NR$28,369&lt;=$NS$28),IF($NP$28="Single_Point",IF(369=$NR$28,$NN$28,0),IF($NP$28="Bell_Curve",$NN$28*(369-$NR$28+1)*($NS$28-369+1)/$NU$28,$NN$28/$NT$28)),0)</f>
        <v/>
      </c>
      <c r="NJ28" s="228">
        <f>IF(AND(370&gt;=$NR$28,370&lt;=$NS$28),IF($NP$28="Single_Point",IF(370=$NR$28,$NN$28,0),IF($NP$28="Bell_Curve",$NN$28*(370-$NR$28+1)*($NS$28-370+1)/$NU$28,$NN$28/$NT$28)),0)</f>
        <v/>
      </c>
      <c r="NK28" s="228">
        <f>IF(AND(371&gt;=$NR$28,371&lt;=$NS$28),IF($NP$28="Single_Point",IF(371=$NR$28,$NN$28,0),IF($NP$28="Bell_Curve",$NN$28*(371-$NR$28+1)*($NS$28-371+1)/$NU$28,$NN$28/$NT$28)),0)</f>
        <v/>
      </c>
      <c r="NL28" s="247">
        <f>IF(AND(372&gt;=$NR$28,372&lt;=$NS$28),IF($NP$28="Single_Point",IF(372=$NR$28,$NN$28,0),IF($NP$28="Bell_Curve",$NN$28*(372-$NR$28+1)*($NS$28-372+1)/$NU$28,$NN$28/$NT$28)),0)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36" t="inlineStr">
        <is>
          <t>Other Hard Cost 3 - Signage</t>
        </is>
      </c>
      <c r="D29" s="246">
        <f>SUM(E29:NL29)</f>
        <v/>
      </c>
      <c r="E29" s="228">
        <f>IF(AND(1&gt;=$NR$29,1&lt;=$NS$29),IF($NP$29="Single_Point",IF(1=$NR$29,$NN$29,0),IF($NP$29="Bell_Curve",$NN$29*(1-$NR$29+1)*($NS$29-1+1)/$NU$29,$NN$29/$NT$29)),0)</f>
        <v/>
      </c>
      <c r="F29" s="228">
        <f>IF(AND(2&gt;=$NR$29,2&lt;=$NS$29),IF($NP$29="Single_Point",IF(2=$NR$29,$NN$29,0),IF($NP$29="Bell_Curve",$NN$29*(2-$NR$29+1)*($NS$29-2+1)/$NU$29,$NN$29/$NT$29)),0)</f>
        <v/>
      </c>
      <c r="G29" s="228">
        <f>IF(AND(3&gt;=$NR$29,3&lt;=$NS$29),IF($NP$29="Single_Point",IF(3=$NR$29,$NN$29,0),IF($NP$29="Bell_Curve",$NN$29*(3-$NR$29+1)*($NS$29-3+1)/$NU$29,$NN$29/$NT$29)),0)</f>
        <v/>
      </c>
      <c r="H29" s="228">
        <f>IF(AND(4&gt;=$NR$29,4&lt;=$NS$29),IF($NP$29="Single_Point",IF(4=$NR$29,$NN$29,0),IF($NP$29="Bell_Curve",$NN$29*(4-$NR$29+1)*($NS$29-4+1)/$NU$29,$NN$29/$NT$29)),0)</f>
        <v/>
      </c>
      <c r="I29" s="228">
        <f>IF(AND(5&gt;=$NR$29,5&lt;=$NS$29),IF($NP$29="Single_Point",IF(5=$NR$29,$NN$29,0),IF($NP$29="Bell_Curve",$NN$29*(5-$NR$29+1)*($NS$29-5+1)/$NU$29,$NN$29/$NT$29)),0)</f>
        <v/>
      </c>
      <c r="J29" s="228">
        <f>IF(AND(6&gt;=$NR$29,6&lt;=$NS$29),IF($NP$29="Single_Point",IF(6=$NR$29,$NN$29,0),IF($NP$29="Bell_Curve",$NN$29*(6-$NR$29+1)*($NS$29-6+1)/$NU$29,$NN$29/$NT$29)),0)</f>
        <v/>
      </c>
      <c r="K29" s="228">
        <f>IF(AND(7&gt;=$NR$29,7&lt;=$NS$29),IF($NP$29="Single_Point",IF(7=$NR$29,$NN$29,0),IF($NP$29="Bell_Curve",$NN$29*(7-$NR$29+1)*($NS$29-7+1)/$NU$29,$NN$29/$NT$29)),0)</f>
        <v/>
      </c>
      <c r="L29" s="228">
        <f>IF(AND(8&gt;=$NR$29,8&lt;=$NS$29),IF($NP$29="Single_Point",IF(8=$NR$29,$NN$29,0),IF($NP$29="Bell_Curve",$NN$29*(8-$NR$29+1)*($NS$29-8+1)/$NU$29,$NN$29/$NT$29)),0)</f>
        <v/>
      </c>
      <c r="M29" s="228">
        <f>IF(AND(9&gt;=$NR$29,9&lt;=$NS$29),IF($NP$29="Single_Point",IF(9=$NR$29,$NN$29,0),IF($NP$29="Bell_Curve",$NN$29*(9-$NR$29+1)*($NS$29-9+1)/$NU$29,$NN$29/$NT$29)),0)</f>
        <v/>
      </c>
      <c r="N29" s="228">
        <f>IF(AND(10&gt;=$NR$29,10&lt;=$NS$29),IF($NP$29="Single_Point",IF(10=$NR$29,$NN$29,0),IF($NP$29="Bell_Curve",$NN$29*(10-$NR$29+1)*($NS$29-10+1)/$NU$29,$NN$29/$NT$29)),0)</f>
        <v/>
      </c>
      <c r="O29" s="228">
        <f>IF(AND(11&gt;=$NR$29,11&lt;=$NS$29),IF($NP$29="Single_Point",IF(11=$NR$29,$NN$29,0),IF($NP$29="Bell_Curve",$NN$29*(11-$NR$29+1)*($NS$29-11+1)/$NU$29,$NN$29/$NT$29)),0)</f>
        <v/>
      </c>
      <c r="P29" s="228">
        <f>IF(AND(12&gt;=$NR$29,12&lt;=$NS$29),IF($NP$29="Single_Point",IF(12=$NR$29,$NN$29,0),IF($NP$29="Bell_Curve",$NN$29*(12-$NR$29+1)*($NS$29-12+1)/$NU$29,$NN$29/$NT$29)),0)</f>
        <v/>
      </c>
      <c r="Q29" s="228">
        <f>IF(AND(13&gt;=$NR$29,13&lt;=$NS$29),IF($NP$29="Single_Point",IF(13=$NR$29,$NN$29,0),IF($NP$29="Bell_Curve",$NN$29*(13-$NR$29+1)*($NS$29-13+1)/$NU$29,$NN$29/$NT$29)),0)</f>
        <v/>
      </c>
      <c r="R29" s="228">
        <f>IF(AND(14&gt;=$NR$29,14&lt;=$NS$29),IF($NP$29="Single_Point",IF(14=$NR$29,$NN$29,0),IF($NP$29="Bell_Curve",$NN$29*(14-$NR$29+1)*($NS$29-14+1)/$NU$29,$NN$29/$NT$29)),0)</f>
        <v/>
      </c>
      <c r="S29" s="228">
        <f>IF(AND(15&gt;=$NR$29,15&lt;=$NS$29),IF($NP$29="Single_Point",IF(15=$NR$29,$NN$29,0),IF($NP$29="Bell_Curve",$NN$29*(15-$NR$29+1)*($NS$29-15+1)/$NU$29,$NN$29/$NT$29)),0)</f>
        <v/>
      </c>
      <c r="T29" s="228">
        <f>IF(AND(16&gt;=$NR$29,16&lt;=$NS$29),IF($NP$29="Single_Point",IF(16=$NR$29,$NN$29,0),IF($NP$29="Bell_Curve",$NN$29*(16-$NR$29+1)*($NS$29-16+1)/$NU$29,$NN$29/$NT$29)),0)</f>
        <v/>
      </c>
      <c r="U29" s="228">
        <f>IF(AND(17&gt;=$NR$29,17&lt;=$NS$29),IF($NP$29="Single_Point",IF(17=$NR$29,$NN$29,0),IF($NP$29="Bell_Curve",$NN$29*(17-$NR$29+1)*($NS$29-17+1)/$NU$29,$NN$29/$NT$29)),0)</f>
        <v/>
      </c>
      <c r="V29" s="228">
        <f>IF(AND(18&gt;=$NR$29,18&lt;=$NS$29),IF($NP$29="Single_Point",IF(18=$NR$29,$NN$29,0),IF($NP$29="Bell_Curve",$NN$29*(18-$NR$29+1)*($NS$29-18+1)/$NU$29,$NN$29/$NT$29)),0)</f>
        <v/>
      </c>
      <c r="W29" s="228">
        <f>IF(AND(19&gt;=$NR$29,19&lt;=$NS$29),IF($NP$29="Single_Point",IF(19=$NR$29,$NN$29,0),IF($NP$29="Bell_Curve",$NN$29*(19-$NR$29+1)*($NS$29-19+1)/$NU$29,$NN$29/$NT$29)),0)</f>
        <v/>
      </c>
      <c r="X29" s="228">
        <f>IF(AND(20&gt;=$NR$29,20&lt;=$NS$29),IF($NP$29="Single_Point",IF(20=$NR$29,$NN$29,0),IF($NP$29="Bell_Curve",$NN$29*(20-$NR$29+1)*($NS$29-20+1)/$NU$29,$NN$29/$NT$29)),0)</f>
        <v/>
      </c>
      <c r="Y29" s="228">
        <f>IF(AND(21&gt;=$NR$29,21&lt;=$NS$29),IF($NP$29="Single_Point",IF(21=$NR$29,$NN$29,0),IF($NP$29="Bell_Curve",$NN$29*(21-$NR$29+1)*($NS$29-21+1)/$NU$29,$NN$29/$NT$29)),0)</f>
        <v/>
      </c>
      <c r="Z29" s="228">
        <f>IF(AND(22&gt;=$NR$29,22&lt;=$NS$29),IF($NP$29="Single_Point",IF(22=$NR$29,$NN$29,0),IF($NP$29="Bell_Curve",$NN$29*(22-$NR$29+1)*($NS$29-22+1)/$NU$29,$NN$29/$NT$29)),0)</f>
        <v/>
      </c>
      <c r="AA29" s="228">
        <f>IF(AND(23&gt;=$NR$29,23&lt;=$NS$29),IF($NP$29="Single_Point",IF(23=$NR$29,$NN$29,0),IF($NP$29="Bell_Curve",$NN$29*(23-$NR$29+1)*($NS$29-23+1)/$NU$29,$NN$29/$NT$29)),0)</f>
        <v/>
      </c>
      <c r="AB29" s="228">
        <f>IF(AND(24&gt;=$NR$29,24&lt;=$NS$29),IF($NP$29="Single_Point",IF(24=$NR$29,$NN$29,0),IF($NP$29="Bell_Curve",$NN$29*(24-$NR$29+1)*($NS$29-24+1)/$NU$29,$NN$29/$NT$29)),0)</f>
        <v/>
      </c>
      <c r="AC29" s="228">
        <f>IF(AND(25&gt;=$NR$29,25&lt;=$NS$29),IF($NP$29="Single_Point",IF(25=$NR$29,$NN$29,0),IF($NP$29="Bell_Curve",$NN$29*(25-$NR$29+1)*($NS$29-25+1)/$NU$29,$NN$29/$NT$29)),0)</f>
        <v/>
      </c>
      <c r="AD29" s="228">
        <f>IF(AND(26&gt;=$NR$29,26&lt;=$NS$29),IF($NP$29="Single_Point",IF(26=$NR$29,$NN$29,0),IF($NP$29="Bell_Curve",$NN$29*(26-$NR$29+1)*($NS$29-26+1)/$NU$29,$NN$29/$NT$29)),0)</f>
        <v/>
      </c>
      <c r="AE29" s="228">
        <f>IF(AND(27&gt;=$NR$29,27&lt;=$NS$29),IF($NP$29="Single_Point",IF(27=$NR$29,$NN$29,0),IF($NP$29="Bell_Curve",$NN$29*(27-$NR$29+1)*($NS$29-27+1)/$NU$29,$NN$29/$NT$29)),0)</f>
        <v/>
      </c>
      <c r="AF29" s="228">
        <f>IF(AND(28&gt;=$NR$29,28&lt;=$NS$29),IF($NP$29="Single_Point",IF(28=$NR$29,$NN$29,0),IF($NP$29="Bell_Curve",$NN$29*(28-$NR$29+1)*($NS$29-28+1)/$NU$29,$NN$29/$NT$29)),0)</f>
        <v/>
      </c>
      <c r="AG29" s="228">
        <f>IF(AND(29&gt;=$NR$29,29&lt;=$NS$29),IF($NP$29="Single_Point",IF(29=$NR$29,$NN$29,0),IF($NP$29="Bell_Curve",$NN$29*(29-$NR$29+1)*($NS$29-29+1)/$NU$29,$NN$29/$NT$29)),0)</f>
        <v/>
      </c>
      <c r="AH29" s="228">
        <f>IF(AND(30&gt;=$NR$29,30&lt;=$NS$29),IF($NP$29="Single_Point",IF(30=$NR$29,$NN$29,0),IF($NP$29="Bell_Curve",$NN$29*(30-$NR$29+1)*($NS$29-30+1)/$NU$29,$NN$29/$NT$29)),0)</f>
        <v/>
      </c>
      <c r="AI29" s="228">
        <f>IF(AND(31&gt;=$NR$29,31&lt;=$NS$29),IF($NP$29="Single_Point",IF(31=$NR$29,$NN$29,0),IF($NP$29="Bell_Curve",$NN$29*(31-$NR$29+1)*($NS$29-31+1)/$NU$29,$NN$29/$NT$29)),0)</f>
        <v/>
      </c>
      <c r="AJ29" s="228">
        <f>IF(AND(32&gt;=$NR$29,32&lt;=$NS$29),IF($NP$29="Single_Point",IF(32=$NR$29,$NN$29,0),IF($NP$29="Bell_Curve",$NN$29*(32-$NR$29+1)*($NS$29-32+1)/$NU$29,$NN$29/$NT$29)),0)</f>
        <v/>
      </c>
      <c r="AK29" s="228">
        <f>IF(AND(33&gt;=$NR$29,33&lt;=$NS$29),IF($NP$29="Single_Point",IF(33=$NR$29,$NN$29,0),IF($NP$29="Bell_Curve",$NN$29*(33-$NR$29+1)*($NS$29-33+1)/$NU$29,$NN$29/$NT$29)),0)</f>
        <v/>
      </c>
      <c r="AL29" s="228">
        <f>IF(AND(34&gt;=$NR$29,34&lt;=$NS$29),IF($NP$29="Single_Point",IF(34=$NR$29,$NN$29,0),IF($NP$29="Bell_Curve",$NN$29*(34-$NR$29+1)*($NS$29-34+1)/$NU$29,$NN$29/$NT$29)),0)</f>
        <v/>
      </c>
      <c r="AM29" s="228">
        <f>IF(AND(35&gt;=$NR$29,35&lt;=$NS$29),IF($NP$29="Single_Point",IF(35=$NR$29,$NN$29,0),IF($NP$29="Bell_Curve",$NN$29*(35-$NR$29+1)*($NS$29-35+1)/$NU$29,$NN$29/$NT$29)),0)</f>
        <v/>
      </c>
      <c r="AN29" s="228">
        <f>IF(AND(36&gt;=$NR$29,36&lt;=$NS$29),IF($NP$29="Single_Point",IF(36=$NR$29,$NN$29,0),IF($NP$29="Bell_Curve",$NN$29*(36-$NR$29+1)*($NS$29-36+1)/$NU$29,$NN$29/$NT$29)),0)</f>
        <v/>
      </c>
      <c r="AO29" s="228">
        <f>IF(AND(37&gt;=$NR$29,37&lt;=$NS$29),IF($NP$29="Single_Point",IF(37=$NR$29,$NN$29,0),IF($NP$29="Bell_Curve",$NN$29*(37-$NR$29+1)*($NS$29-37+1)/$NU$29,$NN$29/$NT$29)),0)</f>
        <v/>
      </c>
      <c r="AP29" s="228">
        <f>IF(AND(38&gt;=$NR$29,38&lt;=$NS$29),IF($NP$29="Single_Point",IF(38=$NR$29,$NN$29,0),IF($NP$29="Bell_Curve",$NN$29*(38-$NR$29+1)*($NS$29-38+1)/$NU$29,$NN$29/$NT$29)),0)</f>
        <v/>
      </c>
      <c r="AQ29" s="228">
        <f>IF(AND(39&gt;=$NR$29,39&lt;=$NS$29),IF($NP$29="Single_Point",IF(39=$NR$29,$NN$29,0),IF($NP$29="Bell_Curve",$NN$29*(39-$NR$29+1)*($NS$29-39+1)/$NU$29,$NN$29/$NT$29)),0)</f>
        <v/>
      </c>
      <c r="AR29" s="228">
        <f>IF(AND(40&gt;=$NR$29,40&lt;=$NS$29),IF($NP$29="Single_Point",IF(40=$NR$29,$NN$29,0),IF($NP$29="Bell_Curve",$NN$29*(40-$NR$29+1)*($NS$29-40+1)/$NU$29,$NN$29/$NT$29)),0)</f>
        <v/>
      </c>
      <c r="AS29" s="228">
        <f>IF(AND(41&gt;=$NR$29,41&lt;=$NS$29),IF($NP$29="Single_Point",IF(41=$NR$29,$NN$29,0),IF($NP$29="Bell_Curve",$NN$29*(41-$NR$29+1)*($NS$29-41+1)/$NU$29,$NN$29/$NT$29)),0)</f>
        <v/>
      </c>
      <c r="AT29" s="228">
        <f>IF(AND(42&gt;=$NR$29,42&lt;=$NS$29),IF($NP$29="Single_Point",IF(42=$NR$29,$NN$29,0),IF($NP$29="Bell_Curve",$NN$29*(42-$NR$29+1)*($NS$29-42+1)/$NU$29,$NN$29/$NT$29)),0)</f>
        <v/>
      </c>
      <c r="AU29" s="228">
        <f>IF(AND(43&gt;=$NR$29,43&lt;=$NS$29),IF($NP$29="Single_Point",IF(43=$NR$29,$NN$29,0),IF($NP$29="Bell_Curve",$NN$29*(43-$NR$29+1)*($NS$29-43+1)/$NU$29,$NN$29/$NT$29)),0)</f>
        <v/>
      </c>
      <c r="AV29" s="228">
        <f>IF(AND(44&gt;=$NR$29,44&lt;=$NS$29),IF($NP$29="Single_Point",IF(44=$NR$29,$NN$29,0),IF($NP$29="Bell_Curve",$NN$29*(44-$NR$29+1)*($NS$29-44+1)/$NU$29,$NN$29/$NT$29)),0)</f>
        <v/>
      </c>
      <c r="AW29" s="228">
        <f>IF(AND(45&gt;=$NR$29,45&lt;=$NS$29),IF($NP$29="Single_Point",IF(45=$NR$29,$NN$29,0),IF($NP$29="Bell_Curve",$NN$29*(45-$NR$29+1)*($NS$29-45+1)/$NU$29,$NN$29/$NT$29)),0)</f>
        <v/>
      </c>
      <c r="AX29" s="228">
        <f>IF(AND(46&gt;=$NR$29,46&lt;=$NS$29),IF($NP$29="Single_Point",IF(46=$NR$29,$NN$29,0),IF($NP$29="Bell_Curve",$NN$29*(46-$NR$29+1)*($NS$29-46+1)/$NU$29,$NN$29/$NT$29)),0)</f>
        <v/>
      </c>
      <c r="AY29" s="228">
        <f>IF(AND(47&gt;=$NR$29,47&lt;=$NS$29),IF($NP$29="Single_Point",IF(47=$NR$29,$NN$29,0),IF($NP$29="Bell_Curve",$NN$29*(47-$NR$29+1)*($NS$29-47+1)/$NU$29,$NN$29/$NT$29)),0)</f>
        <v/>
      </c>
      <c r="AZ29" s="228">
        <f>IF(AND(48&gt;=$NR$29,48&lt;=$NS$29),IF($NP$29="Single_Point",IF(48=$NR$29,$NN$29,0),IF($NP$29="Bell_Curve",$NN$29*(48-$NR$29+1)*($NS$29-48+1)/$NU$29,$NN$29/$NT$29)),0)</f>
        <v/>
      </c>
      <c r="BA29" s="228">
        <f>IF(AND(49&gt;=$NR$29,49&lt;=$NS$29),IF($NP$29="Single_Point",IF(49=$NR$29,$NN$29,0),IF($NP$29="Bell_Curve",$NN$29*(49-$NR$29+1)*($NS$29-49+1)/$NU$29,$NN$29/$NT$29)),0)</f>
        <v/>
      </c>
      <c r="BB29" s="228">
        <f>IF(AND(50&gt;=$NR$29,50&lt;=$NS$29),IF($NP$29="Single_Point",IF(50=$NR$29,$NN$29,0),IF($NP$29="Bell_Curve",$NN$29*(50-$NR$29+1)*($NS$29-50+1)/$NU$29,$NN$29/$NT$29)),0)</f>
        <v/>
      </c>
      <c r="BC29" s="228">
        <f>IF(AND(51&gt;=$NR$29,51&lt;=$NS$29),IF($NP$29="Single_Point",IF(51=$NR$29,$NN$29,0),IF($NP$29="Bell_Curve",$NN$29*(51-$NR$29+1)*($NS$29-51+1)/$NU$29,$NN$29/$NT$29)),0)</f>
        <v/>
      </c>
      <c r="BD29" s="228">
        <f>IF(AND(52&gt;=$NR$29,52&lt;=$NS$29),IF($NP$29="Single_Point",IF(52=$NR$29,$NN$29,0),IF($NP$29="Bell_Curve",$NN$29*(52-$NR$29+1)*($NS$29-52+1)/$NU$29,$NN$29/$NT$29)),0)</f>
        <v/>
      </c>
      <c r="BE29" s="228">
        <f>IF(AND(53&gt;=$NR$29,53&lt;=$NS$29),IF($NP$29="Single_Point",IF(53=$NR$29,$NN$29,0),IF($NP$29="Bell_Curve",$NN$29*(53-$NR$29+1)*($NS$29-53+1)/$NU$29,$NN$29/$NT$29)),0)</f>
        <v/>
      </c>
      <c r="BF29" s="228">
        <f>IF(AND(54&gt;=$NR$29,54&lt;=$NS$29),IF($NP$29="Single_Point",IF(54=$NR$29,$NN$29,0),IF($NP$29="Bell_Curve",$NN$29*(54-$NR$29+1)*($NS$29-54+1)/$NU$29,$NN$29/$NT$29)),0)</f>
        <v/>
      </c>
      <c r="BG29" s="228">
        <f>IF(AND(55&gt;=$NR$29,55&lt;=$NS$29),IF($NP$29="Single_Point",IF(55=$NR$29,$NN$29,0),IF($NP$29="Bell_Curve",$NN$29*(55-$NR$29+1)*($NS$29-55+1)/$NU$29,$NN$29/$NT$29)),0)</f>
        <v/>
      </c>
      <c r="BH29" s="228">
        <f>IF(AND(56&gt;=$NR$29,56&lt;=$NS$29),IF($NP$29="Single_Point",IF(56=$NR$29,$NN$29,0),IF($NP$29="Bell_Curve",$NN$29*(56-$NR$29+1)*($NS$29-56+1)/$NU$29,$NN$29/$NT$29)),0)</f>
        <v/>
      </c>
      <c r="BI29" s="228">
        <f>IF(AND(57&gt;=$NR$29,57&lt;=$NS$29),IF($NP$29="Single_Point",IF(57=$NR$29,$NN$29,0),IF($NP$29="Bell_Curve",$NN$29*(57-$NR$29+1)*($NS$29-57+1)/$NU$29,$NN$29/$NT$29)),0)</f>
        <v/>
      </c>
      <c r="BJ29" s="228">
        <f>IF(AND(58&gt;=$NR$29,58&lt;=$NS$29),IF($NP$29="Single_Point",IF(58=$NR$29,$NN$29,0),IF($NP$29="Bell_Curve",$NN$29*(58-$NR$29+1)*($NS$29-58+1)/$NU$29,$NN$29/$NT$29)),0)</f>
        <v/>
      </c>
      <c r="BK29" s="228">
        <f>IF(AND(59&gt;=$NR$29,59&lt;=$NS$29),IF($NP$29="Single_Point",IF(59=$NR$29,$NN$29,0),IF($NP$29="Bell_Curve",$NN$29*(59-$NR$29+1)*($NS$29-59+1)/$NU$29,$NN$29/$NT$29)),0)</f>
        <v/>
      </c>
      <c r="BL29" s="228">
        <f>IF(AND(60&gt;=$NR$29,60&lt;=$NS$29),IF($NP$29="Single_Point",IF(60=$NR$29,$NN$29,0),IF($NP$29="Bell_Curve",$NN$29*(60-$NR$29+1)*($NS$29-60+1)/$NU$29,$NN$29/$NT$29)),0)</f>
        <v/>
      </c>
      <c r="BM29" s="228">
        <f>IF(AND(61&gt;=$NR$29,61&lt;=$NS$29),IF($NP$29="Single_Point",IF(61=$NR$29,$NN$29,0),IF($NP$29="Bell_Curve",$NN$29*(61-$NR$29+1)*($NS$29-61+1)/$NU$29,$NN$29/$NT$29)),0)</f>
        <v/>
      </c>
      <c r="BN29" s="228">
        <f>IF(AND(62&gt;=$NR$29,62&lt;=$NS$29),IF($NP$29="Single_Point",IF(62=$NR$29,$NN$29,0),IF($NP$29="Bell_Curve",$NN$29*(62-$NR$29+1)*($NS$29-62+1)/$NU$29,$NN$29/$NT$29)),0)</f>
        <v/>
      </c>
      <c r="BO29" s="228">
        <f>IF(AND(63&gt;=$NR$29,63&lt;=$NS$29),IF($NP$29="Single_Point",IF(63=$NR$29,$NN$29,0),IF($NP$29="Bell_Curve",$NN$29*(63-$NR$29+1)*($NS$29-63+1)/$NU$29,$NN$29/$NT$29)),0)</f>
        <v/>
      </c>
      <c r="BP29" s="228">
        <f>IF(AND(64&gt;=$NR$29,64&lt;=$NS$29),IF($NP$29="Single_Point",IF(64=$NR$29,$NN$29,0),IF($NP$29="Bell_Curve",$NN$29*(64-$NR$29+1)*($NS$29-64+1)/$NU$29,$NN$29/$NT$29)),0)</f>
        <v/>
      </c>
      <c r="BQ29" s="228">
        <f>IF(AND(65&gt;=$NR$29,65&lt;=$NS$29),IF($NP$29="Single_Point",IF(65=$NR$29,$NN$29,0),IF($NP$29="Bell_Curve",$NN$29*(65-$NR$29+1)*($NS$29-65+1)/$NU$29,$NN$29/$NT$29)),0)</f>
        <v/>
      </c>
      <c r="BR29" s="228">
        <f>IF(AND(66&gt;=$NR$29,66&lt;=$NS$29),IF($NP$29="Single_Point",IF(66=$NR$29,$NN$29,0),IF($NP$29="Bell_Curve",$NN$29*(66-$NR$29+1)*($NS$29-66+1)/$NU$29,$NN$29/$NT$29)),0)</f>
        <v/>
      </c>
      <c r="BS29" s="228">
        <f>IF(AND(67&gt;=$NR$29,67&lt;=$NS$29),IF($NP$29="Single_Point",IF(67=$NR$29,$NN$29,0),IF($NP$29="Bell_Curve",$NN$29*(67-$NR$29+1)*($NS$29-67+1)/$NU$29,$NN$29/$NT$29)),0)</f>
        <v/>
      </c>
      <c r="BT29" s="228">
        <f>IF(AND(68&gt;=$NR$29,68&lt;=$NS$29),IF($NP$29="Single_Point",IF(68=$NR$29,$NN$29,0),IF($NP$29="Bell_Curve",$NN$29*(68-$NR$29+1)*($NS$29-68+1)/$NU$29,$NN$29/$NT$29)),0)</f>
        <v/>
      </c>
      <c r="BU29" s="228">
        <f>IF(AND(69&gt;=$NR$29,69&lt;=$NS$29),IF($NP$29="Single_Point",IF(69=$NR$29,$NN$29,0),IF($NP$29="Bell_Curve",$NN$29*(69-$NR$29+1)*($NS$29-69+1)/$NU$29,$NN$29/$NT$29)),0)</f>
        <v/>
      </c>
      <c r="BV29" s="228">
        <f>IF(AND(70&gt;=$NR$29,70&lt;=$NS$29),IF($NP$29="Single_Point",IF(70=$NR$29,$NN$29,0),IF($NP$29="Bell_Curve",$NN$29*(70-$NR$29+1)*($NS$29-70+1)/$NU$29,$NN$29/$NT$29)),0)</f>
        <v/>
      </c>
      <c r="BW29" s="228">
        <f>IF(AND(71&gt;=$NR$29,71&lt;=$NS$29),IF($NP$29="Single_Point",IF(71=$NR$29,$NN$29,0),IF($NP$29="Bell_Curve",$NN$29*(71-$NR$29+1)*($NS$29-71+1)/$NU$29,$NN$29/$NT$29)),0)</f>
        <v/>
      </c>
      <c r="BX29" s="228">
        <f>IF(AND(72&gt;=$NR$29,72&lt;=$NS$29),IF($NP$29="Single_Point",IF(72=$NR$29,$NN$29,0),IF($NP$29="Bell_Curve",$NN$29*(72-$NR$29+1)*($NS$29-72+1)/$NU$29,$NN$29/$NT$29)),0)</f>
        <v/>
      </c>
      <c r="BY29" s="228">
        <f>IF(AND(73&gt;=$NR$29,73&lt;=$NS$29),IF($NP$29="Single_Point",IF(73=$NR$29,$NN$29,0),IF($NP$29="Bell_Curve",$NN$29*(73-$NR$29+1)*($NS$29-73+1)/$NU$29,$NN$29/$NT$29)),0)</f>
        <v/>
      </c>
      <c r="BZ29" s="228">
        <f>IF(AND(74&gt;=$NR$29,74&lt;=$NS$29),IF($NP$29="Single_Point",IF(74=$NR$29,$NN$29,0),IF($NP$29="Bell_Curve",$NN$29*(74-$NR$29+1)*($NS$29-74+1)/$NU$29,$NN$29/$NT$29)),0)</f>
        <v/>
      </c>
      <c r="CA29" s="228">
        <f>IF(AND(75&gt;=$NR$29,75&lt;=$NS$29),IF($NP$29="Single_Point",IF(75=$NR$29,$NN$29,0),IF($NP$29="Bell_Curve",$NN$29*(75-$NR$29+1)*($NS$29-75+1)/$NU$29,$NN$29/$NT$29)),0)</f>
        <v/>
      </c>
      <c r="CB29" s="228">
        <f>IF(AND(76&gt;=$NR$29,76&lt;=$NS$29),IF($NP$29="Single_Point",IF(76=$NR$29,$NN$29,0),IF($NP$29="Bell_Curve",$NN$29*(76-$NR$29+1)*($NS$29-76+1)/$NU$29,$NN$29/$NT$29)),0)</f>
        <v/>
      </c>
      <c r="CC29" s="228">
        <f>IF(AND(77&gt;=$NR$29,77&lt;=$NS$29),IF($NP$29="Single_Point",IF(77=$NR$29,$NN$29,0),IF($NP$29="Bell_Curve",$NN$29*(77-$NR$29+1)*($NS$29-77+1)/$NU$29,$NN$29/$NT$29)),0)</f>
        <v/>
      </c>
      <c r="CD29" s="228">
        <f>IF(AND(78&gt;=$NR$29,78&lt;=$NS$29),IF($NP$29="Single_Point",IF(78=$NR$29,$NN$29,0),IF($NP$29="Bell_Curve",$NN$29*(78-$NR$29+1)*($NS$29-78+1)/$NU$29,$NN$29/$NT$29)),0)</f>
        <v/>
      </c>
      <c r="CE29" s="228">
        <f>IF(AND(79&gt;=$NR$29,79&lt;=$NS$29),IF($NP$29="Single_Point",IF(79=$NR$29,$NN$29,0),IF($NP$29="Bell_Curve",$NN$29*(79-$NR$29+1)*($NS$29-79+1)/$NU$29,$NN$29/$NT$29)),0)</f>
        <v/>
      </c>
      <c r="CF29" s="228">
        <f>IF(AND(80&gt;=$NR$29,80&lt;=$NS$29),IF($NP$29="Single_Point",IF(80=$NR$29,$NN$29,0),IF($NP$29="Bell_Curve",$NN$29*(80-$NR$29+1)*($NS$29-80+1)/$NU$29,$NN$29/$NT$29)),0)</f>
        <v/>
      </c>
      <c r="CG29" s="228">
        <f>IF(AND(81&gt;=$NR$29,81&lt;=$NS$29),IF($NP$29="Single_Point",IF(81=$NR$29,$NN$29,0),IF($NP$29="Bell_Curve",$NN$29*(81-$NR$29+1)*($NS$29-81+1)/$NU$29,$NN$29/$NT$29)),0)</f>
        <v/>
      </c>
      <c r="CH29" s="228">
        <f>IF(AND(82&gt;=$NR$29,82&lt;=$NS$29),IF($NP$29="Single_Point",IF(82=$NR$29,$NN$29,0),IF($NP$29="Bell_Curve",$NN$29*(82-$NR$29+1)*($NS$29-82+1)/$NU$29,$NN$29/$NT$29)),0)</f>
        <v/>
      </c>
      <c r="CI29" s="228">
        <f>IF(AND(83&gt;=$NR$29,83&lt;=$NS$29),IF($NP$29="Single_Point",IF(83=$NR$29,$NN$29,0),IF($NP$29="Bell_Curve",$NN$29*(83-$NR$29+1)*($NS$29-83+1)/$NU$29,$NN$29/$NT$29)),0)</f>
        <v/>
      </c>
      <c r="CJ29" s="228">
        <f>IF(AND(84&gt;=$NR$29,84&lt;=$NS$29),IF($NP$29="Single_Point",IF(84=$NR$29,$NN$29,0),IF($NP$29="Bell_Curve",$NN$29*(84-$NR$29+1)*($NS$29-84+1)/$NU$29,$NN$29/$NT$29)),0)</f>
        <v/>
      </c>
      <c r="CK29" s="228">
        <f>IF(AND(85&gt;=$NR$29,85&lt;=$NS$29),IF($NP$29="Single_Point",IF(85=$NR$29,$NN$29,0),IF($NP$29="Bell_Curve",$NN$29*(85-$NR$29+1)*($NS$29-85+1)/$NU$29,$NN$29/$NT$29)),0)</f>
        <v/>
      </c>
      <c r="CL29" s="228">
        <f>IF(AND(86&gt;=$NR$29,86&lt;=$NS$29),IF($NP$29="Single_Point",IF(86=$NR$29,$NN$29,0),IF($NP$29="Bell_Curve",$NN$29*(86-$NR$29+1)*($NS$29-86+1)/$NU$29,$NN$29/$NT$29)),0)</f>
        <v/>
      </c>
      <c r="CM29" s="228">
        <f>IF(AND(87&gt;=$NR$29,87&lt;=$NS$29),IF($NP$29="Single_Point",IF(87=$NR$29,$NN$29,0),IF($NP$29="Bell_Curve",$NN$29*(87-$NR$29+1)*($NS$29-87+1)/$NU$29,$NN$29/$NT$29)),0)</f>
        <v/>
      </c>
      <c r="CN29" s="228">
        <f>IF(AND(88&gt;=$NR$29,88&lt;=$NS$29),IF($NP$29="Single_Point",IF(88=$NR$29,$NN$29,0),IF($NP$29="Bell_Curve",$NN$29*(88-$NR$29+1)*($NS$29-88+1)/$NU$29,$NN$29/$NT$29)),0)</f>
        <v/>
      </c>
      <c r="CO29" s="228">
        <f>IF(AND(89&gt;=$NR$29,89&lt;=$NS$29),IF($NP$29="Single_Point",IF(89=$NR$29,$NN$29,0),IF($NP$29="Bell_Curve",$NN$29*(89-$NR$29+1)*($NS$29-89+1)/$NU$29,$NN$29/$NT$29)),0)</f>
        <v/>
      </c>
      <c r="CP29" s="228">
        <f>IF(AND(90&gt;=$NR$29,90&lt;=$NS$29),IF($NP$29="Single_Point",IF(90=$NR$29,$NN$29,0),IF($NP$29="Bell_Curve",$NN$29*(90-$NR$29+1)*($NS$29-90+1)/$NU$29,$NN$29/$NT$29)),0)</f>
        <v/>
      </c>
      <c r="CQ29" s="228">
        <f>IF(AND(91&gt;=$NR$29,91&lt;=$NS$29),IF($NP$29="Single_Point",IF(91=$NR$29,$NN$29,0),IF($NP$29="Bell_Curve",$NN$29*(91-$NR$29+1)*($NS$29-91+1)/$NU$29,$NN$29/$NT$29)),0)</f>
        <v/>
      </c>
      <c r="CR29" s="228">
        <f>IF(AND(92&gt;=$NR$29,92&lt;=$NS$29),IF($NP$29="Single_Point",IF(92=$NR$29,$NN$29,0),IF($NP$29="Bell_Curve",$NN$29*(92-$NR$29+1)*($NS$29-92+1)/$NU$29,$NN$29/$NT$29)),0)</f>
        <v/>
      </c>
      <c r="CS29" s="228">
        <f>IF(AND(93&gt;=$NR$29,93&lt;=$NS$29),IF($NP$29="Single_Point",IF(93=$NR$29,$NN$29,0),IF($NP$29="Bell_Curve",$NN$29*(93-$NR$29+1)*($NS$29-93+1)/$NU$29,$NN$29/$NT$29)),0)</f>
        <v/>
      </c>
      <c r="CT29" s="228">
        <f>IF(AND(94&gt;=$NR$29,94&lt;=$NS$29),IF($NP$29="Single_Point",IF(94=$NR$29,$NN$29,0),IF($NP$29="Bell_Curve",$NN$29*(94-$NR$29+1)*($NS$29-94+1)/$NU$29,$NN$29/$NT$29)),0)</f>
        <v/>
      </c>
      <c r="CU29" s="228">
        <f>IF(AND(95&gt;=$NR$29,95&lt;=$NS$29),IF($NP$29="Single_Point",IF(95=$NR$29,$NN$29,0),IF($NP$29="Bell_Curve",$NN$29*(95-$NR$29+1)*($NS$29-95+1)/$NU$29,$NN$29/$NT$29)),0)</f>
        <v/>
      </c>
      <c r="CV29" s="228">
        <f>IF(AND(96&gt;=$NR$29,96&lt;=$NS$29),IF($NP$29="Single_Point",IF(96=$NR$29,$NN$29,0),IF($NP$29="Bell_Curve",$NN$29*(96-$NR$29+1)*($NS$29-96+1)/$NU$29,$NN$29/$NT$29)),0)</f>
        <v/>
      </c>
      <c r="CW29" s="228">
        <f>IF(AND(97&gt;=$NR$29,97&lt;=$NS$29),IF($NP$29="Single_Point",IF(97=$NR$29,$NN$29,0),IF($NP$29="Bell_Curve",$NN$29*(97-$NR$29+1)*($NS$29-97+1)/$NU$29,$NN$29/$NT$29)),0)</f>
        <v/>
      </c>
      <c r="CX29" s="228">
        <f>IF(AND(98&gt;=$NR$29,98&lt;=$NS$29),IF($NP$29="Single_Point",IF(98=$NR$29,$NN$29,0),IF($NP$29="Bell_Curve",$NN$29*(98-$NR$29+1)*($NS$29-98+1)/$NU$29,$NN$29/$NT$29)),0)</f>
        <v/>
      </c>
      <c r="CY29" s="228">
        <f>IF(AND(99&gt;=$NR$29,99&lt;=$NS$29),IF($NP$29="Single_Point",IF(99=$NR$29,$NN$29,0),IF($NP$29="Bell_Curve",$NN$29*(99-$NR$29+1)*($NS$29-99+1)/$NU$29,$NN$29/$NT$29)),0)</f>
        <v/>
      </c>
      <c r="CZ29" s="228">
        <f>IF(AND(100&gt;=$NR$29,100&lt;=$NS$29),IF($NP$29="Single_Point",IF(100=$NR$29,$NN$29,0),IF($NP$29="Bell_Curve",$NN$29*(100-$NR$29+1)*($NS$29-100+1)/$NU$29,$NN$29/$NT$29)),0)</f>
        <v/>
      </c>
      <c r="DA29" s="228">
        <f>IF(AND(101&gt;=$NR$29,101&lt;=$NS$29),IF($NP$29="Single_Point",IF(101=$NR$29,$NN$29,0),IF($NP$29="Bell_Curve",$NN$29*(101-$NR$29+1)*($NS$29-101+1)/$NU$29,$NN$29/$NT$29)),0)</f>
        <v/>
      </c>
      <c r="DB29" s="228">
        <f>IF(AND(102&gt;=$NR$29,102&lt;=$NS$29),IF($NP$29="Single_Point",IF(102=$NR$29,$NN$29,0),IF($NP$29="Bell_Curve",$NN$29*(102-$NR$29+1)*($NS$29-102+1)/$NU$29,$NN$29/$NT$29)),0)</f>
        <v/>
      </c>
      <c r="DC29" s="228">
        <f>IF(AND(103&gt;=$NR$29,103&lt;=$NS$29),IF($NP$29="Single_Point",IF(103=$NR$29,$NN$29,0),IF($NP$29="Bell_Curve",$NN$29*(103-$NR$29+1)*($NS$29-103+1)/$NU$29,$NN$29/$NT$29)),0)</f>
        <v/>
      </c>
      <c r="DD29" s="228">
        <f>IF(AND(104&gt;=$NR$29,104&lt;=$NS$29),IF($NP$29="Single_Point",IF(104=$NR$29,$NN$29,0),IF($NP$29="Bell_Curve",$NN$29*(104-$NR$29+1)*($NS$29-104+1)/$NU$29,$NN$29/$NT$29)),0)</f>
        <v/>
      </c>
      <c r="DE29" s="228">
        <f>IF(AND(105&gt;=$NR$29,105&lt;=$NS$29),IF($NP$29="Single_Point",IF(105=$NR$29,$NN$29,0),IF($NP$29="Bell_Curve",$NN$29*(105-$NR$29+1)*($NS$29-105+1)/$NU$29,$NN$29/$NT$29)),0)</f>
        <v/>
      </c>
      <c r="DF29" s="228">
        <f>IF(AND(106&gt;=$NR$29,106&lt;=$NS$29),IF($NP$29="Single_Point",IF(106=$NR$29,$NN$29,0),IF($NP$29="Bell_Curve",$NN$29*(106-$NR$29+1)*($NS$29-106+1)/$NU$29,$NN$29/$NT$29)),0)</f>
        <v/>
      </c>
      <c r="DG29" s="228">
        <f>IF(AND(107&gt;=$NR$29,107&lt;=$NS$29),IF($NP$29="Single_Point",IF(107=$NR$29,$NN$29,0),IF($NP$29="Bell_Curve",$NN$29*(107-$NR$29+1)*($NS$29-107+1)/$NU$29,$NN$29/$NT$29)),0)</f>
        <v/>
      </c>
      <c r="DH29" s="228">
        <f>IF(AND(108&gt;=$NR$29,108&lt;=$NS$29),IF($NP$29="Single_Point",IF(108=$NR$29,$NN$29,0),IF($NP$29="Bell_Curve",$NN$29*(108-$NR$29+1)*($NS$29-108+1)/$NU$29,$NN$29/$NT$29)),0)</f>
        <v/>
      </c>
      <c r="DI29" s="228">
        <f>IF(AND(109&gt;=$NR$29,109&lt;=$NS$29),IF($NP$29="Single_Point",IF(109=$NR$29,$NN$29,0),IF($NP$29="Bell_Curve",$NN$29*(109-$NR$29+1)*($NS$29-109+1)/$NU$29,$NN$29/$NT$29)),0)</f>
        <v/>
      </c>
      <c r="DJ29" s="228">
        <f>IF(AND(110&gt;=$NR$29,110&lt;=$NS$29),IF($NP$29="Single_Point",IF(110=$NR$29,$NN$29,0),IF($NP$29="Bell_Curve",$NN$29*(110-$NR$29+1)*($NS$29-110+1)/$NU$29,$NN$29/$NT$29)),0)</f>
        <v/>
      </c>
      <c r="DK29" s="228">
        <f>IF(AND(111&gt;=$NR$29,111&lt;=$NS$29),IF($NP$29="Single_Point",IF(111=$NR$29,$NN$29,0),IF($NP$29="Bell_Curve",$NN$29*(111-$NR$29+1)*($NS$29-111+1)/$NU$29,$NN$29/$NT$29)),0)</f>
        <v/>
      </c>
      <c r="DL29" s="228">
        <f>IF(AND(112&gt;=$NR$29,112&lt;=$NS$29),IF($NP$29="Single_Point",IF(112=$NR$29,$NN$29,0),IF($NP$29="Bell_Curve",$NN$29*(112-$NR$29+1)*($NS$29-112+1)/$NU$29,$NN$29/$NT$29)),0)</f>
        <v/>
      </c>
      <c r="DM29" s="228">
        <f>IF(AND(113&gt;=$NR$29,113&lt;=$NS$29),IF($NP$29="Single_Point",IF(113=$NR$29,$NN$29,0),IF($NP$29="Bell_Curve",$NN$29*(113-$NR$29+1)*($NS$29-113+1)/$NU$29,$NN$29/$NT$29)),0)</f>
        <v/>
      </c>
      <c r="DN29" s="228">
        <f>IF(AND(114&gt;=$NR$29,114&lt;=$NS$29),IF($NP$29="Single_Point",IF(114=$NR$29,$NN$29,0),IF($NP$29="Bell_Curve",$NN$29*(114-$NR$29+1)*($NS$29-114+1)/$NU$29,$NN$29/$NT$29)),0)</f>
        <v/>
      </c>
      <c r="DO29" s="228">
        <f>IF(AND(115&gt;=$NR$29,115&lt;=$NS$29),IF($NP$29="Single_Point",IF(115=$NR$29,$NN$29,0),IF($NP$29="Bell_Curve",$NN$29*(115-$NR$29+1)*($NS$29-115+1)/$NU$29,$NN$29/$NT$29)),0)</f>
        <v/>
      </c>
      <c r="DP29" s="228">
        <f>IF(AND(116&gt;=$NR$29,116&lt;=$NS$29),IF($NP$29="Single_Point",IF(116=$NR$29,$NN$29,0),IF($NP$29="Bell_Curve",$NN$29*(116-$NR$29+1)*($NS$29-116+1)/$NU$29,$NN$29/$NT$29)),0)</f>
        <v/>
      </c>
      <c r="DQ29" s="228">
        <f>IF(AND(117&gt;=$NR$29,117&lt;=$NS$29),IF($NP$29="Single_Point",IF(117=$NR$29,$NN$29,0),IF($NP$29="Bell_Curve",$NN$29*(117-$NR$29+1)*($NS$29-117+1)/$NU$29,$NN$29/$NT$29)),0)</f>
        <v/>
      </c>
      <c r="DR29" s="228">
        <f>IF(AND(118&gt;=$NR$29,118&lt;=$NS$29),IF($NP$29="Single_Point",IF(118=$NR$29,$NN$29,0),IF($NP$29="Bell_Curve",$NN$29*(118-$NR$29+1)*($NS$29-118+1)/$NU$29,$NN$29/$NT$29)),0)</f>
        <v/>
      </c>
      <c r="DS29" s="228">
        <f>IF(AND(119&gt;=$NR$29,119&lt;=$NS$29),IF($NP$29="Single_Point",IF(119=$NR$29,$NN$29,0),IF($NP$29="Bell_Curve",$NN$29*(119-$NR$29+1)*($NS$29-119+1)/$NU$29,$NN$29/$NT$29)),0)</f>
        <v/>
      </c>
      <c r="DT29" s="228">
        <f>IF(AND(120&gt;=$NR$29,120&lt;=$NS$29),IF($NP$29="Single_Point",IF(120=$NR$29,$NN$29,0),IF($NP$29="Bell_Curve",$NN$29*(120-$NR$29+1)*($NS$29-120+1)/$NU$29,$NN$29/$NT$29)),0)</f>
        <v/>
      </c>
      <c r="DU29" s="228">
        <f>IF(AND(121&gt;=$NR$29,121&lt;=$NS$29),IF($NP$29="Single_Point",IF(121=$NR$29,$NN$29,0),IF($NP$29="Bell_Curve",$NN$29*(121-$NR$29+1)*($NS$29-121+1)/$NU$29,$NN$29/$NT$29)),0)</f>
        <v/>
      </c>
      <c r="DV29" s="228">
        <f>IF(AND(122&gt;=$NR$29,122&lt;=$NS$29),IF($NP$29="Single_Point",IF(122=$NR$29,$NN$29,0),IF($NP$29="Bell_Curve",$NN$29*(122-$NR$29+1)*($NS$29-122+1)/$NU$29,$NN$29/$NT$29)),0)</f>
        <v/>
      </c>
      <c r="DW29" s="228">
        <f>IF(AND(123&gt;=$NR$29,123&lt;=$NS$29),IF($NP$29="Single_Point",IF(123=$NR$29,$NN$29,0),IF($NP$29="Bell_Curve",$NN$29*(123-$NR$29+1)*($NS$29-123+1)/$NU$29,$NN$29/$NT$29)),0)</f>
        <v/>
      </c>
      <c r="DX29" s="228">
        <f>IF(AND(124&gt;=$NR$29,124&lt;=$NS$29),IF($NP$29="Single_Point",IF(124=$NR$29,$NN$29,0),IF($NP$29="Bell_Curve",$NN$29*(124-$NR$29+1)*($NS$29-124+1)/$NU$29,$NN$29/$NT$29)),0)</f>
        <v/>
      </c>
      <c r="DY29" s="228">
        <f>IF(AND(125&gt;=$NR$29,125&lt;=$NS$29),IF($NP$29="Single_Point",IF(125=$NR$29,$NN$29,0),IF($NP$29="Bell_Curve",$NN$29*(125-$NR$29+1)*($NS$29-125+1)/$NU$29,$NN$29/$NT$29)),0)</f>
        <v/>
      </c>
      <c r="DZ29" s="228">
        <f>IF(AND(126&gt;=$NR$29,126&lt;=$NS$29),IF($NP$29="Single_Point",IF(126=$NR$29,$NN$29,0),IF($NP$29="Bell_Curve",$NN$29*(126-$NR$29+1)*($NS$29-126+1)/$NU$29,$NN$29/$NT$29)),0)</f>
        <v/>
      </c>
      <c r="EA29" s="228">
        <f>IF(AND(127&gt;=$NR$29,127&lt;=$NS$29),IF($NP$29="Single_Point",IF(127=$NR$29,$NN$29,0),IF($NP$29="Bell_Curve",$NN$29*(127-$NR$29+1)*($NS$29-127+1)/$NU$29,$NN$29/$NT$29)),0)</f>
        <v/>
      </c>
      <c r="EB29" s="228">
        <f>IF(AND(128&gt;=$NR$29,128&lt;=$NS$29),IF($NP$29="Single_Point",IF(128=$NR$29,$NN$29,0),IF($NP$29="Bell_Curve",$NN$29*(128-$NR$29+1)*($NS$29-128+1)/$NU$29,$NN$29/$NT$29)),0)</f>
        <v/>
      </c>
      <c r="EC29" s="228">
        <f>IF(AND(129&gt;=$NR$29,129&lt;=$NS$29),IF($NP$29="Single_Point",IF(129=$NR$29,$NN$29,0),IF($NP$29="Bell_Curve",$NN$29*(129-$NR$29+1)*($NS$29-129+1)/$NU$29,$NN$29/$NT$29)),0)</f>
        <v/>
      </c>
      <c r="ED29" s="228">
        <f>IF(AND(130&gt;=$NR$29,130&lt;=$NS$29),IF($NP$29="Single_Point",IF(130=$NR$29,$NN$29,0),IF($NP$29="Bell_Curve",$NN$29*(130-$NR$29+1)*($NS$29-130+1)/$NU$29,$NN$29/$NT$29)),0)</f>
        <v/>
      </c>
      <c r="EE29" s="228">
        <f>IF(AND(131&gt;=$NR$29,131&lt;=$NS$29),IF($NP$29="Single_Point",IF(131=$NR$29,$NN$29,0),IF($NP$29="Bell_Curve",$NN$29*(131-$NR$29+1)*($NS$29-131+1)/$NU$29,$NN$29/$NT$29)),0)</f>
        <v/>
      </c>
      <c r="EF29" s="228">
        <f>IF(AND(132&gt;=$NR$29,132&lt;=$NS$29),IF($NP$29="Single_Point",IF(132=$NR$29,$NN$29,0),IF($NP$29="Bell_Curve",$NN$29*(132-$NR$29+1)*($NS$29-132+1)/$NU$29,$NN$29/$NT$29)),0)</f>
        <v/>
      </c>
      <c r="EG29" s="228">
        <f>IF(AND(133&gt;=$NR$29,133&lt;=$NS$29),IF($NP$29="Single_Point",IF(133=$NR$29,$NN$29,0),IF($NP$29="Bell_Curve",$NN$29*(133-$NR$29+1)*($NS$29-133+1)/$NU$29,$NN$29/$NT$29)),0)</f>
        <v/>
      </c>
      <c r="EH29" s="228">
        <f>IF(AND(134&gt;=$NR$29,134&lt;=$NS$29),IF($NP$29="Single_Point",IF(134=$NR$29,$NN$29,0),IF($NP$29="Bell_Curve",$NN$29*(134-$NR$29+1)*($NS$29-134+1)/$NU$29,$NN$29/$NT$29)),0)</f>
        <v/>
      </c>
      <c r="EI29" s="228">
        <f>IF(AND(135&gt;=$NR$29,135&lt;=$NS$29),IF($NP$29="Single_Point",IF(135=$NR$29,$NN$29,0),IF($NP$29="Bell_Curve",$NN$29*(135-$NR$29+1)*($NS$29-135+1)/$NU$29,$NN$29/$NT$29)),0)</f>
        <v/>
      </c>
      <c r="EJ29" s="228">
        <f>IF(AND(136&gt;=$NR$29,136&lt;=$NS$29),IF($NP$29="Single_Point",IF(136=$NR$29,$NN$29,0),IF($NP$29="Bell_Curve",$NN$29*(136-$NR$29+1)*($NS$29-136+1)/$NU$29,$NN$29/$NT$29)),0)</f>
        <v/>
      </c>
      <c r="EK29" s="228">
        <f>IF(AND(137&gt;=$NR$29,137&lt;=$NS$29),IF($NP$29="Single_Point",IF(137=$NR$29,$NN$29,0),IF($NP$29="Bell_Curve",$NN$29*(137-$NR$29+1)*($NS$29-137+1)/$NU$29,$NN$29/$NT$29)),0)</f>
        <v/>
      </c>
      <c r="EL29" s="228">
        <f>IF(AND(138&gt;=$NR$29,138&lt;=$NS$29),IF($NP$29="Single_Point",IF(138=$NR$29,$NN$29,0),IF($NP$29="Bell_Curve",$NN$29*(138-$NR$29+1)*($NS$29-138+1)/$NU$29,$NN$29/$NT$29)),0)</f>
        <v/>
      </c>
      <c r="EM29" s="228">
        <f>IF(AND(139&gt;=$NR$29,139&lt;=$NS$29),IF($NP$29="Single_Point",IF(139=$NR$29,$NN$29,0),IF($NP$29="Bell_Curve",$NN$29*(139-$NR$29+1)*($NS$29-139+1)/$NU$29,$NN$29/$NT$29)),0)</f>
        <v/>
      </c>
      <c r="EN29" s="228">
        <f>IF(AND(140&gt;=$NR$29,140&lt;=$NS$29),IF($NP$29="Single_Point",IF(140=$NR$29,$NN$29,0),IF($NP$29="Bell_Curve",$NN$29*(140-$NR$29+1)*($NS$29-140+1)/$NU$29,$NN$29/$NT$29)),0)</f>
        <v/>
      </c>
      <c r="EO29" s="228">
        <f>IF(AND(141&gt;=$NR$29,141&lt;=$NS$29),IF($NP$29="Single_Point",IF(141=$NR$29,$NN$29,0),IF($NP$29="Bell_Curve",$NN$29*(141-$NR$29+1)*($NS$29-141+1)/$NU$29,$NN$29/$NT$29)),0)</f>
        <v/>
      </c>
      <c r="EP29" s="228">
        <f>IF(AND(142&gt;=$NR$29,142&lt;=$NS$29),IF($NP$29="Single_Point",IF(142=$NR$29,$NN$29,0),IF($NP$29="Bell_Curve",$NN$29*(142-$NR$29+1)*($NS$29-142+1)/$NU$29,$NN$29/$NT$29)),0)</f>
        <v/>
      </c>
      <c r="EQ29" s="228">
        <f>IF(AND(143&gt;=$NR$29,143&lt;=$NS$29),IF($NP$29="Single_Point",IF(143=$NR$29,$NN$29,0),IF($NP$29="Bell_Curve",$NN$29*(143-$NR$29+1)*($NS$29-143+1)/$NU$29,$NN$29/$NT$29)),0)</f>
        <v/>
      </c>
      <c r="ER29" s="228">
        <f>IF(AND(144&gt;=$NR$29,144&lt;=$NS$29),IF($NP$29="Single_Point",IF(144=$NR$29,$NN$29,0),IF($NP$29="Bell_Curve",$NN$29*(144-$NR$29+1)*($NS$29-144+1)/$NU$29,$NN$29/$NT$29)),0)</f>
        <v/>
      </c>
      <c r="ES29" s="228">
        <f>IF(AND(145&gt;=$NR$29,145&lt;=$NS$29),IF($NP$29="Single_Point",IF(145=$NR$29,$NN$29,0),IF($NP$29="Bell_Curve",$NN$29*(145-$NR$29+1)*($NS$29-145+1)/$NU$29,$NN$29/$NT$29)),0)</f>
        <v/>
      </c>
      <c r="ET29" s="228">
        <f>IF(AND(146&gt;=$NR$29,146&lt;=$NS$29),IF($NP$29="Single_Point",IF(146=$NR$29,$NN$29,0),IF($NP$29="Bell_Curve",$NN$29*(146-$NR$29+1)*($NS$29-146+1)/$NU$29,$NN$29/$NT$29)),0)</f>
        <v/>
      </c>
      <c r="EU29" s="228">
        <f>IF(AND(147&gt;=$NR$29,147&lt;=$NS$29),IF($NP$29="Single_Point",IF(147=$NR$29,$NN$29,0),IF($NP$29="Bell_Curve",$NN$29*(147-$NR$29+1)*($NS$29-147+1)/$NU$29,$NN$29/$NT$29)),0)</f>
        <v/>
      </c>
      <c r="EV29" s="228">
        <f>IF(AND(148&gt;=$NR$29,148&lt;=$NS$29),IF($NP$29="Single_Point",IF(148=$NR$29,$NN$29,0),IF($NP$29="Bell_Curve",$NN$29*(148-$NR$29+1)*($NS$29-148+1)/$NU$29,$NN$29/$NT$29)),0)</f>
        <v/>
      </c>
      <c r="EW29" s="228">
        <f>IF(AND(149&gt;=$NR$29,149&lt;=$NS$29),IF($NP$29="Single_Point",IF(149=$NR$29,$NN$29,0),IF($NP$29="Bell_Curve",$NN$29*(149-$NR$29+1)*($NS$29-149+1)/$NU$29,$NN$29/$NT$29)),0)</f>
        <v/>
      </c>
      <c r="EX29" s="228">
        <f>IF(AND(150&gt;=$NR$29,150&lt;=$NS$29),IF($NP$29="Single_Point",IF(150=$NR$29,$NN$29,0),IF($NP$29="Bell_Curve",$NN$29*(150-$NR$29+1)*($NS$29-150+1)/$NU$29,$NN$29/$NT$29)),0)</f>
        <v/>
      </c>
      <c r="EY29" s="228">
        <f>IF(AND(151&gt;=$NR$29,151&lt;=$NS$29),IF($NP$29="Single_Point",IF(151=$NR$29,$NN$29,0),IF($NP$29="Bell_Curve",$NN$29*(151-$NR$29+1)*($NS$29-151+1)/$NU$29,$NN$29/$NT$29)),0)</f>
        <v/>
      </c>
      <c r="EZ29" s="228">
        <f>IF(AND(152&gt;=$NR$29,152&lt;=$NS$29),IF($NP$29="Single_Point",IF(152=$NR$29,$NN$29,0),IF($NP$29="Bell_Curve",$NN$29*(152-$NR$29+1)*($NS$29-152+1)/$NU$29,$NN$29/$NT$29)),0)</f>
        <v/>
      </c>
      <c r="FA29" s="228">
        <f>IF(AND(153&gt;=$NR$29,153&lt;=$NS$29),IF($NP$29="Single_Point",IF(153=$NR$29,$NN$29,0),IF($NP$29="Bell_Curve",$NN$29*(153-$NR$29+1)*($NS$29-153+1)/$NU$29,$NN$29/$NT$29)),0)</f>
        <v/>
      </c>
      <c r="FB29" s="228">
        <f>IF(AND(154&gt;=$NR$29,154&lt;=$NS$29),IF($NP$29="Single_Point",IF(154=$NR$29,$NN$29,0),IF($NP$29="Bell_Curve",$NN$29*(154-$NR$29+1)*($NS$29-154+1)/$NU$29,$NN$29/$NT$29)),0)</f>
        <v/>
      </c>
      <c r="FC29" s="228">
        <f>IF(AND(155&gt;=$NR$29,155&lt;=$NS$29),IF($NP$29="Single_Point",IF(155=$NR$29,$NN$29,0),IF($NP$29="Bell_Curve",$NN$29*(155-$NR$29+1)*($NS$29-155+1)/$NU$29,$NN$29/$NT$29)),0)</f>
        <v/>
      </c>
      <c r="FD29" s="228">
        <f>IF(AND(156&gt;=$NR$29,156&lt;=$NS$29),IF($NP$29="Single_Point",IF(156=$NR$29,$NN$29,0),IF($NP$29="Bell_Curve",$NN$29*(156-$NR$29+1)*($NS$29-156+1)/$NU$29,$NN$29/$NT$29)),0)</f>
        <v/>
      </c>
      <c r="FE29" s="228">
        <f>IF(AND(157&gt;=$NR$29,157&lt;=$NS$29),IF($NP$29="Single_Point",IF(157=$NR$29,$NN$29,0),IF($NP$29="Bell_Curve",$NN$29*(157-$NR$29+1)*($NS$29-157+1)/$NU$29,$NN$29/$NT$29)),0)</f>
        <v/>
      </c>
      <c r="FF29" s="228">
        <f>IF(AND(158&gt;=$NR$29,158&lt;=$NS$29),IF($NP$29="Single_Point",IF(158=$NR$29,$NN$29,0),IF($NP$29="Bell_Curve",$NN$29*(158-$NR$29+1)*($NS$29-158+1)/$NU$29,$NN$29/$NT$29)),0)</f>
        <v/>
      </c>
      <c r="FG29" s="228">
        <f>IF(AND(159&gt;=$NR$29,159&lt;=$NS$29),IF($NP$29="Single_Point",IF(159=$NR$29,$NN$29,0),IF($NP$29="Bell_Curve",$NN$29*(159-$NR$29+1)*($NS$29-159+1)/$NU$29,$NN$29/$NT$29)),0)</f>
        <v/>
      </c>
      <c r="FH29" s="228">
        <f>IF(AND(160&gt;=$NR$29,160&lt;=$NS$29),IF($NP$29="Single_Point",IF(160=$NR$29,$NN$29,0),IF($NP$29="Bell_Curve",$NN$29*(160-$NR$29+1)*($NS$29-160+1)/$NU$29,$NN$29/$NT$29)),0)</f>
        <v/>
      </c>
      <c r="FI29" s="228">
        <f>IF(AND(161&gt;=$NR$29,161&lt;=$NS$29),IF($NP$29="Single_Point",IF(161=$NR$29,$NN$29,0),IF($NP$29="Bell_Curve",$NN$29*(161-$NR$29+1)*($NS$29-161+1)/$NU$29,$NN$29/$NT$29)),0)</f>
        <v/>
      </c>
      <c r="FJ29" s="228">
        <f>IF(AND(162&gt;=$NR$29,162&lt;=$NS$29),IF($NP$29="Single_Point",IF(162=$NR$29,$NN$29,0),IF($NP$29="Bell_Curve",$NN$29*(162-$NR$29+1)*($NS$29-162+1)/$NU$29,$NN$29/$NT$29)),0)</f>
        <v/>
      </c>
      <c r="FK29" s="228">
        <f>IF(AND(163&gt;=$NR$29,163&lt;=$NS$29),IF($NP$29="Single_Point",IF(163=$NR$29,$NN$29,0),IF($NP$29="Bell_Curve",$NN$29*(163-$NR$29+1)*($NS$29-163+1)/$NU$29,$NN$29/$NT$29)),0)</f>
        <v/>
      </c>
      <c r="FL29" s="228">
        <f>IF(AND(164&gt;=$NR$29,164&lt;=$NS$29),IF($NP$29="Single_Point",IF(164=$NR$29,$NN$29,0),IF($NP$29="Bell_Curve",$NN$29*(164-$NR$29+1)*($NS$29-164+1)/$NU$29,$NN$29/$NT$29)),0)</f>
        <v/>
      </c>
      <c r="FM29" s="228">
        <f>IF(AND(165&gt;=$NR$29,165&lt;=$NS$29),IF($NP$29="Single_Point",IF(165=$NR$29,$NN$29,0),IF($NP$29="Bell_Curve",$NN$29*(165-$NR$29+1)*($NS$29-165+1)/$NU$29,$NN$29/$NT$29)),0)</f>
        <v/>
      </c>
      <c r="FN29" s="228">
        <f>IF(AND(166&gt;=$NR$29,166&lt;=$NS$29),IF($NP$29="Single_Point",IF(166=$NR$29,$NN$29,0),IF($NP$29="Bell_Curve",$NN$29*(166-$NR$29+1)*($NS$29-166+1)/$NU$29,$NN$29/$NT$29)),0)</f>
        <v/>
      </c>
      <c r="FO29" s="228">
        <f>IF(AND(167&gt;=$NR$29,167&lt;=$NS$29),IF($NP$29="Single_Point",IF(167=$NR$29,$NN$29,0),IF($NP$29="Bell_Curve",$NN$29*(167-$NR$29+1)*($NS$29-167+1)/$NU$29,$NN$29/$NT$29)),0)</f>
        <v/>
      </c>
      <c r="FP29" s="228">
        <f>IF(AND(168&gt;=$NR$29,168&lt;=$NS$29),IF($NP$29="Single_Point",IF(168=$NR$29,$NN$29,0),IF($NP$29="Bell_Curve",$NN$29*(168-$NR$29+1)*($NS$29-168+1)/$NU$29,$NN$29/$NT$29)),0)</f>
        <v/>
      </c>
      <c r="FQ29" s="228">
        <f>IF(AND(169&gt;=$NR$29,169&lt;=$NS$29),IF($NP$29="Single_Point",IF(169=$NR$29,$NN$29,0),IF($NP$29="Bell_Curve",$NN$29*(169-$NR$29+1)*($NS$29-169+1)/$NU$29,$NN$29/$NT$29)),0)</f>
        <v/>
      </c>
      <c r="FR29" s="228">
        <f>IF(AND(170&gt;=$NR$29,170&lt;=$NS$29),IF($NP$29="Single_Point",IF(170=$NR$29,$NN$29,0),IF($NP$29="Bell_Curve",$NN$29*(170-$NR$29+1)*($NS$29-170+1)/$NU$29,$NN$29/$NT$29)),0)</f>
        <v/>
      </c>
      <c r="FS29" s="228">
        <f>IF(AND(171&gt;=$NR$29,171&lt;=$NS$29),IF($NP$29="Single_Point",IF(171=$NR$29,$NN$29,0),IF($NP$29="Bell_Curve",$NN$29*(171-$NR$29+1)*($NS$29-171+1)/$NU$29,$NN$29/$NT$29)),0)</f>
        <v/>
      </c>
      <c r="FT29" s="228">
        <f>IF(AND(172&gt;=$NR$29,172&lt;=$NS$29),IF($NP$29="Single_Point",IF(172=$NR$29,$NN$29,0),IF($NP$29="Bell_Curve",$NN$29*(172-$NR$29+1)*($NS$29-172+1)/$NU$29,$NN$29/$NT$29)),0)</f>
        <v/>
      </c>
      <c r="FU29" s="228">
        <f>IF(AND(173&gt;=$NR$29,173&lt;=$NS$29),IF($NP$29="Single_Point",IF(173=$NR$29,$NN$29,0),IF($NP$29="Bell_Curve",$NN$29*(173-$NR$29+1)*($NS$29-173+1)/$NU$29,$NN$29/$NT$29)),0)</f>
        <v/>
      </c>
      <c r="FV29" s="228">
        <f>IF(AND(174&gt;=$NR$29,174&lt;=$NS$29),IF($NP$29="Single_Point",IF(174=$NR$29,$NN$29,0),IF($NP$29="Bell_Curve",$NN$29*(174-$NR$29+1)*($NS$29-174+1)/$NU$29,$NN$29/$NT$29)),0)</f>
        <v/>
      </c>
      <c r="FW29" s="228">
        <f>IF(AND(175&gt;=$NR$29,175&lt;=$NS$29),IF($NP$29="Single_Point",IF(175=$NR$29,$NN$29,0),IF($NP$29="Bell_Curve",$NN$29*(175-$NR$29+1)*($NS$29-175+1)/$NU$29,$NN$29/$NT$29)),0)</f>
        <v/>
      </c>
      <c r="FX29" s="228">
        <f>IF(AND(176&gt;=$NR$29,176&lt;=$NS$29),IF($NP$29="Single_Point",IF(176=$NR$29,$NN$29,0),IF($NP$29="Bell_Curve",$NN$29*(176-$NR$29+1)*($NS$29-176+1)/$NU$29,$NN$29/$NT$29)),0)</f>
        <v/>
      </c>
      <c r="FY29" s="228">
        <f>IF(AND(177&gt;=$NR$29,177&lt;=$NS$29),IF($NP$29="Single_Point",IF(177=$NR$29,$NN$29,0),IF($NP$29="Bell_Curve",$NN$29*(177-$NR$29+1)*($NS$29-177+1)/$NU$29,$NN$29/$NT$29)),0)</f>
        <v/>
      </c>
      <c r="FZ29" s="228">
        <f>IF(AND(178&gt;=$NR$29,178&lt;=$NS$29),IF($NP$29="Single_Point",IF(178=$NR$29,$NN$29,0),IF($NP$29="Bell_Curve",$NN$29*(178-$NR$29+1)*($NS$29-178+1)/$NU$29,$NN$29/$NT$29)),0)</f>
        <v/>
      </c>
      <c r="GA29" s="228">
        <f>IF(AND(179&gt;=$NR$29,179&lt;=$NS$29),IF($NP$29="Single_Point",IF(179=$NR$29,$NN$29,0),IF($NP$29="Bell_Curve",$NN$29*(179-$NR$29+1)*($NS$29-179+1)/$NU$29,$NN$29/$NT$29)),0)</f>
        <v/>
      </c>
      <c r="GB29" s="228">
        <f>IF(AND(180&gt;=$NR$29,180&lt;=$NS$29),IF($NP$29="Single_Point",IF(180=$NR$29,$NN$29,0),IF($NP$29="Bell_Curve",$NN$29*(180-$NR$29+1)*($NS$29-180+1)/$NU$29,$NN$29/$NT$29)),0)</f>
        <v/>
      </c>
      <c r="GC29" s="228">
        <f>IF(AND(181&gt;=$NR$29,181&lt;=$NS$29),IF($NP$29="Single_Point",IF(181=$NR$29,$NN$29,0),IF($NP$29="Bell_Curve",$NN$29*(181-$NR$29+1)*($NS$29-181+1)/$NU$29,$NN$29/$NT$29)),0)</f>
        <v/>
      </c>
      <c r="GD29" s="228">
        <f>IF(AND(182&gt;=$NR$29,182&lt;=$NS$29),IF($NP$29="Single_Point",IF(182=$NR$29,$NN$29,0),IF($NP$29="Bell_Curve",$NN$29*(182-$NR$29+1)*($NS$29-182+1)/$NU$29,$NN$29/$NT$29)),0)</f>
        <v/>
      </c>
      <c r="GE29" s="228">
        <f>IF(AND(183&gt;=$NR$29,183&lt;=$NS$29),IF($NP$29="Single_Point",IF(183=$NR$29,$NN$29,0),IF($NP$29="Bell_Curve",$NN$29*(183-$NR$29+1)*($NS$29-183+1)/$NU$29,$NN$29/$NT$29)),0)</f>
        <v/>
      </c>
      <c r="GF29" s="228">
        <f>IF(AND(184&gt;=$NR$29,184&lt;=$NS$29),IF($NP$29="Single_Point",IF(184=$NR$29,$NN$29,0),IF($NP$29="Bell_Curve",$NN$29*(184-$NR$29+1)*($NS$29-184+1)/$NU$29,$NN$29/$NT$29)),0)</f>
        <v/>
      </c>
      <c r="GG29" s="228">
        <f>IF(AND(185&gt;=$NR$29,185&lt;=$NS$29),IF($NP$29="Single_Point",IF(185=$NR$29,$NN$29,0),IF($NP$29="Bell_Curve",$NN$29*(185-$NR$29+1)*($NS$29-185+1)/$NU$29,$NN$29/$NT$29)),0)</f>
        <v/>
      </c>
      <c r="GH29" s="228">
        <f>IF(AND(186&gt;=$NR$29,186&lt;=$NS$29),IF($NP$29="Single_Point",IF(186=$NR$29,$NN$29,0),IF($NP$29="Bell_Curve",$NN$29*(186-$NR$29+1)*($NS$29-186+1)/$NU$29,$NN$29/$NT$29)),0)</f>
        <v/>
      </c>
      <c r="GI29" s="228">
        <f>IF(AND(187&gt;=$NR$29,187&lt;=$NS$29),IF($NP$29="Single_Point",IF(187=$NR$29,$NN$29,0),IF($NP$29="Bell_Curve",$NN$29*(187-$NR$29+1)*($NS$29-187+1)/$NU$29,$NN$29/$NT$29)),0)</f>
        <v/>
      </c>
      <c r="GJ29" s="228">
        <f>IF(AND(188&gt;=$NR$29,188&lt;=$NS$29),IF($NP$29="Single_Point",IF(188=$NR$29,$NN$29,0),IF($NP$29="Bell_Curve",$NN$29*(188-$NR$29+1)*($NS$29-188+1)/$NU$29,$NN$29/$NT$29)),0)</f>
        <v/>
      </c>
      <c r="GK29" s="228">
        <f>IF(AND(189&gt;=$NR$29,189&lt;=$NS$29),IF($NP$29="Single_Point",IF(189=$NR$29,$NN$29,0),IF($NP$29="Bell_Curve",$NN$29*(189-$NR$29+1)*($NS$29-189+1)/$NU$29,$NN$29/$NT$29)),0)</f>
        <v/>
      </c>
      <c r="GL29" s="228">
        <f>IF(AND(190&gt;=$NR$29,190&lt;=$NS$29),IF($NP$29="Single_Point",IF(190=$NR$29,$NN$29,0),IF($NP$29="Bell_Curve",$NN$29*(190-$NR$29+1)*($NS$29-190+1)/$NU$29,$NN$29/$NT$29)),0)</f>
        <v/>
      </c>
      <c r="GM29" s="228">
        <f>IF(AND(191&gt;=$NR$29,191&lt;=$NS$29),IF($NP$29="Single_Point",IF(191=$NR$29,$NN$29,0),IF($NP$29="Bell_Curve",$NN$29*(191-$NR$29+1)*($NS$29-191+1)/$NU$29,$NN$29/$NT$29)),0)</f>
        <v/>
      </c>
      <c r="GN29" s="228">
        <f>IF(AND(192&gt;=$NR$29,192&lt;=$NS$29),IF($NP$29="Single_Point",IF(192=$NR$29,$NN$29,0),IF($NP$29="Bell_Curve",$NN$29*(192-$NR$29+1)*($NS$29-192+1)/$NU$29,$NN$29/$NT$29)),0)</f>
        <v/>
      </c>
      <c r="GO29" s="228">
        <f>IF(AND(193&gt;=$NR$29,193&lt;=$NS$29),IF($NP$29="Single_Point",IF(193=$NR$29,$NN$29,0),IF($NP$29="Bell_Curve",$NN$29*(193-$NR$29+1)*($NS$29-193+1)/$NU$29,$NN$29/$NT$29)),0)</f>
        <v/>
      </c>
      <c r="GP29" s="228">
        <f>IF(AND(194&gt;=$NR$29,194&lt;=$NS$29),IF($NP$29="Single_Point",IF(194=$NR$29,$NN$29,0),IF($NP$29="Bell_Curve",$NN$29*(194-$NR$29+1)*($NS$29-194+1)/$NU$29,$NN$29/$NT$29)),0)</f>
        <v/>
      </c>
      <c r="GQ29" s="228">
        <f>IF(AND(195&gt;=$NR$29,195&lt;=$NS$29),IF($NP$29="Single_Point",IF(195=$NR$29,$NN$29,0),IF($NP$29="Bell_Curve",$NN$29*(195-$NR$29+1)*($NS$29-195+1)/$NU$29,$NN$29/$NT$29)),0)</f>
        <v/>
      </c>
      <c r="GR29" s="228">
        <f>IF(AND(196&gt;=$NR$29,196&lt;=$NS$29),IF($NP$29="Single_Point",IF(196=$NR$29,$NN$29,0),IF($NP$29="Bell_Curve",$NN$29*(196-$NR$29+1)*($NS$29-196+1)/$NU$29,$NN$29/$NT$29)),0)</f>
        <v/>
      </c>
      <c r="GS29" s="228">
        <f>IF(AND(197&gt;=$NR$29,197&lt;=$NS$29),IF($NP$29="Single_Point",IF(197=$NR$29,$NN$29,0),IF($NP$29="Bell_Curve",$NN$29*(197-$NR$29+1)*($NS$29-197+1)/$NU$29,$NN$29/$NT$29)),0)</f>
        <v/>
      </c>
      <c r="GT29" s="228">
        <f>IF(AND(198&gt;=$NR$29,198&lt;=$NS$29),IF($NP$29="Single_Point",IF(198=$NR$29,$NN$29,0),IF($NP$29="Bell_Curve",$NN$29*(198-$NR$29+1)*($NS$29-198+1)/$NU$29,$NN$29/$NT$29)),0)</f>
        <v/>
      </c>
      <c r="GU29" s="228">
        <f>IF(AND(199&gt;=$NR$29,199&lt;=$NS$29),IF($NP$29="Single_Point",IF(199=$NR$29,$NN$29,0),IF($NP$29="Bell_Curve",$NN$29*(199-$NR$29+1)*($NS$29-199+1)/$NU$29,$NN$29/$NT$29)),0)</f>
        <v/>
      </c>
      <c r="GV29" s="228">
        <f>IF(AND(200&gt;=$NR$29,200&lt;=$NS$29),IF($NP$29="Single_Point",IF(200=$NR$29,$NN$29,0),IF($NP$29="Bell_Curve",$NN$29*(200-$NR$29+1)*($NS$29-200+1)/$NU$29,$NN$29/$NT$29)),0)</f>
        <v/>
      </c>
      <c r="GW29" s="228">
        <f>IF(AND(201&gt;=$NR$29,201&lt;=$NS$29),IF($NP$29="Single_Point",IF(201=$NR$29,$NN$29,0),IF($NP$29="Bell_Curve",$NN$29*(201-$NR$29+1)*($NS$29-201+1)/$NU$29,$NN$29/$NT$29)),0)</f>
        <v/>
      </c>
      <c r="GX29" s="228">
        <f>IF(AND(202&gt;=$NR$29,202&lt;=$NS$29),IF($NP$29="Single_Point",IF(202=$NR$29,$NN$29,0),IF($NP$29="Bell_Curve",$NN$29*(202-$NR$29+1)*($NS$29-202+1)/$NU$29,$NN$29/$NT$29)),0)</f>
        <v/>
      </c>
      <c r="GY29" s="228">
        <f>IF(AND(203&gt;=$NR$29,203&lt;=$NS$29),IF($NP$29="Single_Point",IF(203=$NR$29,$NN$29,0),IF($NP$29="Bell_Curve",$NN$29*(203-$NR$29+1)*($NS$29-203+1)/$NU$29,$NN$29/$NT$29)),0)</f>
        <v/>
      </c>
      <c r="GZ29" s="228">
        <f>IF(AND(204&gt;=$NR$29,204&lt;=$NS$29),IF($NP$29="Single_Point",IF(204=$NR$29,$NN$29,0),IF($NP$29="Bell_Curve",$NN$29*(204-$NR$29+1)*($NS$29-204+1)/$NU$29,$NN$29/$NT$29)),0)</f>
        <v/>
      </c>
      <c r="HA29" s="228">
        <f>IF(AND(205&gt;=$NR$29,205&lt;=$NS$29),IF($NP$29="Single_Point",IF(205=$NR$29,$NN$29,0),IF($NP$29="Bell_Curve",$NN$29*(205-$NR$29+1)*($NS$29-205+1)/$NU$29,$NN$29/$NT$29)),0)</f>
        <v/>
      </c>
      <c r="HB29" s="228">
        <f>IF(AND(206&gt;=$NR$29,206&lt;=$NS$29),IF($NP$29="Single_Point",IF(206=$NR$29,$NN$29,0),IF($NP$29="Bell_Curve",$NN$29*(206-$NR$29+1)*($NS$29-206+1)/$NU$29,$NN$29/$NT$29)),0)</f>
        <v/>
      </c>
      <c r="HC29" s="228">
        <f>IF(AND(207&gt;=$NR$29,207&lt;=$NS$29),IF($NP$29="Single_Point",IF(207=$NR$29,$NN$29,0),IF($NP$29="Bell_Curve",$NN$29*(207-$NR$29+1)*($NS$29-207+1)/$NU$29,$NN$29/$NT$29)),0)</f>
        <v/>
      </c>
      <c r="HD29" s="228">
        <f>IF(AND(208&gt;=$NR$29,208&lt;=$NS$29),IF($NP$29="Single_Point",IF(208=$NR$29,$NN$29,0),IF($NP$29="Bell_Curve",$NN$29*(208-$NR$29+1)*($NS$29-208+1)/$NU$29,$NN$29/$NT$29)),0)</f>
        <v/>
      </c>
      <c r="HE29" s="228">
        <f>IF(AND(209&gt;=$NR$29,209&lt;=$NS$29),IF($NP$29="Single_Point",IF(209=$NR$29,$NN$29,0),IF($NP$29="Bell_Curve",$NN$29*(209-$NR$29+1)*($NS$29-209+1)/$NU$29,$NN$29/$NT$29)),0)</f>
        <v/>
      </c>
      <c r="HF29" s="228">
        <f>IF(AND(210&gt;=$NR$29,210&lt;=$NS$29),IF($NP$29="Single_Point",IF(210=$NR$29,$NN$29,0),IF($NP$29="Bell_Curve",$NN$29*(210-$NR$29+1)*($NS$29-210+1)/$NU$29,$NN$29/$NT$29)),0)</f>
        <v/>
      </c>
      <c r="HG29" s="228">
        <f>IF(AND(211&gt;=$NR$29,211&lt;=$NS$29),IF($NP$29="Single_Point",IF(211=$NR$29,$NN$29,0),IF($NP$29="Bell_Curve",$NN$29*(211-$NR$29+1)*($NS$29-211+1)/$NU$29,$NN$29/$NT$29)),0)</f>
        <v/>
      </c>
      <c r="HH29" s="228">
        <f>IF(AND(212&gt;=$NR$29,212&lt;=$NS$29),IF($NP$29="Single_Point",IF(212=$NR$29,$NN$29,0),IF($NP$29="Bell_Curve",$NN$29*(212-$NR$29+1)*($NS$29-212+1)/$NU$29,$NN$29/$NT$29)),0)</f>
        <v/>
      </c>
      <c r="HI29" s="228">
        <f>IF(AND(213&gt;=$NR$29,213&lt;=$NS$29),IF($NP$29="Single_Point",IF(213=$NR$29,$NN$29,0),IF($NP$29="Bell_Curve",$NN$29*(213-$NR$29+1)*($NS$29-213+1)/$NU$29,$NN$29/$NT$29)),0)</f>
        <v/>
      </c>
      <c r="HJ29" s="228">
        <f>IF(AND(214&gt;=$NR$29,214&lt;=$NS$29),IF($NP$29="Single_Point",IF(214=$NR$29,$NN$29,0),IF($NP$29="Bell_Curve",$NN$29*(214-$NR$29+1)*($NS$29-214+1)/$NU$29,$NN$29/$NT$29)),0)</f>
        <v/>
      </c>
      <c r="HK29" s="228">
        <f>IF(AND(215&gt;=$NR$29,215&lt;=$NS$29),IF($NP$29="Single_Point",IF(215=$NR$29,$NN$29,0),IF($NP$29="Bell_Curve",$NN$29*(215-$NR$29+1)*($NS$29-215+1)/$NU$29,$NN$29/$NT$29)),0)</f>
        <v/>
      </c>
      <c r="HL29" s="228">
        <f>IF(AND(216&gt;=$NR$29,216&lt;=$NS$29),IF($NP$29="Single_Point",IF(216=$NR$29,$NN$29,0),IF($NP$29="Bell_Curve",$NN$29*(216-$NR$29+1)*($NS$29-216+1)/$NU$29,$NN$29/$NT$29)),0)</f>
        <v/>
      </c>
      <c r="HM29" s="228">
        <f>IF(AND(217&gt;=$NR$29,217&lt;=$NS$29),IF($NP$29="Single_Point",IF(217=$NR$29,$NN$29,0),IF($NP$29="Bell_Curve",$NN$29*(217-$NR$29+1)*($NS$29-217+1)/$NU$29,$NN$29/$NT$29)),0)</f>
        <v/>
      </c>
      <c r="HN29" s="228">
        <f>IF(AND(218&gt;=$NR$29,218&lt;=$NS$29),IF($NP$29="Single_Point",IF(218=$NR$29,$NN$29,0),IF($NP$29="Bell_Curve",$NN$29*(218-$NR$29+1)*($NS$29-218+1)/$NU$29,$NN$29/$NT$29)),0)</f>
        <v/>
      </c>
      <c r="HO29" s="228">
        <f>IF(AND(219&gt;=$NR$29,219&lt;=$NS$29),IF($NP$29="Single_Point",IF(219=$NR$29,$NN$29,0),IF($NP$29="Bell_Curve",$NN$29*(219-$NR$29+1)*($NS$29-219+1)/$NU$29,$NN$29/$NT$29)),0)</f>
        <v/>
      </c>
      <c r="HP29" s="228">
        <f>IF(AND(220&gt;=$NR$29,220&lt;=$NS$29),IF($NP$29="Single_Point",IF(220=$NR$29,$NN$29,0),IF($NP$29="Bell_Curve",$NN$29*(220-$NR$29+1)*($NS$29-220+1)/$NU$29,$NN$29/$NT$29)),0)</f>
        <v/>
      </c>
      <c r="HQ29" s="228">
        <f>IF(AND(221&gt;=$NR$29,221&lt;=$NS$29),IF($NP$29="Single_Point",IF(221=$NR$29,$NN$29,0),IF($NP$29="Bell_Curve",$NN$29*(221-$NR$29+1)*($NS$29-221+1)/$NU$29,$NN$29/$NT$29)),0)</f>
        <v/>
      </c>
      <c r="HR29" s="228">
        <f>IF(AND(222&gt;=$NR$29,222&lt;=$NS$29),IF($NP$29="Single_Point",IF(222=$NR$29,$NN$29,0),IF($NP$29="Bell_Curve",$NN$29*(222-$NR$29+1)*($NS$29-222+1)/$NU$29,$NN$29/$NT$29)),0)</f>
        <v/>
      </c>
      <c r="HS29" s="228">
        <f>IF(AND(223&gt;=$NR$29,223&lt;=$NS$29),IF($NP$29="Single_Point",IF(223=$NR$29,$NN$29,0),IF($NP$29="Bell_Curve",$NN$29*(223-$NR$29+1)*($NS$29-223+1)/$NU$29,$NN$29/$NT$29)),0)</f>
        <v/>
      </c>
      <c r="HT29" s="228">
        <f>IF(AND(224&gt;=$NR$29,224&lt;=$NS$29),IF($NP$29="Single_Point",IF(224=$NR$29,$NN$29,0),IF($NP$29="Bell_Curve",$NN$29*(224-$NR$29+1)*($NS$29-224+1)/$NU$29,$NN$29/$NT$29)),0)</f>
        <v/>
      </c>
      <c r="HU29" s="228">
        <f>IF(AND(225&gt;=$NR$29,225&lt;=$NS$29),IF($NP$29="Single_Point",IF(225=$NR$29,$NN$29,0),IF($NP$29="Bell_Curve",$NN$29*(225-$NR$29+1)*($NS$29-225+1)/$NU$29,$NN$29/$NT$29)),0)</f>
        <v/>
      </c>
      <c r="HV29" s="228">
        <f>IF(AND(226&gt;=$NR$29,226&lt;=$NS$29),IF($NP$29="Single_Point",IF(226=$NR$29,$NN$29,0),IF($NP$29="Bell_Curve",$NN$29*(226-$NR$29+1)*($NS$29-226+1)/$NU$29,$NN$29/$NT$29)),0)</f>
        <v/>
      </c>
      <c r="HW29" s="228">
        <f>IF(AND(227&gt;=$NR$29,227&lt;=$NS$29),IF($NP$29="Single_Point",IF(227=$NR$29,$NN$29,0),IF($NP$29="Bell_Curve",$NN$29*(227-$NR$29+1)*($NS$29-227+1)/$NU$29,$NN$29/$NT$29)),0)</f>
        <v/>
      </c>
      <c r="HX29" s="228">
        <f>IF(AND(228&gt;=$NR$29,228&lt;=$NS$29),IF($NP$29="Single_Point",IF(228=$NR$29,$NN$29,0),IF($NP$29="Bell_Curve",$NN$29*(228-$NR$29+1)*($NS$29-228+1)/$NU$29,$NN$29/$NT$29)),0)</f>
        <v/>
      </c>
      <c r="HY29" s="228">
        <f>IF(AND(229&gt;=$NR$29,229&lt;=$NS$29),IF($NP$29="Single_Point",IF(229=$NR$29,$NN$29,0),IF($NP$29="Bell_Curve",$NN$29*(229-$NR$29+1)*($NS$29-229+1)/$NU$29,$NN$29/$NT$29)),0)</f>
        <v/>
      </c>
      <c r="HZ29" s="228">
        <f>IF(AND(230&gt;=$NR$29,230&lt;=$NS$29),IF($NP$29="Single_Point",IF(230=$NR$29,$NN$29,0),IF($NP$29="Bell_Curve",$NN$29*(230-$NR$29+1)*($NS$29-230+1)/$NU$29,$NN$29/$NT$29)),0)</f>
        <v/>
      </c>
      <c r="IA29" s="228">
        <f>IF(AND(231&gt;=$NR$29,231&lt;=$NS$29),IF($NP$29="Single_Point",IF(231=$NR$29,$NN$29,0),IF($NP$29="Bell_Curve",$NN$29*(231-$NR$29+1)*($NS$29-231+1)/$NU$29,$NN$29/$NT$29)),0)</f>
        <v/>
      </c>
      <c r="IB29" s="228">
        <f>IF(AND(232&gt;=$NR$29,232&lt;=$NS$29),IF($NP$29="Single_Point",IF(232=$NR$29,$NN$29,0),IF($NP$29="Bell_Curve",$NN$29*(232-$NR$29+1)*($NS$29-232+1)/$NU$29,$NN$29/$NT$29)),0)</f>
        <v/>
      </c>
      <c r="IC29" s="228">
        <f>IF(AND(233&gt;=$NR$29,233&lt;=$NS$29),IF($NP$29="Single_Point",IF(233=$NR$29,$NN$29,0),IF($NP$29="Bell_Curve",$NN$29*(233-$NR$29+1)*($NS$29-233+1)/$NU$29,$NN$29/$NT$29)),0)</f>
        <v/>
      </c>
      <c r="ID29" s="228">
        <f>IF(AND(234&gt;=$NR$29,234&lt;=$NS$29),IF($NP$29="Single_Point",IF(234=$NR$29,$NN$29,0),IF($NP$29="Bell_Curve",$NN$29*(234-$NR$29+1)*($NS$29-234+1)/$NU$29,$NN$29/$NT$29)),0)</f>
        <v/>
      </c>
      <c r="IE29" s="228">
        <f>IF(AND(235&gt;=$NR$29,235&lt;=$NS$29),IF($NP$29="Single_Point",IF(235=$NR$29,$NN$29,0),IF($NP$29="Bell_Curve",$NN$29*(235-$NR$29+1)*($NS$29-235+1)/$NU$29,$NN$29/$NT$29)),0)</f>
        <v/>
      </c>
      <c r="IF29" s="228">
        <f>IF(AND(236&gt;=$NR$29,236&lt;=$NS$29),IF($NP$29="Single_Point",IF(236=$NR$29,$NN$29,0),IF($NP$29="Bell_Curve",$NN$29*(236-$NR$29+1)*($NS$29-236+1)/$NU$29,$NN$29/$NT$29)),0)</f>
        <v/>
      </c>
      <c r="IG29" s="228">
        <f>IF(AND(237&gt;=$NR$29,237&lt;=$NS$29),IF($NP$29="Single_Point",IF(237=$NR$29,$NN$29,0),IF($NP$29="Bell_Curve",$NN$29*(237-$NR$29+1)*($NS$29-237+1)/$NU$29,$NN$29/$NT$29)),0)</f>
        <v/>
      </c>
      <c r="IH29" s="228">
        <f>IF(AND(238&gt;=$NR$29,238&lt;=$NS$29),IF($NP$29="Single_Point",IF(238=$NR$29,$NN$29,0),IF($NP$29="Bell_Curve",$NN$29*(238-$NR$29+1)*($NS$29-238+1)/$NU$29,$NN$29/$NT$29)),0)</f>
        <v/>
      </c>
      <c r="II29" s="228">
        <f>IF(AND(239&gt;=$NR$29,239&lt;=$NS$29),IF($NP$29="Single_Point",IF(239=$NR$29,$NN$29,0),IF($NP$29="Bell_Curve",$NN$29*(239-$NR$29+1)*($NS$29-239+1)/$NU$29,$NN$29/$NT$29)),0)</f>
        <v/>
      </c>
      <c r="IJ29" s="228">
        <f>IF(AND(240&gt;=$NR$29,240&lt;=$NS$29),IF($NP$29="Single_Point",IF(240=$NR$29,$NN$29,0),IF($NP$29="Bell_Curve",$NN$29*(240-$NR$29+1)*($NS$29-240+1)/$NU$29,$NN$29/$NT$29)),0)</f>
        <v/>
      </c>
      <c r="IK29" s="228">
        <f>IF(AND(241&gt;=$NR$29,241&lt;=$NS$29),IF($NP$29="Single_Point",IF(241=$NR$29,$NN$29,0),IF($NP$29="Bell_Curve",$NN$29*(241-$NR$29+1)*($NS$29-241+1)/$NU$29,$NN$29/$NT$29)),0)</f>
        <v/>
      </c>
      <c r="IL29" s="228">
        <f>IF(AND(242&gt;=$NR$29,242&lt;=$NS$29),IF($NP$29="Single_Point",IF(242=$NR$29,$NN$29,0),IF($NP$29="Bell_Curve",$NN$29*(242-$NR$29+1)*($NS$29-242+1)/$NU$29,$NN$29/$NT$29)),0)</f>
        <v/>
      </c>
      <c r="IM29" s="228">
        <f>IF(AND(243&gt;=$NR$29,243&lt;=$NS$29),IF($NP$29="Single_Point",IF(243=$NR$29,$NN$29,0),IF($NP$29="Bell_Curve",$NN$29*(243-$NR$29+1)*($NS$29-243+1)/$NU$29,$NN$29/$NT$29)),0)</f>
        <v/>
      </c>
      <c r="IN29" s="228">
        <f>IF(AND(244&gt;=$NR$29,244&lt;=$NS$29),IF($NP$29="Single_Point",IF(244=$NR$29,$NN$29,0),IF($NP$29="Bell_Curve",$NN$29*(244-$NR$29+1)*($NS$29-244+1)/$NU$29,$NN$29/$NT$29)),0)</f>
        <v/>
      </c>
      <c r="IO29" s="228">
        <f>IF(AND(245&gt;=$NR$29,245&lt;=$NS$29),IF($NP$29="Single_Point",IF(245=$NR$29,$NN$29,0),IF($NP$29="Bell_Curve",$NN$29*(245-$NR$29+1)*($NS$29-245+1)/$NU$29,$NN$29/$NT$29)),0)</f>
        <v/>
      </c>
      <c r="IP29" s="228">
        <f>IF(AND(246&gt;=$NR$29,246&lt;=$NS$29),IF($NP$29="Single_Point",IF(246=$NR$29,$NN$29,0),IF($NP$29="Bell_Curve",$NN$29*(246-$NR$29+1)*($NS$29-246+1)/$NU$29,$NN$29/$NT$29)),0)</f>
        <v/>
      </c>
      <c r="IQ29" s="228">
        <f>IF(AND(247&gt;=$NR$29,247&lt;=$NS$29),IF($NP$29="Single_Point",IF(247=$NR$29,$NN$29,0),IF($NP$29="Bell_Curve",$NN$29*(247-$NR$29+1)*($NS$29-247+1)/$NU$29,$NN$29/$NT$29)),0)</f>
        <v/>
      </c>
      <c r="IR29" s="228">
        <f>IF(AND(248&gt;=$NR$29,248&lt;=$NS$29),IF($NP$29="Single_Point",IF(248=$NR$29,$NN$29,0),IF($NP$29="Bell_Curve",$NN$29*(248-$NR$29+1)*($NS$29-248+1)/$NU$29,$NN$29/$NT$29)),0)</f>
        <v/>
      </c>
      <c r="IS29" s="228">
        <f>IF(AND(249&gt;=$NR$29,249&lt;=$NS$29),IF($NP$29="Single_Point",IF(249=$NR$29,$NN$29,0),IF($NP$29="Bell_Curve",$NN$29*(249-$NR$29+1)*($NS$29-249+1)/$NU$29,$NN$29/$NT$29)),0)</f>
        <v/>
      </c>
      <c r="IT29" s="228">
        <f>IF(AND(250&gt;=$NR$29,250&lt;=$NS$29),IF($NP$29="Single_Point",IF(250=$NR$29,$NN$29,0),IF($NP$29="Bell_Curve",$NN$29*(250-$NR$29+1)*($NS$29-250+1)/$NU$29,$NN$29/$NT$29)),0)</f>
        <v/>
      </c>
      <c r="IU29" s="228">
        <f>IF(AND(251&gt;=$NR$29,251&lt;=$NS$29),IF($NP$29="Single_Point",IF(251=$NR$29,$NN$29,0),IF($NP$29="Bell_Curve",$NN$29*(251-$NR$29+1)*($NS$29-251+1)/$NU$29,$NN$29/$NT$29)),0)</f>
        <v/>
      </c>
      <c r="IV29" s="228">
        <f>IF(AND(252&gt;=$NR$29,252&lt;=$NS$29),IF($NP$29="Single_Point",IF(252=$NR$29,$NN$29,0),IF($NP$29="Bell_Curve",$NN$29*(252-$NR$29+1)*($NS$29-252+1)/$NU$29,$NN$29/$NT$29)),0)</f>
        <v/>
      </c>
      <c r="IW29" s="228">
        <f>IF(AND(253&gt;=$NR$29,253&lt;=$NS$29),IF($NP$29="Single_Point",IF(253=$NR$29,$NN$29,0),IF($NP$29="Bell_Curve",$NN$29*(253-$NR$29+1)*($NS$29-253+1)/$NU$29,$NN$29/$NT$29)),0)</f>
        <v/>
      </c>
      <c r="IX29" s="228">
        <f>IF(AND(254&gt;=$NR$29,254&lt;=$NS$29),IF($NP$29="Single_Point",IF(254=$NR$29,$NN$29,0),IF($NP$29="Bell_Curve",$NN$29*(254-$NR$29+1)*($NS$29-254+1)/$NU$29,$NN$29/$NT$29)),0)</f>
        <v/>
      </c>
      <c r="IY29" s="228">
        <f>IF(AND(255&gt;=$NR$29,255&lt;=$NS$29),IF($NP$29="Single_Point",IF(255=$NR$29,$NN$29,0),IF($NP$29="Bell_Curve",$NN$29*(255-$NR$29+1)*($NS$29-255+1)/$NU$29,$NN$29/$NT$29)),0)</f>
        <v/>
      </c>
      <c r="IZ29" s="228">
        <f>IF(AND(256&gt;=$NR$29,256&lt;=$NS$29),IF($NP$29="Single_Point",IF(256=$NR$29,$NN$29,0),IF($NP$29="Bell_Curve",$NN$29*(256-$NR$29+1)*($NS$29-256+1)/$NU$29,$NN$29/$NT$29)),0)</f>
        <v/>
      </c>
      <c r="JA29" s="228">
        <f>IF(AND(257&gt;=$NR$29,257&lt;=$NS$29),IF($NP$29="Single_Point",IF(257=$NR$29,$NN$29,0),IF($NP$29="Bell_Curve",$NN$29*(257-$NR$29+1)*($NS$29-257+1)/$NU$29,$NN$29/$NT$29)),0)</f>
        <v/>
      </c>
      <c r="JB29" s="228">
        <f>IF(AND(258&gt;=$NR$29,258&lt;=$NS$29),IF($NP$29="Single_Point",IF(258=$NR$29,$NN$29,0),IF($NP$29="Bell_Curve",$NN$29*(258-$NR$29+1)*($NS$29-258+1)/$NU$29,$NN$29/$NT$29)),0)</f>
        <v/>
      </c>
      <c r="JC29" s="228">
        <f>IF(AND(259&gt;=$NR$29,259&lt;=$NS$29),IF($NP$29="Single_Point",IF(259=$NR$29,$NN$29,0),IF($NP$29="Bell_Curve",$NN$29*(259-$NR$29+1)*($NS$29-259+1)/$NU$29,$NN$29/$NT$29)),0)</f>
        <v/>
      </c>
      <c r="JD29" s="228">
        <f>IF(AND(260&gt;=$NR$29,260&lt;=$NS$29),IF($NP$29="Single_Point",IF(260=$NR$29,$NN$29,0),IF($NP$29="Bell_Curve",$NN$29*(260-$NR$29+1)*($NS$29-260+1)/$NU$29,$NN$29/$NT$29)),0)</f>
        <v/>
      </c>
      <c r="JE29" s="228">
        <f>IF(AND(261&gt;=$NR$29,261&lt;=$NS$29),IF($NP$29="Single_Point",IF(261=$NR$29,$NN$29,0),IF($NP$29="Bell_Curve",$NN$29*(261-$NR$29+1)*($NS$29-261+1)/$NU$29,$NN$29/$NT$29)),0)</f>
        <v/>
      </c>
      <c r="JF29" s="228">
        <f>IF(AND(262&gt;=$NR$29,262&lt;=$NS$29),IF($NP$29="Single_Point",IF(262=$NR$29,$NN$29,0),IF($NP$29="Bell_Curve",$NN$29*(262-$NR$29+1)*($NS$29-262+1)/$NU$29,$NN$29/$NT$29)),0)</f>
        <v/>
      </c>
      <c r="JG29" s="228">
        <f>IF(AND(263&gt;=$NR$29,263&lt;=$NS$29),IF($NP$29="Single_Point",IF(263=$NR$29,$NN$29,0),IF($NP$29="Bell_Curve",$NN$29*(263-$NR$29+1)*($NS$29-263+1)/$NU$29,$NN$29/$NT$29)),0)</f>
        <v/>
      </c>
      <c r="JH29" s="228">
        <f>IF(AND(264&gt;=$NR$29,264&lt;=$NS$29),IF($NP$29="Single_Point",IF(264=$NR$29,$NN$29,0),IF($NP$29="Bell_Curve",$NN$29*(264-$NR$29+1)*($NS$29-264+1)/$NU$29,$NN$29/$NT$29)),0)</f>
        <v/>
      </c>
      <c r="JI29" s="228">
        <f>IF(AND(265&gt;=$NR$29,265&lt;=$NS$29),IF($NP$29="Single_Point",IF(265=$NR$29,$NN$29,0),IF($NP$29="Bell_Curve",$NN$29*(265-$NR$29+1)*($NS$29-265+1)/$NU$29,$NN$29/$NT$29)),0)</f>
        <v/>
      </c>
      <c r="JJ29" s="228">
        <f>IF(AND(266&gt;=$NR$29,266&lt;=$NS$29),IF($NP$29="Single_Point",IF(266=$NR$29,$NN$29,0),IF($NP$29="Bell_Curve",$NN$29*(266-$NR$29+1)*($NS$29-266+1)/$NU$29,$NN$29/$NT$29)),0)</f>
        <v/>
      </c>
      <c r="JK29" s="228">
        <f>IF(AND(267&gt;=$NR$29,267&lt;=$NS$29),IF($NP$29="Single_Point",IF(267=$NR$29,$NN$29,0),IF($NP$29="Bell_Curve",$NN$29*(267-$NR$29+1)*($NS$29-267+1)/$NU$29,$NN$29/$NT$29)),0)</f>
        <v/>
      </c>
      <c r="JL29" s="228">
        <f>IF(AND(268&gt;=$NR$29,268&lt;=$NS$29),IF($NP$29="Single_Point",IF(268=$NR$29,$NN$29,0),IF($NP$29="Bell_Curve",$NN$29*(268-$NR$29+1)*($NS$29-268+1)/$NU$29,$NN$29/$NT$29)),0)</f>
        <v/>
      </c>
      <c r="JM29" s="228">
        <f>IF(AND(269&gt;=$NR$29,269&lt;=$NS$29),IF($NP$29="Single_Point",IF(269=$NR$29,$NN$29,0),IF($NP$29="Bell_Curve",$NN$29*(269-$NR$29+1)*($NS$29-269+1)/$NU$29,$NN$29/$NT$29)),0)</f>
        <v/>
      </c>
      <c r="JN29" s="228">
        <f>IF(AND(270&gt;=$NR$29,270&lt;=$NS$29),IF($NP$29="Single_Point",IF(270=$NR$29,$NN$29,0),IF($NP$29="Bell_Curve",$NN$29*(270-$NR$29+1)*($NS$29-270+1)/$NU$29,$NN$29/$NT$29)),0)</f>
        <v/>
      </c>
      <c r="JO29" s="228">
        <f>IF(AND(271&gt;=$NR$29,271&lt;=$NS$29),IF($NP$29="Single_Point",IF(271=$NR$29,$NN$29,0),IF($NP$29="Bell_Curve",$NN$29*(271-$NR$29+1)*($NS$29-271+1)/$NU$29,$NN$29/$NT$29)),0)</f>
        <v/>
      </c>
      <c r="JP29" s="228">
        <f>IF(AND(272&gt;=$NR$29,272&lt;=$NS$29),IF($NP$29="Single_Point",IF(272=$NR$29,$NN$29,0),IF($NP$29="Bell_Curve",$NN$29*(272-$NR$29+1)*($NS$29-272+1)/$NU$29,$NN$29/$NT$29)),0)</f>
        <v/>
      </c>
      <c r="JQ29" s="228">
        <f>IF(AND(273&gt;=$NR$29,273&lt;=$NS$29),IF($NP$29="Single_Point",IF(273=$NR$29,$NN$29,0),IF($NP$29="Bell_Curve",$NN$29*(273-$NR$29+1)*($NS$29-273+1)/$NU$29,$NN$29/$NT$29)),0)</f>
        <v/>
      </c>
      <c r="JR29" s="228">
        <f>IF(AND(274&gt;=$NR$29,274&lt;=$NS$29),IF($NP$29="Single_Point",IF(274=$NR$29,$NN$29,0),IF($NP$29="Bell_Curve",$NN$29*(274-$NR$29+1)*($NS$29-274+1)/$NU$29,$NN$29/$NT$29)),0)</f>
        <v/>
      </c>
      <c r="JS29" s="228">
        <f>IF(AND(275&gt;=$NR$29,275&lt;=$NS$29),IF($NP$29="Single_Point",IF(275=$NR$29,$NN$29,0),IF($NP$29="Bell_Curve",$NN$29*(275-$NR$29+1)*($NS$29-275+1)/$NU$29,$NN$29/$NT$29)),0)</f>
        <v/>
      </c>
      <c r="JT29" s="228">
        <f>IF(AND(276&gt;=$NR$29,276&lt;=$NS$29),IF($NP$29="Single_Point",IF(276=$NR$29,$NN$29,0),IF($NP$29="Bell_Curve",$NN$29*(276-$NR$29+1)*($NS$29-276+1)/$NU$29,$NN$29/$NT$29)),0)</f>
        <v/>
      </c>
      <c r="JU29" s="228">
        <f>IF(AND(277&gt;=$NR$29,277&lt;=$NS$29),IF($NP$29="Single_Point",IF(277=$NR$29,$NN$29,0),IF($NP$29="Bell_Curve",$NN$29*(277-$NR$29+1)*($NS$29-277+1)/$NU$29,$NN$29/$NT$29)),0)</f>
        <v/>
      </c>
      <c r="JV29" s="228">
        <f>IF(AND(278&gt;=$NR$29,278&lt;=$NS$29),IF($NP$29="Single_Point",IF(278=$NR$29,$NN$29,0),IF($NP$29="Bell_Curve",$NN$29*(278-$NR$29+1)*($NS$29-278+1)/$NU$29,$NN$29/$NT$29)),0)</f>
        <v/>
      </c>
      <c r="JW29" s="228">
        <f>IF(AND(279&gt;=$NR$29,279&lt;=$NS$29),IF($NP$29="Single_Point",IF(279=$NR$29,$NN$29,0),IF($NP$29="Bell_Curve",$NN$29*(279-$NR$29+1)*($NS$29-279+1)/$NU$29,$NN$29/$NT$29)),0)</f>
        <v/>
      </c>
      <c r="JX29" s="228">
        <f>IF(AND(280&gt;=$NR$29,280&lt;=$NS$29),IF($NP$29="Single_Point",IF(280=$NR$29,$NN$29,0),IF($NP$29="Bell_Curve",$NN$29*(280-$NR$29+1)*($NS$29-280+1)/$NU$29,$NN$29/$NT$29)),0)</f>
        <v/>
      </c>
      <c r="JY29" s="228">
        <f>IF(AND(281&gt;=$NR$29,281&lt;=$NS$29),IF($NP$29="Single_Point",IF(281=$NR$29,$NN$29,0),IF($NP$29="Bell_Curve",$NN$29*(281-$NR$29+1)*($NS$29-281+1)/$NU$29,$NN$29/$NT$29)),0)</f>
        <v/>
      </c>
      <c r="JZ29" s="228">
        <f>IF(AND(282&gt;=$NR$29,282&lt;=$NS$29),IF($NP$29="Single_Point",IF(282=$NR$29,$NN$29,0),IF($NP$29="Bell_Curve",$NN$29*(282-$NR$29+1)*($NS$29-282+1)/$NU$29,$NN$29/$NT$29)),0)</f>
        <v/>
      </c>
      <c r="KA29" s="228">
        <f>IF(AND(283&gt;=$NR$29,283&lt;=$NS$29),IF($NP$29="Single_Point",IF(283=$NR$29,$NN$29,0),IF($NP$29="Bell_Curve",$NN$29*(283-$NR$29+1)*($NS$29-283+1)/$NU$29,$NN$29/$NT$29)),0)</f>
        <v/>
      </c>
      <c r="KB29" s="228">
        <f>IF(AND(284&gt;=$NR$29,284&lt;=$NS$29),IF($NP$29="Single_Point",IF(284=$NR$29,$NN$29,0),IF($NP$29="Bell_Curve",$NN$29*(284-$NR$29+1)*($NS$29-284+1)/$NU$29,$NN$29/$NT$29)),0)</f>
        <v/>
      </c>
      <c r="KC29" s="228">
        <f>IF(AND(285&gt;=$NR$29,285&lt;=$NS$29),IF($NP$29="Single_Point",IF(285=$NR$29,$NN$29,0),IF($NP$29="Bell_Curve",$NN$29*(285-$NR$29+1)*($NS$29-285+1)/$NU$29,$NN$29/$NT$29)),0)</f>
        <v/>
      </c>
      <c r="KD29" s="228">
        <f>IF(AND(286&gt;=$NR$29,286&lt;=$NS$29),IF($NP$29="Single_Point",IF(286=$NR$29,$NN$29,0),IF($NP$29="Bell_Curve",$NN$29*(286-$NR$29+1)*($NS$29-286+1)/$NU$29,$NN$29/$NT$29)),0)</f>
        <v/>
      </c>
      <c r="KE29" s="228">
        <f>IF(AND(287&gt;=$NR$29,287&lt;=$NS$29),IF($NP$29="Single_Point",IF(287=$NR$29,$NN$29,0),IF($NP$29="Bell_Curve",$NN$29*(287-$NR$29+1)*($NS$29-287+1)/$NU$29,$NN$29/$NT$29)),0)</f>
        <v/>
      </c>
      <c r="KF29" s="228">
        <f>IF(AND(288&gt;=$NR$29,288&lt;=$NS$29),IF($NP$29="Single_Point",IF(288=$NR$29,$NN$29,0),IF($NP$29="Bell_Curve",$NN$29*(288-$NR$29+1)*($NS$29-288+1)/$NU$29,$NN$29/$NT$29)),0)</f>
        <v/>
      </c>
      <c r="KG29" s="228">
        <f>IF(AND(289&gt;=$NR$29,289&lt;=$NS$29),IF($NP$29="Single_Point",IF(289=$NR$29,$NN$29,0),IF($NP$29="Bell_Curve",$NN$29*(289-$NR$29+1)*($NS$29-289+1)/$NU$29,$NN$29/$NT$29)),0)</f>
        <v/>
      </c>
      <c r="KH29" s="228">
        <f>IF(AND(290&gt;=$NR$29,290&lt;=$NS$29),IF($NP$29="Single_Point",IF(290=$NR$29,$NN$29,0),IF($NP$29="Bell_Curve",$NN$29*(290-$NR$29+1)*($NS$29-290+1)/$NU$29,$NN$29/$NT$29)),0)</f>
        <v/>
      </c>
      <c r="KI29" s="228">
        <f>IF(AND(291&gt;=$NR$29,291&lt;=$NS$29),IF($NP$29="Single_Point",IF(291=$NR$29,$NN$29,0),IF($NP$29="Bell_Curve",$NN$29*(291-$NR$29+1)*($NS$29-291+1)/$NU$29,$NN$29/$NT$29)),0)</f>
        <v/>
      </c>
      <c r="KJ29" s="228">
        <f>IF(AND(292&gt;=$NR$29,292&lt;=$NS$29),IF($NP$29="Single_Point",IF(292=$NR$29,$NN$29,0),IF($NP$29="Bell_Curve",$NN$29*(292-$NR$29+1)*($NS$29-292+1)/$NU$29,$NN$29/$NT$29)),0)</f>
        <v/>
      </c>
      <c r="KK29" s="228">
        <f>IF(AND(293&gt;=$NR$29,293&lt;=$NS$29),IF($NP$29="Single_Point",IF(293=$NR$29,$NN$29,0),IF($NP$29="Bell_Curve",$NN$29*(293-$NR$29+1)*($NS$29-293+1)/$NU$29,$NN$29/$NT$29)),0)</f>
        <v/>
      </c>
      <c r="KL29" s="228">
        <f>IF(AND(294&gt;=$NR$29,294&lt;=$NS$29),IF($NP$29="Single_Point",IF(294=$NR$29,$NN$29,0),IF($NP$29="Bell_Curve",$NN$29*(294-$NR$29+1)*($NS$29-294+1)/$NU$29,$NN$29/$NT$29)),0)</f>
        <v/>
      </c>
      <c r="KM29" s="228">
        <f>IF(AND(295&gt;=$NR$29,295&lt;=$NS$29),IF($NP$29="Single_Point",IF(295=$NR$29,$NN$29,0),IF($NP$29="Bell_Curve",$NN$29*(295-$NR$29+1)*($NS$29-295+1)/$NU$29,$NN$29/$NT$29)),0)</f>
        <v/>
      </c>
      <c r="KN29" s="228">
        <f>IF(AND(296&gt;=$NR$29,296&lt;=$NS$29),IF($NP$29="Single_Point",IF(296=$NR$29,$NN$29,0),IF($NP$29="Bell_Curve",$NN$29*(296-$NR$29+1)*($NS$29-296+1)/$NU$29,$NN$29/$NT$29)),0)</f>
        <v/>
      </c>
      <c r="KO29" s="228">
        <f>IF(AND(297&gt;=$NR$29,297&lt;=$NS$29),IF($NP$29="Single_Point",IF(297=$NR$29,$NN$29,0),IF($NP$29="Bell_Curve",$NN$29*(297-$NR$29+1)*($NS$29-297+1)/$NU$29,$NN$29/$NT$29)),0)</f>
        <v/>
      </c>
      <c r="KP29" s="228">
        <f>IF(AND(298&gt;=$NR$29,298&lt;=$NS$29),IF($NP$29="Single_Point",IF(298=$NR$29,$NN$29,0),IF($NP$29="Bell_Curve",$NN$29*(298-$NR$29+1)*($NS$29-298+1)/$NU$29,$NN$29/$NT$29)),0)</f>
        <v/>
      </c>
      <c r="KQ29" s="228">
        <f>IF(AND(299&gt;=$NR$29,299&lt;=$NS$29),IF($NP$29="Single_Point",IF(299=$NR$29,$NN$29,0),IF($NP$29="Bell_Curve",$NN$29*(299-$NR$29+1)*($NS$29-299+1)/$NU$29,$NN$29/$NT$29)),0)</f>
        <v/>
      </c>
      <c r="KR29" s="228">
        <f>IF(AND(300&gt;=$NR$29,300&lt;=$NS$29),IF($NP$29="Single_Point",IF(300=$NR$29,$NN$29,0),IF($NP$29="Bell_Curve",$NN$29*(300-$NR$29+1)*($NS$29-300+1)/$NU$29,$NN$29/$NT$29)),0)</f>
        <v/>
      </c>
      <c r="KS29" s="228">
        <f>IF(AND(301&gt;=$NR$29,301&lt;=$NS$29),IF($NP$29="Single_Point",IF(301=$NR$29,$NN$29,0),IF($NP$29="Bell_Curve",$NN$29*(301-$NR$29+1)*($NS$29-301+1)/$NU$29,$NN$29/$NT$29)),0)</f>
        <v/>
      </c>
      <c r="KT29" s="228">
        <f>IF(AND(302&gt;=$NR$29,302&lt;=$NS$29),IF($NP$29="Single_Point",IF(302=$NR$29,$NN$29,0),IF($NP$29="Bell_Curve",$NN$29*(302-$NR$29+1)*($NS$29-302+1)/$NU$29,$NN$29/$NT$29)),0)</f>
        <v/>
      </c>
      <c r="KU29" s="228">
        <f>IF(AND(303&gt;=$NR$29,303&lt;=$NS$29),IF($NP$29="Single_Point",IF(303=$NR$29,$NN$29,0),IF($NP$29="Bell_Curve",$NN$29*(303-$NR$29+1)*($NS$29-303+1)/$NU$29,$NN$29/$NT$29)),0)</f>
        <v/>
      </c>
      <c r="KV29" s="228">
        <f>IF(AND(304&gt;=$NR$29,304&lt;=$NS$29),IF($NP$29="Single_Point",IF(304=$NR$29,$NN$29,0),IF($NP$29="Bell_Curve",$NN$29*(304-$NR$29+1)*($NS$29-304+1)/$NU$29,$NN$29/$NT$29)),0)</f>
        <v/>
      </c>
      <c r="KW29" s="228">
        <f>IF(AND(305&gt;=$NR$29,305&lt;=$NS$29),IF($NP$29="Single_Point",IF(305=$NR$29,$NN$29,0),IF($NP$29="Bell_Curve",$NN$29*(305-$NR$29+1)*($NS$29-305+1)/$NU$29,$NN$29/$NT$29)),0)</f>
        <v/>
      </c>
      <c r="KX29" s="228">
        <f>IF(AND(306&gt;=$NR$29,306&lt;=$NS$29),IF($NP$29="Single_Point",IF(306=$NR$29,$NN$29,0),IF($NP$29="Bell_Curve",$NN$29*(306-$NR$29+1)*($NS$29-306+1)/$NU$29,$NN$29/$NT$29)),0)</f>
        <v/>
      </c>
      <c r="KY29" s="228">
        <f>IF(AND(307&gt;=$NR$29,307&lt;=$NS$29),IF($NP$29="Single_Point",IF(307=$NR$29,$NN$29,0),IF($NP$29="Bell_Curve",$NN$29*(307-$NR$29+1)*($NS$29-307+1)/$NU$29,$NN$29/$NT$29)),0)</f>
        <v/>
      </c>
      <c r="KZ29" s="228">
        <f>IF(AND(308&gt;=$NR$29,308&lt;=$NS$29),IF($NP$29="Single_Point",IF(308=$NR$29,$NN$29,0),IF($NP$29="Bell_Curve",$NN$29*(308-$NR$29+1)*($NS$29-308+1)/$NU$29,$NN$29/$NT$29)),0)</f>
        <v/>
      </c>
      <c r="LA29" s="228">
        <f>IF(AND(309&gt;=$NR$29,309&lt;=$NS$29),IF($NP$29="Single_Point",IF(309=$NR$29,$NN$29,0),IF($NP$29="Bell_Curve",$NN$29*(309-$NR$29+1)*($NS$29-309+1)/$NU$29,$NN$29/$NT$29)),0)</f>
        <v/>
      </c>
      <c r="LB29" s="228">
        <f>IF(AND(310&gt;=$NR$29,310&lt;=$NS$29),IF($NP$29="Single_Point",IF(310=$NR$29,$NN$29,0),IF($NP$29="Bell_Curve",$NN$29*(310-$NR$29+1)*($NS$29-310+1)/$NU$29,$NN$29/$NT$29)),0)</f>
        <v/>
      </c>
      <c r="LC29" s="228">
        <f>IF(AND(311&gt;=$NR$29,311&lt;=$NS$29),IF($NP$29="Single_Point",IF(311=$NR$29,$NN$29,0),IF($NP$29="Bell_Curve",$NN$29*(311-$NR$29+1)*($NS$29-311+1)/$NU$29,$NN$29/$NT$29)),0)</f>
        <v/>
      </c>
      <c r="LD29" s="228">
        <f>IF(AND(312&gt;=$NR$29,312&lt;=$NS$29),IF($NP$29="Single_Point",IF(312=$NR$29,$NN$29,0),IF($NP$29="Bell_Curve",$NN$29*(312-$NR$29+1)*($NS$29-312+1)/$NU$29,$NN$29/$NT$29)),0)</f>
        <v/>
      </c>
      <c r="LE29" s="228">
        <f>IF(AND(313&gt;=$NR$29,313&lt;=$NS$29),IF($NP$29="Single_Point",IF(313=$NR$29,$NN$29,0),IF($NP$29="Bell_Curve",$NN$29*(313-$NR$29+1)*($NS$29-313+1)/$NU$29,$NN$29/$NT$29)),0)</f>
        <v/>
      </c>
      <c r="LF29" s="228">
        <f>IF(AND(314&gt;=$NR$29,314&lt;=$NS$29),IF($NP$29="Single_Point",IF(314=$NR$29,$NN$29,0),IF($NP$29="Bell_Curve",$NN$29*(314-$NR$29+1)*($NS$29-314+1)/$NU$29,$NN$29/$NT$29)),0)</f>
        <v/>
      </c>
      <c r="LG29" s="228">
        <f>IF(AND(315&gt;=$NR$29,315&lt;=$NS$29),IF($NP$29="Single_Point",IF(315=$NR$29,$NN$29,0),IF($NP$29="Bell_Curve",$NN$29*(315-$NR$29+1)*($NS$29-315+1)/$NU$29,$NN$29/$NT$29)),0)</f>
        <v/>
      </c>
      <c r="LH29" s="228">
        <f>IF(AND(316&gt;=$NR$29,316&lt;=$NS$29),IF($NP$29="Single_Point",IF(316=$NR$29,$NN$29,0),IF($NP$29="Bell_Curve",$NN$29*(316-$NR$29+1)*($NS$29-316+1)/$NU$29,$NN$29/$NT$29)),0)</f>
        <v/>
      </c>
      <c r="LI29" s="228">
        <f>IF(AND(317&gt;=$NR$29,317&lt;=$NS$29),IF($NP$29="Single_Point",IF(317=$NR$29,$NN$29,0),IF($NP$29="Bell_Curve",$NN$29*(317-$NR$29+1)*($NS$29-317+1)/$NU$29,$NN$29/$NT$29)),0)</f>
        <v/>
      </c>
      <c r="LJ29" s="228">
        <f>IF(AND(318&gt;=$NR$29,318&lt;=$NS$29),IF($NP$29="Single_Point",IF(318=$NR$29,$NN$29,0),IF($NP$29="Bell_Curve",$NN$29*(318-$NR$29+1)*($NS$29-318+1)/$NU$29,$NN$29/$NT$29)),0)</f>
        <v/>
      </c>
      <c r="LK29" s="228">
        <f>IF(AND(319&gt;=$NR$29,319&lt;=$NS$29),IF($NP$29="Single_Point",IF(319=$NR$29,$NN$29,0),IF($NP$29="Bell_Curve",$NN$29*(319-$NR$29+1)*($NS$29-319+1)/$NU$29,$NN$29/$NT$29)),0)</f>
        <v/>
      </c>
      <c r="LL29" s="228">
        <f>IF(AND(320&gt;=$NR$29,320&lt;=$NS$29),IF($NP$29="Single_Point",IF(320=$NR$29,$NN$29,0),IF($NP$29="Bell_Curve",$NN$29*(320-$NR$29+1)*($NS$29-320+1)/$NU$29,$NN$29/$NT$29)),0)</f>
        <v/>
      </c>
      <c r="LM29" s="228">
        <f>IF(AND(321&gt;=$NR$29,321&lt;=$NS$29),IF($NP$29="Single_Point",IF(321=$NR$29,$NN$29,0),IF($NP$29="Bell_Curve",$NN$29*(321-$NR$29+1)*($NS$29-321+1)/$NU$29,$NN$29/$NT$29)),0)</f>
        <v/>
      </c>
      <c r="LN29" s="228">
        <f>IF(AND(322&gt;=$NR$29,322&lt;=$NS$29),IF($NP$29="Single_Point",IF(322=$NR$29,$NN$29,0),IF($NP$29="Bell_Curve",$NN$29*(322-$NR$29+1)*($NS$29-322+1)/$NU$29,$NN$29/$NT$29)),0)</f>
        <v/>
      </c>
      <c r="LO29" s="228">
        <f>IF(AND(323&gt;=$NR$29,323&lt;=$NS$29),IF($NP$29="Single_Point",IF(323=$NR$29,$NN$29,0),IF($NP$29="Bell_Curve",$NN$29*(323-$NR$29+1)*($NS$29-323+1)/$NU$29,$NN$29/$NT$29)),0)</f>
        <v/>
      </c>
      <c r="LP29" s="228">
        <f>IF(AND(324&gt;=$NR$29,324&lt;=$NS$29),IF($NP$29="Single_Point",IF(324=$NR$29,$NN$29,0),IF($NP$29="Bell_Curve",$NN$29*(324-$NR$29+1)*($NS$29-324+1)/$NU$29,$NN$29/$NT$29)),0)</f>
        <v/>
      </c>
      <c r="LQ29" s="228">
        <f>IF(AND(325&gt;=$NR$29,325&lt;=$NS$29),IF($NP$29="Single_Point",IF(325=$NR$29,$NN$29,0),IF($NP$29="Bell_Curve",$NN$29*(325-$NR$29+1)*($NS$29-325+1)/$NU$29,$NN$29/$NT$29)),0)</f>
        <v/>
      </c>
      <c r="LR29" s="228">
        <f>IF(AND(326&gt;=$NR$29,326&lt;=$NS$29),IF($NP$29="Single_Point",IF(326=$NR$29,$NN$29,0),IF($NP$29="Bell_Curve",$NN$29*(326-$NR$29+1)*($NS$29-326+1)/$NU$29,$NN$29/$NT$29)),0)</f>
        <v/>
      </c>
      <c r="LS29" s="228">
        <f>IF(AND(327&gt;=$NR$29,327&lt;=$NS$29),IF($NP$29="Single_Point",IF(327=$NR$29,$NN$29,0),IF($NP$29="Bell_Curve",$NN$29*(327-$NR$29+1)*($NS$29-327+1)/$NU$29,$NN$29/$NT$29)),0)</f>
        <v/>
      </c>
      <c r="LT29" s="228">
        <f>IF(AND(328&gt;=$NR$29,328&lt;=$NS$29),IF($NP$29="Single_Point",IF(328=$NR$29,$NN$29,0),IF($NP$29="Bell_Curve",$NN$29*(328-$NR$29+1)*($NS$29-328+1)/$NU$29,$NN$29/$NT$29)),0)</f>
        <v/>
      </c>
      <c r="LU29" s="228">
        <f>IF(AND(329&gt;=$NR$29,329&lt;=$NS$29),IF($NP$29="Single_Point",IF(329=$NR$29,$NN$29,0),IF($NP$29="Bell_Curve",$NN$29*(329-$NR$29+1)*($NS$29-329+1)/$NU$29,$NN$29/$NT$29)),0)</f>
        <v/>
      </c>
      <c r="LV29" s="228">
        <f>IF(AND(330&gt;=$NR$29,330&lt;=$NS$29),IF($NP$29="Single_Point",IF(330=$NR$29,$NN$29,0),IF($NP$29="Bell_Curve",$NN$29*(330-$NR$29+1)*($NS$29-330+1)/$NU$29,$NN$29/$NT$29)),0)</f>
        <v/>
      </c>
      <c r="LW29" s="228">
        <f>IF(AND(331&gt;=$NR$29,331&lt;=$NS$29),IF($NP$29="Single_Point",IF(331=$NR$29,$NN$29,0),IF($NP$29="Bell_Curve",$NN$29*(331-$NR$29+1)*($NS$29-331+1)/$NU$29,$NN$29/$NT$29)),0)</f>
        <v/>
      </c>
      <c r="LX29" s="228">
        <f>IF(AND(332&gt;=$NR$29,332&lt;=$NS$29),IF($NP$29="Single_Point",IF(332=$NR$29,$NN$29,0),IF($NP$29="Bell_Curve",$NN$29*(332-$NR$29+1)*($NS$29-332+1)/$NU$29,$NN$29/$NT$29)),0)</f>
        <v/>
      </c>
      <c r="LY29" s="228">
        <f>IF(AND(333&gt;=$NR$29,333&lt;=$NS$29),IF($NP$29="Single_Point",IF(333=$NR$29,$NN$29,0),IF($NP$29="Bell_Curve",$NN$29*(333-$NR$29+1)*($NS$29-333+1)/$NU$29,$NN$29/$NT$29)),0)</f>
        <v/>
      </c>
      <c r="LZ29" s="228">
        <f>IF(AND(334&gt;=$NR$29,334&lt;=$NS$29),IF($NP$29="Single_Point",IF(334=$NR$29,$NN$29,0),IF($NP$29="Bell_Curve",$NN$29*(334-$NR$29+1)*($NS$29-334+1)/$NU$29,$NN$29/$NT$29)),0)</f>
        <v/>
      </c>
      <c r="MA29" s="228">
        <f>IF(AND(335&gt;=$NR$29,335&lt;=$NS$29),IF($NP$29="Single_Point",IF(335=$NR$29,$NN$29,0),IF($NP$29="Bell_Curve",$NN$29*(335-$NR$29+1)*($NS$29-335+1)/$NU$29,$NN$29/$NT$29)),0)</f>
        <v/>
      </c>
      <c r="MB29" s="228">
        <f>IF(AND(336&gt;=$NR$29,336&lt;=$NS$29),IF($NP$29="Single_Point",IF(336=$NR$29,$NN$29,0),IF($NP$29="Bell_Curve",$NN$29*(336-$NR$29+1)*($NS$29-336+1)/$NU$29,$NN$29/$NT$29)),0)</f>
        <v/>
      </c>
      <c r="MC29" s="228">
        <f>IF(AND(337&gt;=$NR$29,337&lt;=$NS$29),IF($NP$29="Single_Point",IF(337=$NR$29,$NN$29,0),IF($NP$29="Bell_Curve",$NN$29*(337-$NR$29+1)*($NS$29-337+1)/$NU$29,$NN$29/$NT$29)),0)</f>
        <v/>
      </c>
      <c r="MD29" s="228">
        <f>IF(AND(338&gt;=$NR$29,338&lt;=$NS$29),IF($NP$29="Single_Point",IF(338=$NR$29,$NN$29,0),IF($NP$29="Bell_Curve",$NN$29*(338-$NR$29+1)*($NS$29-338+1)/$NU$29,$NN$29/$NT$29)),0)</f>
        <v/>
      </c>
      <c r="ME29" s="228">
        <f>IF(AND(339&gt;=$NR$29,339&lt;=$NS$29),IF($NP$29="Single_Point",IF(339=$NR$29,$NN$29,0),IF($NP$29="Bell_Curve",$NN$29*(339-$NR$29+1)*($NS$29-339+1)/$NU$29,$NN$29/$NT$29)),0)</f>
        <v/>
      </c>
      <c r="MF29" s="228">
        <f>IF(AND(340&gt;=$NR$29,340&lt;=$NS$29),IF($NP$29="Single_Point",IF(340=$NR$29,$NN$29,0),IF($NP$29="Bell_Curve",$NN$29*(340-$NR$29+1)*($NS$29-340+1)/$NU$29,$NN$29/$NT$29)),0)</f>
        <v/>
      </c>
      <c r="MG29" s="228">
        <f>IF(AND(341&gt;=$NR$29,341&lt;=$NS$29),IF($NP$29="Single_Point",IF(341=$NR$29,$NN$29,0),IF($NP$29="Bell_Curve",$NN$29*(341-$NR$29+1)*($NS$29-341+1)/$NU$29,$NN$29/$NT$29)),0)</f>
        <v/>
      </c>
      <c r="MH29" s="228">
        <f>IF(AND(342&gt;=$NR$29,342&lt;=$NS$29),IF($NP$29="Single_Point",IF(342=$NR$29,$NN$29,0),IF($NP$29="Bell_Curve",$NN$29*(342-$NR$29+1)*($NS$29-342+1)/$NU$29,$NN$29/$NT$29)),0)</f>
        <v/>
      </c>
      <c r="MI29" s="228">
        <f>IF(AND(343&gt;=$NR$29,343&lt;=$NS$29),IF($NP$29="Single_Point",IF(343=$NR$29,$NN$29,0),IF($NP$29="Bell_Curve",$NN$29*(343-$NR$29+1)*($NS$29-343+1)/$NU$29,$NN$29/$NT$29)),0)</f>
        <v/>
      </c>
      <c r="MJ29" s="228">
        <f>IF(AND(344&gt;=$NR$29,344&lt;=$NS$29),IF($NP$29="Single_Point",IF(344=$NR$29,$NN$29,0),IF($NP$29="Bell_Curve",$NN$29*(344-$NR$29+1)*($NS$29-344+1)/$NU$29,$NN$29/$NT$29)),0)</f>
        <v/>
      </c>
      <c r="MK29" s="228">
        <f>IF(AND(345&gt;=$NR$29,345&lt;=$NS$29),IF($NP$29="Single_Point",IF(345=$NR$29,$NN$29,0),IF($NP$29="Bell_Curve",$NN$29*(345-$NR$29+1)*($NS$29-345+1)/$NU$29,$NN$29/$NT$29)),0)</f>
        <v/>
      </c>
      <c r="ML29" s="228">
        <f>IF(AND(346&gt;=$NR$29,346&lt;=$NS$29),IF($NP$29="Single_Point",IF(346=$NR$29,$NN$29,0),IF($NP$29="Bell_Curve",$NN$29*(346-$NR$29+1)*($NS$29-346+1)/$NU$29,$NN$29/$NT$29)),0)</f>
        <v/>
      </c>
      <c r="MM29" s="228">
        <f>IF(AND(347&gt;=$NR$29,347&lt;=$NS$29),IF($NP$29="Single_Point",IF(347=$NR$29,$NN$29,0),IF($NP$29="Bell_Curve",$NN$29*(347-$NR$29+1)*($NS$29-347+1)/$NU$29,$NN$29/$NT$29)),0)</f>
        <v/>
      </c>
      <c r="MN29" s="228">
        <f>IF(AND(348&gt;=$NR$29,348&lt;=$NS$29),IF($NP$29="Single_Point",IF(348=$NR$29,$NN$29,0),IF($NP$29="Bell_Curve",$NN$29*(348-$NR$29+1)*($NS$29-348+1)/$NU$29,$NN$29/$NT$29)),0)</f>
        <v/>
      </c>
      <c r="MO29" s="228">
        <f>IF(AND(349&gt;=$NR$29,349&lt;=$NS$29),IF($NP$29="Single_Point",IF(349=$NR$29,$NN$29,0),IF($NP$29="Bell_Curve",$NN$29*(349-$NR$29+1)*($NS$29-349+1)/$NU$29,$NN$29/$NT$29)),0)</f>
        <v/>
      </c>
      <c r="MP29" s="228">
        <f>IF(AND(350&gt;=$NR$29,350&lt;=$NS$29),IF($NP$29="Single_Point",IF(350=$NR$29,$NN$29,0),IF($NP$29="Bell_Curve",$NN$29*(350-$NR$29+1)*($NS$29-350+1)/$NU$29,$NN$29/$NT$29)),0)</f>
        <v/>
      </c>
      <c r="MQ29" s="228">
        <f>IF(AND(351&gt;=$NR$29,351&lt;=$NS$29),IF($NP$29="Single_Point",IF(351=$NR$29,$NN$29,0),IF($NP$29="Bell_Curve",$NN$29*(351-$NR$29+1)*($NS$29-351+1)/$NU$29,$NN$29/$NT$29)),0)</f>
        <v/>
      </c>
      <c r="MR29" s="228">
        <f>IF(AND(352&gt;=$NR$29,352&lt;=$NS$29),IF($NP$29="Single_Point",IF(352=$NR$29,$NN$29,0),IF($NP$29="Bell_Curve",$NN$29*(352-$NR$29+1)*($NS$29-352+1)/$NU$29,$NN$29/$NT$29)),0)</f>
        <v/>
      </c>
      <c r="MS29" s="228">
        <f>IF(AND(353&gt;=$NR$29,353&lt;=$NS$29),IF($NP$29="Single_Point",IF(353=$NR$29,$NN$29,0),IF($NP$29="Bell_Curve",$NN$29*(353-$NR$29+1)*($NS$29-353+1)/$NU$29,$NN$29/$NT$29)),0)</f>
        <v/>
      </c>
      <c r="MT29" s="228">
        <f>IF(AND(354&gt;=$NR$29,354&lt;=$NS$29),IF($NP$29="Single_Point",IF(354=$NR$29,$NN$29,0),IF($NP$29="Bell_Curve",$NN$29*(354-$NR$29+1)*($NS$29-354+1)/$NU$29,$NN$29/$NT$29)),0)</f>
        <v/>
      </c>
      <c r="MU29" s="228">
        <f>IF(AND(355&gt;=$NR$29,355&lt;=$NS$29),IF($NP$29="Single_Point",IF(355=$NR$29,$NN$29,0),IF($NP$29="Bell_Curve",$NN$29*(355-$NR$29+1)*($NS$29-355+1)/$NU$29,$NN$29/$NT$29)),0)</f>
        <v/>
      </c>
      <c r="MV29" s="228">
        <f>IF(AND(356&gt;=$NR$29,356&lt;=$NS$29),IF($NP$29="Single_Point",IF(356=$NR$29,$NN$29,0),IF($NP$29="Bell_Curve",$NN$29*(356-$NR$29+1)*($NS$29-356+1)/$NU$29,$NN$29/$NT$29)),0)</f>
        <v/>
      </c>
      <c r="MW29" s="228">
        <f>IF(AND(357&gt;=$NR$29,357&lt;=$NS$29),IF($NP$29="Single_Point",IF(357=$NR$29,$NN$29,0),IF($NP$29="Bell_Curve",$NN$29*(357-$NR$29+1)*($NS$29-357+1)/$NU$29,$NN$29/$NT$29)),0)</f>
        <v/>
      </c>
      <c r="MX29" s="228">
        <f>IF(AND(358&gt;=$NR$29,358&lt;=$NS$29),IF($NP$29="Single_Point",IF(358=$NR$29,$NN$29,0),IF($NP$29="Bell_Curve",$NN$29*(358-$NR$29+1)*($NS$29-358+1)/$NU$29,$NN$29/$NT$29)),0)</f>
        <v/>
      </c>
      <c r="MY29" s="228">
        <f>IF(AND(359&gt;=$NR$29,359&lt;=$NS$29),IF($NP$29="Single_Point",IF(359=$NR$29,$NN$29,0),IF($NP$29="Bell_Curve",$NN$29*(359-$NR$29+1)*($NS$29-359+1)/$NU$29,$NN$29/$NT$29)),0)</f>
        <v/>
      </c>
      <c r="MZ29" s="228">
        <f>IF(AND(360&gt;=$NR$29,360&lt;=$NS$29),IF($NP$29="Single_Point",IF(360=$NR$29,$NN$29,0),IF($NP$29="Bell_Curve",$NN$29*(360-$NR$29+1)*($NS$29-360+1)/$NU$29,$NN$29/$NT$29)),0)</f>
        <v/>
      </c>
      <c r="NA29" s="228">
        <f>IF(AND(361&gt;=$NR$29,361&lt;=$NS$29),IF($NP$29="Single_Point",IF(361=$NR$29,$NN$29,0),IF($NP$29="Bell_Curve",$NN$29*(361-$NR$29+1)*($NS$29-361+1)/$NU$29,$NN$29/$NT$29)),0)</f>
        <v/>
      </c>
      <c r="NB29" s="228">
        <f>IF(AND(362&gt;=$NR$29,362&lt;=$NS$29),IF($NP$29="Single_Point",IF(362=$NR$29,$NN$29,0),IF($NP$29="Bell_Curve",$NN$29*(362-$NR$29+1)*($NS$29-362+1)/$NU$29,$NN$29/$NT$29)),0)</f>
        <v/>
      </c>
      <c r="NC29" s="228">
        <f>IF(AND(363&gt;=$NR$29,363&lt;=$NS$29),IF($NP$29="Single_Point",IF(363=$NR$29,$NN$29,0),IF($NP$29="Bell_Curve",$NN$29*(363-$NR$29+1)*($NS$29-363+1)/$NU$29,$NN$29/$NT$29)),0)</f>
        <v/>
      </c>
      <c r="ND29" s="228">
        <f>IF(AND(364&gt;=$NR$29,364&lt;=$NS$29),IF($NP$29="Single_Point",IF(364=$NR$29,$NN$29,0),IF($NP$29="Bell_Curve",$NN$29*(364-$NR$29+1)*($NS$29-364+1)/$NU$29,$NN$29/$NT$29)),0)</f>
        <v/>
      </c>
      <c r="NE29" s="228">
        <f>IF(AND(365&gt;=$NR$29,365&lt;=$NS$29),IF($NP$29="Single_Point",IF(365=$NR$29,$NN$29,0),IF($NP$29="Bell_Curve",$NN$29*(365-$NR$29+1)*($NS$29-365+1)/$NU$29,$NN$29/$NT$29)),0)</f>
        <v/>
      </c>
      <c r="NF29" s="228">
        <f>IF(AND(366&gt;=$NR$29,366&lt;=$NS$29),IF($NP$29="Single_Point",IF(366=$NR$29,$NN$29,0),IF($NP$29="Bell_Curve",$NN$29*(366-$NR$29+1)*($NS$29-366+1)/$NU$29,$NN$29/$NT$29)),0)</f>
        <v/>
      </c>
      <c r="NG29" s="228">
        <f>IF(AND(367&gt;=$NR$29,367&lt;=$NS$29),IF($NP$29="Single_Point",IF(367=$NR$29,$NN$29,0),IF($NP$29="Bell_Curve",$NN$29*(367-$NR$29+1)*($NS$29-367+1)/$NU$29,$NN$29/$NT$29)),0)</f>
        <v/>
      </c>
      <c r="NH29" s="228">
        <f>IF(AND(368&gt;=$NR$29,368&lt;=$NS$29),IF($NP$29="Single_Point",IF(368=$NR$29,$NN$29,0),IF($NP$29="Bell_Curve",$NN$29*(368-$NR$29+1)*($NS$29-368+1)/$NU$29,$NN$29/$NT$29)),0)</f>
        <v/>
      </c>
      <c r="NI29" s="228">
        <f>IF(AND(369&gt;=$NR$29,369&lt;=$NS$29),IF($NP$29="Single_Point",IF(369=$NR$29,$NN$29,0),IF($NP$29="Bell_Curve",$NN$29*(369-$NR$29+1)*($NS$29-369+1)/$NU$29,$NN$29/$NT$29)),0)</f>
        <v/>
      </c>
      <c r="NJ29" s="228">
        <f>IF(AND(370&gt;=$NR$29,370&lt;=$NS$29),IF($NP$29="Single_Point",IF(370=$NR$29,$NN$29,0),IF($NP$29="Bell_Curve",$NN$29*(370-$NR$29+1)*($NS$29-370+1)/$NU$29,$NN$29/$NT$29)),0)</f>
        <v/>
      </c>
      <c r="NK29" s="228">
        <f>IF(AND(371&gt;=$NR$29,371&lt;=$NS$29),IF($NP$29="Single_Point",IF(371=$NR$29,$NN$29,0),IF($NP$29="Bell_Curve",$NN$29*(371-$NR$29+1)*($NS$29-371+1)/$NU$29,$NN$29/$NT$29)),0)</f>
        <v/>
      </c>
      <c r="NL29" s="247">
        <f>IF(AND(372&gt;=$NR$29,372&lt;=$NS$29),IF($NP$29="Single_Point",IF(372=$NR$29,$NN$29,0),IF($NP$29="Bell_Curve",$NN$29*(372-$NR$29+1)*($NS$29-372+1)/$NU$29,$NN$29/$NT$29)),0)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36" t="inlineStr">
        <is>
          <t>Other Hard Cost 4</t>
        </is>
      </c>
      <c r="D30" s="246">
        <f>SUM(E30:NL30)</f>
        <v/>
      </c>
      <c r="E30" s="228">
        <f>IF(AND(1&gt;=$NR$30,1&lt;=$NS$30),IF($NP$30="Single_Point",IF(1=$NR$30,$NN$30,0),IF($NP$30="Bell_Curve",$NN$30*(1-$NR$30+1)*($NS$30-1+1)/$NU$30,$NN$30/$NT$30)),0)</f>
        <v/>
      </c>
      <c r="F30" s="228">
        <f>IF(AND(2&gt;=$NR$30,2&lt;=$NS$30),IF($NP$30="Single_Point",IF(2=$NR$30,$NN$30,0),IF($NP$30="Bell_Curve",$NN$30*(2-$NR$30+1)*($NS$30-2+1)/$NU$30,$NN$30/$NT$30)),0)</f>
        <v/>
      </c>
      <c r="G30" s="228">
        <f>IF(AND(3&gt;=$NR$30,3&lt;=$NS$30),IF($NP$30="Single_Point",IF(3=$NR$30,$NN$30,0),IF($NP$30="Bell_Curve",$NN$30*(3-$NR$30+1)*($NS$30-3+1)/$NU$30,$NN$30/$NT$30)),0)</f>
        <v/>
      </c>
      <c r="H30" s="228">
        <f>IF(AND(4&gt;=$NR$30,4&lt;=$NS$30),IF($NP$30="Single_Point",IF(4=$NR$30,$NN$30,0),IF($NP$30="Bell_Curve",$NN$30*(4-$NR$30+1)*($NS$30-4+1)/$NU$30,$NN$30/$NT$30)),0)</f>
        <v/>
      </c>
      <c r="I30" s="228">
        <f>IF(AND(5&gt;=$NR$30,5&lt;=$NS$30),IF($NP$30="Single_Point",IF(5=$NR$30,$NN$30,0),IF($NP$30="Bell_Curve",$NN$30*(5-$NR$30+1)*($NS$30-5+1)/$NU$30,$NN$30/$NT$30)),0)</f>
        <v/>
      </c>
      <c r="J30" s="228">
        <f>IF(AND(6&gt;=$NR$30,6&lt;=$NS$30),IF($NP$30="Single_Point",IF(6=$NR$30,$NN$30,0),IF($NP$30="Bell_Curve",$NN$30*(6-$NR$30+1)*($NS$30-6+1)/$NU$30,$NN$30/$NT$30)),0)</f>
        <v/>
      </c>
      <c r="K30" s="228">
        <f>IF(AND(7&gt;=$NR$30,7&lt;=$NS$30),IF($NP$30="Single_Point",IF(7=$NR$30,$NN$30,0),IF($NP$30="Bell_Curve",$NN$30*(7-$NR$30+1)*($NS$30-7+1)/$NU$30,$NN$30/$NT$30)),0)</f>
        <v/>
      </c>
      <c r="L30" s="228">
        <f>IF(AND(8&gt;=$NR$30,8&lt;=$NS$30),IF($NP$30="Single_Point",IF(8=$NR$30,$NN$30,0),IF($NP$30="Bell_Curve",$NN$30*(8-$NR$30+1)*($NS$30-8+1)/$NU$30,$NN$30/$NT$30)),0)</f>
        <v/>
      </c>
      <c r="M30" s="228">
        <f>IF(AND(9&gt;=$NR$30,9&lt;=$NS$30),IF($NP$30="Single_Point",IF(9=$NR$30,$NN$30,0),IF($NP$30="Bell_Curve",$NN$30*(9-$NR$30+1)*($NS$30-9+1)/$NU$30,$NN$30/$NT$30)),0)</f>
        <v/>
      </c>
      <c r="N30" s="228">
        <f>IF(AND(10&gt;=$NR$30,10&lt;=$NS$30),IF($NP$30="Single_Point",IF(10=$NR$30,$NN$30,0),IF($NP$30="Bell_Curve",$NN$30*(10-$NR$30+1)*($NS$30-10+1)/$NU$30,$NN$30/$NT$30)),0)</f>
        <v/>
      </c>
      <c r="O30" s="228">
        <f>IF(AND(11&gt;=$NR$30,11&lt;=$NS$30),IF($NP$30="Single_Point",IF(11=$NR$30,$NN$30,0),IF($NP$30="Bell_Curve",$NN$30*(11-$NR$30+1)*($NS$30-11+1)/$NU$30,$NN$30/$NT$30)),0)</f>
        <v/>
      </c>
      <c r="P30" s="228">
        <f>IF(AND(12&gt;=$NR$30,12&lt;=$NS$30),IF($NP$30="Single_Point",IF(12=$NR$30,$NN$30,0),IF($NP$30="Bell_Curve",$NN$30*(12-$NR$30+1)*($NS$30-12+1)/$NU$30,$NN$30/$NT$30)),0)</f>
        <v/>
      </c>
      <c r="Q30" s="228">
        <f>IF(AND(13&gt;=$NR$30,13&lt;=$NS$30),IF($NP$30="Single_Point",IF(13=$NR$30,$NN$30,0),IF($NP$30="Bell_Curve",$NN$30*(13-$NR$30+1)*($NS$30-13+1)/$NU$30,$NN$30/$NT$30)),0)</f>
        <v/>
      </c>
      <c r="R30" s="228">
        <f>IF(AND(14&gt;=$NR$30,14&lt;=$NS$30),IF($NP$30="Single_Point",IF(14=$NR$30,$NN$30,0),IF($NP$30="Bell_Curve",$NN$30*(14-$NR$30+1)*($NS$30-14+1)/$NU$30,$NN$30/$NT$30)),0)</f>
        <v/>
      </c>
      <c r="S30" s="228">
        <f>IF(AND(15&gt;=$NR$30,15&lt;=$NS$30),IF($NP$30="Single_Point",IF(15=$NR$30,$NN$30,0),IF($NP$30="Bell_Curve",$NN$30*(15-$NR$30+1)*($NS$30-15+1)/$NU$30,$NN$30/$NT$30)),0)</f>
        <v/>
      </c>
      <c r="T30" s="228">
        <f>IF(AND(16&gt;=$NR$30,16&lt;=$NS$30),IF($NP$30="Single_Point",IF(16=$NR$30,$NN$30,0),IF($NP$30="Bell_Curve",$NN$30*(16-$NR$30+1)*($NS$30-16+1)/$NU$30,$NN$30/$NT$30)),0)</f>
        <v/>
      </c>
      <c r="U30" s="228">
        <f>IF(AND(17&gt;=$NR$30,17&lt;=$NS$30),IF($NP$30="Single_Point",IF(17=$NR$30,$NN$30,0),IF($NP$30="Bell_Curve",$NN$30*(17-$NR$30+1)*($NS$30-17+1)/$NU$30,$NN$30/$NT$30)),0)</f>
        <v/>
      </c>
      <c r="V30" s="228">
        <f>IF(AND(18&gt;=$NR$30,18&lt;=$NS$30),IF($NP$30="Single_Point",IF(18=$NR$30,$NN$30,0),IF($NP$30="Bell_Curve",$NN$30*(18-$NR$30+1)*($NS$30-18+1)/$NU$30,$NN$30/$NT$30)),0)</f>
        <v/>
      </c>
      <c r="W30" s="228">
        <f>IF(AND(19&gt;=$NR$30,19&lt;=$NS$30),IF($NP$30="Single_Point",IF(19=$NR$30,$NN$30,0),IF($NP$30="Bell_Curve",$NN$30*(19-$NR$30+1)*($NS$30-19+1)/$NU$30,$NN$30/$NT$30)),0)</f>
        <v/>
      </c>
      <c r="X30" s="228">
        <f>IF(AND(20&gt;=$NR$30,20&lt;=$NS$30),IF($NP$30="Single_Point",IF(20=$NR$30,$NN$30,0),IF($NP$30="Bell_Curve",$NN$30*(20-$NR$30+1)*($NS$30-20+1)/$NU$30,$NN$30/$NT$30)),0)</f>
        <v/>
      </c>
      <c r="Y30" s="228">
        <f>IF(AND(21&gt;=$NR$30,21&lt;=$NS$30),IF($NP$30="Single_Point",IF(21=$NR$30,$NN$30,0),IF($NP$30="Bell_Curve",$NN$30*(21-$NR$30+1)*($NS$30-21+1)/$NU$30,$NN$30/$NT$30)),0)</f>
        <v/>
      </c>
      <c r="Z30" s="228">
        <f>IF(AND(22&gt;=$NR$30,22&lt;=$NS$30),IF($NP$30="Single_Point",IF(22=$NR$30,$NN$30,0),IF($NP$30="Bell_Curve",$NN$30*(22-$NR$30+1)*($NS$30-22+1)/$NU$30,$NN$30/$NT$30)),0)</f>
        <v/>
      </c>
      <c r="AA30" s="228">
        <f>IF(AND(23&gt;=$NR$30,23&lt;=$NS$30),IF($NP$30="Single_Point",IF(23=$NR$30,$NN$30,0),IF($NP$30="Bell_Curve",$NN$30*(23-$NR$30+1)*($NS$30-23+1)/$NU$30,$NN$30/$NT$30)),0)</f>
        <v/>
      </c>
      <c r="AB30" s="228">
        <f>IF(AND(24&gt;=$NR$30,24&lt;=$NS$30),IF($NP$30="Single_Point",IF(24=$NR$30,$NN$30,0),IF($NP$30="Bell_Curve",$NN$30*(24-$NR$30+1)*($NS$30-24+1)/$NU$30,$NN$30/$NT$30)),0)</f>
        <v/>
      </c>
      <c r="AC30" s="228">
        <f>IF(AND(25&gt;=$NR$30,25&lt;=$NS$30),IF($NP$30="Single_Point",IF(25=$NR$30,$NN$30,0),IF($NP$30="Bell_Curve",$NN$30*(25-$NR$30+1)*($NS$30-25+1)/$NU$30,$NN$30/$NT$30)),0)</f>
        <v/>
      </c>
      <c r="AD30" s="228">
        <f>IF(AND(26&gt;=$NR$30,26&lt;=$NS$30),IF($NP$30="Single_Point",IF(26=$NR$30,$NN$30,0),IF($NP$30="Bell_Curve",$NN$30*(26-$NR$30+1)*($NS$30-26+1)/$NU$30,$NN$30/$NT$30)),0)</f>
        <v/>
      </c>
      <c r="AE30" s="228">
        <f>IF(AND(27&gt;=$NR$30,27&lt;=$NS$30),IF($NP$30="Single_Point",IF(27=$NR$30,$NN$30,0),IF($NP$30="Bell_Curve",$NN$30*(27-$NR$30+1)*($NS$30-27+1)/$NU$30,$NN$30/$NT$30)),0)</f>
        <v/>
      </c>
      <c r="AF30" s="228">
        <f>IF(AND(28&gt;=$NR$30,28&lt;=$NS$30),IF($NP$30="Single_Point",IF(28=$NR$30,$NN$30,0),IF($NP$30="Bell_Curve",$NN$30*(28-$NR$30+1)*($NS$30-28+1)/$NU$30,$NN$30/$NT$30)),0)</f>
        <v/>
      </c>
      <c r="AG30" s="228">
        <f>IF(AND(29&gt;=$NR$30,29&lt;=$NS$30),IF($NP$30="Single_Point",IF(29=$NR$30,$NN$30,0),IF($NP$30="Bell_Curve",$NN$30*(29-$NR$30+1)*($NS$30-29+1)/$NU$30,$NN$30/$NT$30)),0)</f>
        <v/>
      </c>
      <c r="AH30" s="228">
        <f>IF(AND(30&gt;=$NR$30,30&lt;=$NS$30),IF($NP$30="Single_Point",IF(30=$NR$30,$NN$30,0),IF($NP$30="Bell_Curve",$NN$30*(30-$NR$30+1)*($NS$30-30+1)/$NU$30,$NN$30/$NT$30)),0)</f>
        <v/>
      </c>
      <c r="AI30" s="228">
        <f>IF(AND(31&gt;=$NR$30,31&lt;=$NS$30),IF($NP$30="Single_Point",IF(31=$NR$30,$NN$30,0),IF($NP$30="Bell_Curve",$NN$30*(31-$NR$30+1)*($NS$30-31+1)/$NU$30,$NN$30/$NT$30)),0)</f>
        <v/>
      </c>
      <c r="AJ30" s="228">
        <f>IF(AND(32&gt;=$NR$30,32&lt;=$NS$30),IF($NP$30="Single_Point",IF(32=$NR$30,$NN$30,0),IF($NP$30="Bell_Curve",$NN$30*(32-$NR$30+1)*($NS$30-32+1)/$NU$30,$NN$30/$NT$30)),0)</f>
        <v/>
      </c>
      <c r="AK30" s="228">
        <f>IF(AND(33&gt;=$NR$30,33&lt;=$NS$30),IF($NP$30="Single_Point",IF(33=$NR$30,$NN$30,0),IF($NP$30="Bell_Curve",$NN$30*(33-$NR$30+1)*($NS$30-33+1)/$NU$30,$NN$30/$NT$30)),0)</f>
        <v/>
      </c>
      <c r="AL30" s="228">
        <f>IF(AND(34&gt;=$NR$30,34&lt;=$NS$30),IF($NP$30="Single_Point",IF(34=$NR$30,$NN$30,0),IF($NP$30="Bell_Curve",$NN$30*(34-$NR$30+1)*($NS$30-34+1)/$NU$30,$NN$30/$NT$30)),0)</f>
        <v/>
      </c>
      <c r="AM30" s="228">
        <f>IF(AND(35&gt;=$NR$30,35&lt;=$NS$30),IF($NP$30="Single_Point",IF(35=$NR$30,$NN$30,0),IF($NP$30="Bell_Curve",$NN$30*(35-$NR$30+1)*($NS$30-35+1)/$NU$30,$NN$30/$NT$30)),0)</f>
        <v/>
      </c>
      <c r="AN30" s="228">
        <f>IF(AND(36&gt;=$NR$30,36&lt;=$NS$30),IF($NP$30="Single_Point",IF(36=$NR$30,$NN$30,0),IF($NP$30="Bell_Curve",$NN$30*(36-$NR$30+1)*($NS$30-36+1)/$NU$30,$NN$30/$NT$30)),0)</f>
        <v/>
      </c>
      <c r="AO30" s="228">
        <f>IF(AND(37&gt;=$NR$30,37&lt;=$NS$30),IF($NP$30="Single_Point",IF(37=$NR$30,$NN$30,0),IF($NP$30="Bell_Curve",$NN$30*(37-$NR$30+1)*($NS$30-37+1)/$NU$30,$NN$30/$NT$30)),0)</f>
        <v/>
      </c>
      <c r="AP30" s="228">
        <f>IF(AND(38&gt;=$NR$30,38&lt;=$NS$30),IF($NP$30="Single_Point",IF(38=$NR$30,$NN$30,0),IF($NP$30="Bell_Curve",$NN$30*(38-$NR$30+1)*($NS$30-38+1)/$NU$30,$NN$30/$NT$30)),0)</f>
        <v/>
      </c>
      <c r="AQ30" s="228">
        <f>IF(AND(39&gt;=$NR$30,39&lt;=$NS$30),IF($NP$30="Single_Point",IF(39=$NR$30,$NN$30,0),IF($NP$30="Bell_Curve",$NN$30*(39-$NR$30+1)*($NS$30-39+1)/$NU$30,$NN$30/$NT$30)),0)</f>
        <v/>
      </c>
      <c r="AR30" s="228">
        <f>IF(AND(40&gt;=$NR$30,40&lt;=$NS$30),IF($NP$30="Single_Point",IF(40=$NR$30,$NN$30,0),IF($NP$30="Bell_Curve",$NN$30*(40-$NR$30+1)*($NS$30-40+1)/$NU$30,$NN$30/$NT$30)),0)</f>
        <v/>
      </c>
      <c r="AS30" s="228">
        <f>IF(AND(41&gt;=$NR$30,41&lt;=$NS$30),IF($NP$30="Single_Point",IF(41=$NR$30,$NN$30,0),IF($NP$30="Bell_Curve",$NN$30*(41-$NR$30+1)*($NS$30-41+1)/$NU$30,$NN$30/$NT$30)),0)</f>
        <v/>
      </c>
      <c r="AT30" s="228">
        <f>IF(AND(42&gt;=$NR$30,42&lt;=$NS$30),IF($NP$30="Single_Point",IF(42=$NR$30,$NN$30,0),IF($NP$30="Bell_Curve",$NN$30*(42-$NR$30+1)*($NS$30-42+1)/$NU$30,$NN$30/$NT$30)),0)</f>
        <v/>
      </c>
      <c r="AU30" s="228">
        <f>IF(AND(43&gt;=$NR$30,43&lt;=$NS$30),IF($NP$30="Single_Point",IF(43=$NR$30,$NN$30,0),IF($NP$30="Bell_Curve",$NN$30*(43-$NR$30+1)*($NS$30-43+1)/$NU$30,$NN$30/$NT$30)),0)</f>
        <v/>
      </c>
      <c r="AV30" s="228">
        <f>IF(AND(44&gt;=$NR$30,44&lt;=$NS$30),IF($NP$30="Single_Point",IF(44=$NR$30,$NN$30,0),IF($NP$30="Bell_Curve",$NN$30*(44-$NR$30+1)*($NS$30-44+1)/$NU$30,$NN$30/$NT$30)),0)</f>
        <v/>
      </c>
      <c r="AW30" s="228">
        <f>IF(AND(45&gt;=$NR$30,45&lt;=$NS$30),IF($NP$30="Single_Point",IF(45=$NR$30,$NN$30,0),IF($NP$30="Bell_Curve",$NN$30*(45-$NR$30+1)*($NS$30-45+1)/$NU$30,$NN$30/$NT$30)),0)</f>
        <v/>
      </c>
      <c r="AX30" s="228">
        <f>IF(AND(46&gt;=$NR$30,46&lt;=$NS$30),IF($NP$30="Single_Point",IF(46=$NR$30,$NN$30,0),IF($NP$30="Bell_Curve",$NN$30*(46-$NR$30+1)*($NS$30-46+1)/$NU$30,$NN$30/$NT$30)),0)</f>
        <v/>
      </c>
      <c r="AY30" s="228">
        <f>IF(AND(47&gt;=$NR$30,47&lt;=$NS$30),IF($NP$30="Single_Point",IF(47=$NR$30,$NN$30,0),IF($NP$30="Bell_Curve",$NN$30*(47-$NR$30+1)*($NS$30-47+1)/$NU$30,$NN$30/$NT$30)),0)</f>
        <v/>
      </c>
      <c r="AZ30" s="228">
        <f>IF(AND(48&gt;=$NR$30,48&lt;=$NS$30),IF($NP$30="Single_Point",IF(48=$NR$30,$NN$30,0),IF($NP$30="Bell_Curve",$NN$30*(48-$NR$30+1)*($NS$30-48+1)/$NU$30,$NN$30/$NT$30)),0)</f>
        <v/>
      </c>
      <c r="BA30" s="228">
        <f>IF(AND(49&gt;=$NR$30,49&lt;=$NS$30),IF($NP$30="Single_Point",IF(49=$NR$30,$NN$30,0),IF($NP$30="Bell_Curve",$NN$30*(49-$NR$30+1)*($NS$30-49+1)/$NU$30,$NN$30/$NT$30)),0)</f>
        <v/>
      </c>
      <c r="BB30" s="228">
        <f>IF(AND(50&gt;=$NR$30,50&lt;=$NS$30),IF($NP$30="Single_Point",IF(50=$NR$30,$NN$30,0),IF($NP$30="Bell_Curve",$NN$30*(50-$NR$30+1)*($NS$30-50+1)/$NU$30,$NN$30/$NT$30)),0)</f>
        <v/>
      </c>
      <c r="BC30" s="228">
        <f>IF(AND(51&gt;=$NR$30,51&lt;=$NS$30),IF($NP$30="Single_Point",IF(51=$NR$30,$NN$30,0),IF($NP$30="Bell_Curve",$NN$30*(51-$NR$30+1)*($NS$30-51+1)/$NU$30,$NN$30/$NT$30)),0)</f>
        <v/>
      </c>
      <c r="BD30" s="228">
        <f>IF(AND(52&gt;=$NR$30,52&lt;=$NS$30),IF($NP$30="Single_Point",IF(52=$NR$30,$NN$30,0),IF($NP$30="Bell_Curve",$NN$30*(52-$NR$30+1)*($NS$30-52+1)/$NU$30,$NN$30/$NT$30)),0)</f>
        <v/>
      </c>
      <c r="BE30" s="228">
        <f>IF(AND(53&gt;=$NR$30,53&lt;=$NS$30),IF($NP$30="Single_Point",IF(53=$NR$30,$NN$30,0),IF($NP$30="Bell_Curve",$NN$30*(53-$NR$30+1)*($NS$30-53+1)/$NU$30,$NN$30/$NT$30)),0)</f>
        <v/>
      </c>
      <c r="BF30" s="228">
        <f>IF(AND(54&gt;=$NR$30,54&lt;=$NS$30),IF($NP$30="Single_Point",IF(54=$NR$30,$NN$30,0),IF($NP$30="Bell_Curve",$NN$30*(54-$NR$30+1)*($NS$30-54+1)/$NU$30,$NN$30/$NT$30)),0)</f>
        <v/>
      </c>
      <c r="BG30" s="228">
        <f>IF(AND(55&gt;=$NR$30,55&lt;=$NS$30),IF($NP$30="Single_Point",IF(55=$NR$30,$NN$30,0),IF($NP$30="Bell_Curve",$NN$30*(55-$NR$30+1)*($NS$30-55+1)/$NU$30,$NN$30/$NT$30)),0)</f>
        <v/>
      </c>
      <c r="BH30" s="228">
        <f>IF(AND(56&gt;=$NR$30,56&lt;=$NS$30),IF($NP$30="Single_Point",IF(56=$NR$30,$NN$30,0),IF($NP$30="Bell_Curve",$NN$30*(56-$NR$30+1)*($NS$30-56+1)/$NU$30,$NN$30/$NT$30)),0)</f>
        <v/>
      </c>
      <c r="BI30" s="228">
        <f>IF(AND(57&gt;=$NR$30,57&lt;=$NS$30),IF($NP$30="Single_Point",IF(57=$NR$30,$NN$30,0),IF($NP$30="Bell_Curve",$NN$30*(57-$NR$30+1)*($NS$30-57+1)/$NU$30,$NN$30/$NT$30)),0)</f>
        <v/>
      </c>
      <c r="BJ30" s="228">
        <f>IF(AND(58&gt;=$NR$30,58&lt;=$NS$30),IF($NP$30="Single_Point",IF(58=$NR$30,$NN$30,0),IF($NP$30="Bell_Curve",$NN$30*(58-$NR$30+1)*($NS$30-58+1)/$NU$30,$NN$30/$NT$30)),0)</f>
        <v/>
      </c>
      <c r="BK30" s="228">
        <f>IF(AND(59&gt;=$NR$30,59&lt;=$NS$30),IF($NP$30="Single_Point",IF(59=$NR$30,$NN$30,0),IF($NP$30="Bell_Curve",$NN$30*(59-$NR$30+1)*($NS$30-59+1)/$NU$30,$NN$30/$NT$30)),0)</f>
        <v/>
      </c>
      <c r="BL30" s="228">
        <f>IF(AND(60&gt;=$NR$30,60&lt;=$NS$30),IF($NP$30="Single_Point",IF(60=$NR$30,$NN$30,0),IF($NP$30="Bell_Curve",$NN$30*(60-$NR$30+1)*($NS$30-60+1)/$NU$30,$NN$30/$NT$30)),0)</f>
        <v/>
      </c>
      <c r="BM30" s="228">
        <f>IF(AND(61&gt;=$NR$30,61&lt;=$NS$30),IF($NP$30="Single_Point",IF(61=$NR$30,$NN$30,0),IF($NP$30="Bell_Curve",$NN$30*(61-$NR$30+1)*($NS$30-61+1)/$NU$30,$NN$30/$NT$30)),0)</f>
        <v/>
      </c>
      <c r="BN30" s="228">
        <f>IF(AND(62&gt;=$NR$30,62&lt;=$NS$30),IF($NP$30="Single_Point",IF(62=$NR$30,$NN$30,0),IF($NP$30="Bell_Curve",$NN$30*(62-$NR$30+1)*($NS$30-62+1)/$NU$30,$NN$30/$NT$30)),0)</f>
        <v/>
      </c>
      <c r="BO30" s="228">
        <f>IF(AND(63&gt;=$NR$30,63&lt;=$NS$30),IF($NP$30="Single_Point",IF(63=$NR$30,$NN$30,0),IF($NP$30="Bell_Curve",$NN$30*(63-$NR$30+1)*($NS$30-63+1)/$NU$30,$NN$30/$NT$30)),0)</f>
        <v/>
      </c>
      <c r="BP30" s="228">
        <f>IF(AND(64&gt;=$NR$30,64&lt;=$NS$30),IF($NP$30="Single_Point",IF(64=$NR$30,$NN$30,0),IF($NP$30="Bell_Curve",$NN$30*(64-$NR$30+1)*($NS$30-64+1)/$NU$30,$NN$30/$NT$30)),0)</f>
        <v/>
      </c>
      <c r="BQ30" s="228">
        <f>IF(AND(65&gt;=$NR$30,65&lt;=$NS$30),IF($NP$30="Single_Point",IF(65=$NR$30,$NN$30,0),IF($NP$30="Bell_Curve",$NN$30*(65-$NR$30+1)*($NS$30-65+1)/$NU$30,$NN$30/$NT$30)),0)</f>
        <v/>
      </c>
      <c r="BR30" s="228">
        <f>IF(AND(66&gt;=$NR$30,66&lt;=$NS$30),IF($NP$30="Single_Point",IF(66=$NR$30,$NN$30,0),IF($NP$30="Bell_Curve",$NN$30*(66-$NR$30+1)*($NS$30-66+1)/$NU$30,$NN$30/$NT$30)),0)</f>
        <v/>
      </c>
      <c r="BS30" s="228">
        <f>IF(AND(67&gt;=$NR$30,67&lt;=$NS$30),IF($NP$30="Single_Point",IF(67=$NR$30,$NN$30,0),IF($NP$30="Bell_Curve",$NN$30*(67-$NR$30+1)*($NS$30-67+1)/$NU$30,$NN$30/$NT$30)),0)</f>
        <v/>
      </c>
      <c r="BT30" s="228">
        <f>IF(AND(68&gt;=$NR$30,68&lt;=$NS$30),IF($NP$30="Single_Point",IF(68=$NR$30,$NN$30,0),IF($NP$30="Bell_Curve",$NN$30*(68-$NR$30+1)*($NS$30-68+1)/$NU$30,$NN$30/$NT$30)),0)</f>
        <v/>
      </c>
      <c r="BU30" s="228">
        <f>IF(AND(69&gt;=$NR$30,69&lt;=$NS$30),IF($NP$30="Single_Point",IF(69=$NR$30,$NN$30,0),IF($NP$30="Bell_Curve",$NN$30*(69-$NR$30+1)*($NS$30-69+1)/$NU$30,$NN$30/$NT$30)),0)</f>
        <v/>
      </c>
      <c r="BV30" s="228">
        <f>IF(AND(70&gt;=$NR$30,70&lt;=$NS$30),IF($NP$30="Single_Point",IF(70=$NR$30,$NN$30,0),IF($NP$30="Bell_Curve",$NN$30*(70-$NR$30+1)*($NS$30-70+1)/$NU$30,$NN$30/$NT$30)),0)</f>
        <v/>
      </c>
      <c r="BW30" s="228">
        <f>IF(AND(71&gt;=$NR$30,71&lt;=$NS$30),IF($NP$30="Single_Point",IF(71=$NR$30,$NN$30,0),IF($NP$30="Bell_Curve",$NN$30*(71-$NR$30+1)*($NS$30-71+1)/$NU$30,$NN$30/$NT$30)),0)</f>
        <v/>
      </c>
      <c r="BX30" s="228">
        <f>IF(AND(72&gt;=$NR$30,72&lt;=$NS$30),IF($NP$30="Single_Point",IF(72=$NR$30,$NN$30,0),IF($NP$30="Bell_Curve",$NN$30*(72-$NR$30+1)*($NS$30-72+1)/$NU$30,$NN$30/$NT$30)),0)</f>
        <v/>
      </c>
      <c r="BY30" s="228">
        <f>IF(AND(73&gt;=$NR$30,73&lt;=$NS$30),IF($NP$30="Single_Point",IF(73=$NR$30,$NN$30,0),IF($NP$30="Bell_Curve",$NN$30*(73-$NR$30+1)*($NS$30-73+1)/$NU$30,$NN$30/$NT$30)),0)</f>
        <v/>
      </c>
      <c r="BZ30" s="228">
        <f>IF(AND(74&gt;=$NR$30,74&lt;=$NS$30),IF($NP$30="Single_Point",IF(74=$NR$30,$NN$30,0),IF($NP$30="Bell_Curve",$NN$30*(74-$NR$30+1)*($NS$30-74+1)/$NU$30,$NN$30/$NT$30)),0)</f>
        <v/>
      </c>
      <c r="CA30" s="228">
        <f>IF(AND(75&gt;=$NR$30,75&lt;=$NS$30),IF($NP$30="Single_Point",IF(75=$NR$30,$NN$30,0),IF($NP$30="Bell_Curve",$NN$30*(75-$NR$30+1)*($NS$30-75+1)/$NU$30,$NN$30/$NT$30)),0)</f>
        <v/>
      </c>
      <c r="CB30" s="228">
        <f>IF(AND(76&gt;=$NR$30,76&lt;=$NS$30),IF($NP$30="Single_Point",IF(76=$NR$30,$NN$30,0),IF($NP$30="Bell_Curve",$NN$30*(76-$NR$30+1)*($NS$30-76+1)/$NU$30,$NN$30/$NT$30)),0)</f>
        <v/>
      </c>
      <c r="CC30" s="228">
        <f>IF(AND(77&gt;=$NR$30,77&lt;=$NS$30),IF($NP$30="Single_Point",IF(77=$NR$30,$NN$30,0),IF($NP$30="Bell_Curve",$NN$30*(77-$NR$30+1)*($NS$30-77+1)/$NU$30,$NN$30/$NT$30)),0)</f>
        <v/>
      </c>
      <c r="CD30" s="228">
        <f>IF(AND(78&gt;=$NR$30,78&lt;=$NS$30),IF($NP$30="Single_Point",IF(78=$NR$30,$NN$30,0),IF($NP$30="Bell_Curve",$NN$30*(78-$NR$30+1)*($NS$30-78+1)/$NU$30,$NN$30/$NT$30)),0)</f>
        <v/>
      </c>
      <c r="CE30" s="228">
        <f>IF(AND(79&gt;=$NR$30,79&lt;=$NS$30),IF($NP$30="Single_Point",IF(79=$NR$30,$NN$30,0),IF($NP$30="Bell_Curve",$NN$30*(79-$NR$30+1)*($NS$30-79+1)/$NU$30,$NN$30/$NT$30)),0)</f>
        <v/>
      </c>
      <c r="CF30" s="228">
        <f>IF(AND(80&gt;=$NR$30,80&lt;=$NS$30),IF($NP$30="Single_Point",IF(80=$NR$30,$NN$30,0),IF($NP$30="Bell_Curve",$NN$30*(80-$NR$30+1)*($NS$30-80+1)/$NU$30,$NN$30/$NT$30)),0)</f>
        <v/>
      </c>
      <c r="CG30" s="228">
        <f>IF(AND(81&gt;=$NR$30,81&lt;=$NS$30),IF($NP$30="Single_Point",IF(81=$NR$30,$NN$30,0),IF($NP$30="Bell_Curve",$NN$30*(81-$NR$30+1)*($NS$30-81+1)/$NU$30,$NN$30/$NT$30)),0)</f>
        <v/>
      </c>
      <c r="CH30" s="228">
        <f>IF(AND(82&gt;=$NR$30,82&lt;=$NS$30),IF($NP$30="Single_Point",IF(82=$NR$30,$NN$30,0),IF($NP$30="Bell_Curve",$NN$30*(82-$NR$30+1)*($NS$30-82+1)/$NU$30,$NN$30/$NT$30)),0)</f>
        <v/>
      </c>
      <c r="CI30" s="228">
        <f>IF(AND(83&gt;=$NR$30,83&lt;=$NS$30),IF($NP$30="Single_Point",IF(83=$NR$30,$NN$30,0),IF($NP$30="Bell_Curve",$NN$30*(83-$NR$30+1)*($NS$30-83+1)/$NU$30,$NN$30/$NT$30)),0)</f>
        <v/>
      </c>
      <c r="CJ30" s="228">
        <f>IF(AND(84&gt;=$NR$30,84&lt;=$NS$30),IF($NP$30="Single_Point",IF(84=$NR$30,$NN$30,0),IF($NP$30="Bell_Curve",$NN$30*(84-$NR$30+1)*($NS$30-84+1)/$NU$30,$NN$30/$NT$30)),0)</f>
        <v/>
      </c>
      <c r="CK30" s="228">
        <f>IF(AND(85&gt;=$NR$30,85&lt;=$NS$30),IF($NP$30="Single_Point",IF(85=$NR$30,$NN$30,0),IF($NP$30="Bell_Curve",$NN$30*(85-$NR$30+1)*($NS$30-85+1)/$NU$30,$NN$30/$NT$30)),0)</f>
        <v/>
      </c>
      <c r="CL30" s="228">
        <f>IF(AND(86&gt;=$NR$30,86&lt;=$NS$30),IF($NP$30="Single_Point",IF(86=$NR$30,$NN$30,0),IF($NP$30="Bell_Curve",$NN$30*(86-$NR$30+1)*($NS$30-86+1)/$NU$30,$NN$30/$NT$30)),0)</f>
        <v/>
      </c>
      <c r="CM30" s="228">
        <f>IF(AND(87&gt;=$NR$30,87&lt;=$NS$30),IF($NP$30="Single_Point",IF(87=$NR$30,$NN$30,0),IF($NP$30="Bell_Curve",$NN$30*(87-$NR$30+1)*($NS$30-87+1)/$NU$30,$NN$30/$NT$30)),0)</f>
        <v/>
      </c>
      <c r="CN30" s="228">
        <f>IF(AND(88&gt;=$NR$30,88&lt;=$NS$30),IF($NP$30="Single_Point",IF(88=$NR$30,$NN$30,0),IF($NP$30="Bell_Curve",$NN$30*(88-$NR$30+1)*($NS$30-88+1)/$NU$30,$NN$30/$NT$30)),0)</f>
        <v/>
      </c>
      <c r="CO30" s="228">
        <f>IF(AND(89&gt;=$NR$30,89&lt;=$NS$30),IF($NP$30="Single_Point",IF(89=$NR$30,$NN$30,0),IF($NP$30="Bell_Curve",$NN$30*(89-$NR$30+1)*($NS$30-89+1)/$NU$30,$NN$30/$NT$30)),0)</f>
        <v/>
      </c>
      <c r="CP30" s="228">
        <f>IF(AND(90&gt;=$NR$30,90&lt;=$NS$30),IF($NP$30="Single_Point",IF(90=$NR$30,$NN$30,0),IF($NP$30="Bell_Curve",$NN$30*(90-$NR$30+1)*($NS$30-90+1)/$NU$30,$NN$30/$NT$30)),0)</f>
        <v/>
      </c>
      <c r="CQ30" s="228">
        <f>IF(AND(91&gt;=$NR$30,91&lt;=$NS$30),IF($NP$30="Single_Point",IF(91=$NR$30,$NN$30,0),IF($NP$30="Bell_Curve",$NN$30*(91-$NR$30+1)*($NS$30-91+1)/$NU$30,$NN$30/$NT$30)),0)</f>
        <v/>
      </c>
      <c r="CR30" s="228">
        <f>IF(AND(92&gt;=$NR$30,92&lt;=$NS$30),IF($NP$30="Single_Point",IF(92=$NR$30,$NN$30,0),IF($NP$30="Bell_Curve",$NN$30*(92-$NR$30+1)*($NS$30-92+1)/$NU$30,$NN$30/$NT$30)),0)</f>
        <v/>
      </c>
      <c r="CS30" s="228">
        <f>IF(AND(93&gt;=$NR$30,93&lt;=$NS$30),IF($NP$30="Single_Point",IF(93=$NR$30,$NN$30,0),IF($NP$30="Bell_Curve",$NN$30*(93-$NR$30+1)*($NS$30-93+1)/$NU$30,$NN$30/$NT$30)),0)</f>
        <v/>
      </c>
      <c r="CT30" s="228">
        <f>IF(AND(94&gt;=$NR$30,94&lt;=$NS$30),IF($NP$30="Single_Point",IF(94=$NR$30,$NN$30,0),IF($NP$30="Bell_Curve",$NN$30*(94-$NR$30+1)*($NS$30-94+1)/$NU$30,$NN$30/$NT$30)),0)</f>
        <v/>
      </c>
      <c r="CU30" s="228">
        <f>IF(AND(95&gt;=$NR$30,95&lt;=$NS$30),IF($NP$30="Single_Point",IF(95=$NR$30,$NN$30,0),IF($NP$30="Bell_Curve",$NN$30*(95-$NR$30+1)*($NS$30-95+1)/$NU$30,$NN$30/$NT$30)),0)</f>
        <v/>
      </c>
      <c r="CV30" s="228">
        <f>IF(AND(96&gt;=$NR$30,96&lt;=$NS$30),IF($NP$30="Single_Point",IF(96=$NR$30,$NN$30,0),IF($NP$30="Bell_Curve",$NN$30*(96-$NR$30+1)*($NS$30-96+1)/$NU$30,$NN$30/$NT$30)),0)</f>
        <v/>
      </c>
      <c r="CW30" s="228">
        <f>IF(AND(97&gt;=$NR$30,97&lt;=$NS$30),IF($NP$30="Single_Point",IF(97=$NR$30,$NN$30,0),IF($NP$30="Bell_Curve",$NN$30*(97-$NR$30+1)*($NS$30-97+1)/$NU$30,$NN$30/$NT$30)),0)</f>
        <v/>
      </c>
      <c r="CX30" s="228">
        <f>IF(AND(98&gt;=$NR$30,98&lt;=$NS$30),IF($NP$30="Single_Point",IF(98=$NR$30,$NN$30,0),IF($NP$30="Bell_Curve",$NN$30*(98-$NR$30+1)*($NS$30-98+1)/$NU$30,$NN$30/$NT$30)),0)</f>
        <v/>
      </c>
      <c r="CY30" s="228">
        <f>IF(AND(99&gt;=$NR$30,99&lt;=$NS$30),IF($NP$30="Single_Point",IF(99=$NR$30,$NN$30,0),IF($NP$30="Bell_Curve",$NN$30*(99-$NR$30+1)*($NS$30-99+1)/$NU$30,$NN$30/$NT$30)),0)</f>
        <v/>
      </c>
      <c r="CZ30" s="228">
        <f>IF(AND(100&gt;=$NR$30,100&lt;=$NS$30),IF($NP$30="Single_Point",IF(100=$NR$30,$NN$30,0),IF($NP$30="Bell_Curve",$NN$30*(100-$NR$30+1)*($NS$30-100+1)/$NU$30,$NN$30/$NT$30)),0)</f>
        <v/>
      </c>
      <c r="DA30" s="228">
        <f>IF(AND(101&gt;=$NR$30,101&lt;=$NS$30),IF($NP$30="Single_Point",IF(101=$NR$30,$NN$30,0),IF($NP$30="Bell_Curve",$NN$30*(101-$NR$30+1)*($NS$30-101+1)/$NU$30,$NN$30/$NT$30)),0)</f>
        <v/>
      </c>
      <c r="DB30" s="228">
        <f>IF(AND(102&gt;=$NR$30,102&lt;=$NS$30),IF($NP$30="Single_Point",IF(102=$NR$30,$NN$30,0),IF($NP$30="Bell_Curve",$NN$30*(102-$NR$30+1)*($NS$30-102+1)/$NU$30,$NN$30/$NT$30)),0)</f>
        <v/>
      </c>
      <c r="DC30" s="228">
        <f>IF(AND(103&gt;=$NR$30,103&lt;=$NS$30),IF($NP$30="Single_Point",IF(103=$NR$30,$NN$30,0),IF($NP$30="Bell_Curve",$NN$30*(103-$NR$30+1)*($NS$30-103+1)/$NU$30,$NN$30/$NT$30)),0)</f>
        <v/>
      </c>
      <c r="DD30" s="228">
        <f>IF(AND(104&gt;=$NR$30,104&lt;=$NS$30),IF($NP$30="Single_Point",IF(104=$NR$30,$NN$30,0),IF($NP$30="Bell_Curve",$NN$30*(104-$NR$30+1)*($NS$30-104+1)/$NU$30,$NN$30/$NT$30)),0)</f>
        <v/>
      </c>
      <c r="DE30" s="228">
        <f>IF(AND(105&gt;=$NR$30,105&lt;=$NS$30),IF($NP$30="Single_Point",IF(105=$NR$30,$NN$30,0),IF($NP$30="Bell_Curve",$NN$30*(105-$NR$30+1)*($NS$30-105+1)/$NU$30,$NN$30/$NT$30)),0)</f>
        <v/>
      </c>
      <c r="DF30" s="228">
        <f>IF(AND(106&gt;=$NR$30,106&lt;=$NS$30),IF($NP$30="Single_Point",IF(106=$NR$30,$NN$30,0),IF($NP$30="Bell_Curve",$NN$30*(106-$NR$30+1)*($NS$30-106+1)/$NU$30,$NN$30/$NT$30)),0)</f>
        <v/>
      </c>
      <c r="DG30" s="228">
        <f>IF(AND(107&gt;=$NR$30,107&lt;=$NS$30),IF($NP$30="Single_Point",IF(107=$NR$30,$NN$30,0),IF($NP$30="Bell_Curve",$NN$30*(107-$NR$30+1)*($NS$30-107+1)/$NU$30,$NN$30/$NT$30)),0)</f>
        <v/>
      </c>
      <c r="DH30" s="228">
        <f>IF(AND(108&gt;=$NR$30,108&lt;=$NS$30),IF($NP$30="Single_Point",IF(108=$NR$30,$NN$30,0),IF($NP$30="Bell_Curve",$NN$30*(108-$NR$30+1)*($NS$30-108+1)/$NU$30,$NN$30/$NT$30)),0)</f>
        <v/>
      </c>
      <c r="DI30" s="228">
        <f>IF(AND(109&gt;=$NR$30,109&lt;=$NS$30),IF($NP$30="Single_Point",IF(109=$NR$30,$NN$30,0),IF($NP$30="Bell_Curve",$NN$30*(109-$NR$30+1)*($NS$30-109+1)/$NU$30,$NN$30/$NT$30)),0)</f>
        <v/>
      </c>
      <c r="DJ30" s="228">
        <f>IF(AND(110&gt;=$NR$30,110&lt;=$NS$30),IF($NP$30="Single_Point",IF(110=$NR$30,$NN$30,0),IF($NP$30="Bell_Curve",$NN$30*(110-$NR$30+1)*($NS$30-110+1)/$NU$30,$NN$30/$NT$30)),0)</f>
        <v/>
      </c>
      <c r="DK30" s="228">
        <f>IF(AND(111&gt;=$NR$30,111&lt;=$NS$30),IF($NP$30="Single_Point",IF(111=$NR$30,$NN$30,0),IF($NP$30="Bell_Curve",$NN$30*(111-$NR$30+1)*($NS$30-111+1)/$NU$30,$NN$30/$NT$30)),0)</f>
        <v/>
      </c>
      <c r="DL30" s="228">
        <f>IF(AND(112&gt;=$NR$30,112&lt;=$NS$30),IF($NP$30="Single_Point",IF(112=$NR$30,$NN$30,0),IF($NP$30="Bell_Curve",$NN$30*(112-$NR$30+1)*($NS$30-112+1)/$NU$30,$NN$30/$NT$30)),0)</f>
        <v/>
      </c>
      <c r="DM30" s="228">
        <f>IF(AND(113&gt;=$NR$30,113&lt;=$NS$30),IF($NP$30="Single_Point",IF(113=$NR$30,$NN$30,0),IF($NP$30="Bell_Curve",$NN$30*(113-$NR$30+1)*($NS$30-113+1)/$NU$30,$NN$30/$NT$30)),0)</f>
        <v/>
      </c>
      <c r="DN30" s="228">
        <f>IF(AND(114&gt;=$NR$30,114&lt;=$NS$30),IF($NP$30="Single_Point",IF(114=$NR$30,$NN$30,0),IF($NP$30="Bell_Curve",$NN$30*(114-$NR$30+1)*($NS$30-114+1)/$NU$30,$NN$30/$NT$30)),0)</f>
        <v/>
      </c>
      <c r="DO30" s="228">
        <f>IF(AND(115&gt;=$NR$30,115&lt;=$NS$30),IF($NP$30="Single_Point",IF(115=$NR$30,$NN$30,0),IF($NP$30="Bell_Curve",$NN$30*(115-$NR$30+1)*($NS$30-115+1)/$NU$30,$NN$30/$NT$30)),0)</f>
        <v/>
      </c>
      <c r="DP30" s="228">
        <f>IF(AND(116&gt;=$NR$30,116&lt;=$NS$30),IF($NP$30="Single_Point",IF(116=$NR$30,$NN$30,0),IF($NP$30="Bell_Curve",$NN$30*(116-$NR$30+1)*($NS$30-116+1)/$NU$30,$NN$30/$NT$30)),0)</f>
        <v/>
      </c>
      <c r="DQ30" s="228">
        <f>IF(AND(117&gt;=$NR$30,117&lt;=$NS$30),IF($NP$30="Single_Point",IF(117=$NR$30,$NN$30,0),IF($NP$30="Bell_Curve",$NN$30*(117-$NR$30+1)*($NS$30-117+1)/$NU$30,$NN$30/$NT$30)),0)</f>
        <v/>
      </c>
      <c r="DR30" s="228">
        <f>IF(AND(118&gt;=$NR$30,118&lt;=$NS$30),IF($NP$30="Single_Point",IF(118=$NR$30,$NN$30,0),IF($NP$30="Bell_Curve",$NN$30*(118-$NR$30+1)*($NS$30-118+1)/$NU$30,$NN$30/$NT$30)),0)</f>
        <v/>
      </c>
      <c r="DS30" s="228">
        <f>IF(AND(119&gt;=$NR$30,119&lt;=$NS$30),IF($NP$30="Single_Point",IF(119=$NR$30,$NN$30,0),IF($NP$30="Bell_Curve",$NN$30*(119-$NR$30+1)*($NS$30-119+1)/$NU$30,$NN$30/$NT$30)),0)</f>
        <v/>
      </c>
      <c r="DT30" s="228">
        <f>IF(AND(120&gt;=$NR$30,120&lt;=$NS$30),IF($NP$30="Single_Point",IF(120=$NR$30,$NN$30,0),IF($NP$30="Bell_Curve",$NN$30*(120-$NR$30+1)*($NS$30-120+1)/$NU$30,$NN$30/$NT$30)),0)</f>
        <v/>
      </c>
      <c r="DU30" s="228">
        <f>IF(AND(121&gt;=$NR$30,121&lt;=$NS$30),IF($NP$30="Single_Point",IF(121=$NR$30,$NN$30,0),IF($NP$30="Bell_Curve",$NN$30*(121-$NR$30+1)*($NS$30-121+1)/$NU$30,$NN$30/$NT$30)),0)</f>
        <v/>
      </c>
      <c r="DV30" s="228">
        <f>IF(AND(122&gt;=$NR$30,122&lt;=$NS$30),IF($NP$30="Single_Point",IF(122=$NR$30,$NN$30,0),IF($NP$30="Bell_Curve",$NN$30*(122-$NR$30+1)*($NS$30-122+1)/$NU$30,$NN$30/$NT$30)),0)</f>
        <v/>
      </c>
      <c r="DW30" s="228">
        <f>IF(AND(123&gt;=$NR$30,123&lt;=$NS$30),IF($NP$30="Single_Point",IF(123=$NR$30,$NN$30,0),IF($NP$30="Bell_Curve",$NN$30*(123-$NR$30+1)*($NS$30-123+1)/$NU$30,$NN$30/$NT$30)),0)</f>
        <v/>
      </c>
      <c r="DX30" s="228">
        <f>IF(AND(124&gt;=$NR$30,124&lt;=$NS$30),IF($NP$30="Single_Point",IF(124=$NR$30,$NN$30,0),IF($NP$30="Bell_Curve",$NN$30*(124-$NR$30+1)*($NS$30-124+1)/$NU$30,$NN$30/$NT$30)),0)</f>
        <v/>
      </c>
      <c r="DY30" s="228">
        <f>IF(AND(125&gt;=$NR$30,125&lt;=$NS$30),IF($NP$30="Single_Point",IF(125=$NR$30,$NN$30,0),IF($NP$30="Bell_Curve",$NN$30*(125-$NR$30+1)*($NS$30-125+1)/$NU$30,$NN$30/$NT$30)),0)</f>
        <v/>
      </c>
      <c r="DZ30" s="228">
        <f>IF(AND(126&gt;=$NR$30,126&lt;=$NS$30),IF($NP$30="Single_Point",IF(126=$NR$30,$NN$30,0),IF($NP$30="Bell_Curve",$NN$30*(126-$NR$30+1)*($NS$30-126+1)/$NU$30,$NN$30/$NT$30)),0)</f>
        <v/>
      </c>
      <c r="EA30" s="228">
        <f>IF(AND(127&gt;=$NR$30,127&lt;=$NS$30),IF($NP$30="Single_Point",IF(127=$NR$30,$NN$30,0),IF($NP$30="Bell_Curve",$NN$30*(127-$NR$30+1)*($NS$30-127+1)/$NU$30,$NN$30/$NT$30)),0)</f>
        <v/>
      </c>
      <c r="EB30" s="228">
        <f>IF(AND(128&gt;=$NR$30,128&lt;=$NS$30),IF($NP$30="Single_Point",IF(128=$NR$30,$NN$30,0),IF($NP$30="Bell_Curve",$NN$30*(128-$NR$30+1)*($NS$30-128+1)/$NU$30,$NN$30/$NT$30)),0)</f>
        <v/>
      </c>
      <c r="EC30" s="228">
        <f>IF(AND(129&gt;=$NR$30,129&lt;=$NS$30),IF($NP$30="Single_Point",IF(129=$NR$30,$NN$30,0),IF($NP$30="Bell_Curve",$NN$30*(129-$NR$30+1)*($NS$30-129+1)/$NU$30,$NN$30/$NT$30)),0)</f>
        <v/>
      </c>
      <c r="ED30" s="228">
        <f>IF(AND(130&gt;=$NR$30,130&lt;=$NS$30),IF($NP$30="Single_Point",IF(130=$NR$30,$NN$30,0),IF($NP$30="Bell_Curve",$NN$30*(130-$NR$30+1)*($NS$30-130+1)/$NU$30,$NN$30/$NT$30)),0)</f>
        <v/>
      </c>
      <c r="EE30" s="228">
        <f>IF(AND(131&gt;=$NR$30,131&lt;=$NS$30),IF($NP$30="Single_Point",IF(131=$NR$30,$NN$30,0),IF($NP$30="Bell_Curve",$NN$30*(131-$NR$30+1)*($NS$30-131+1)/$NU$30,$NN$30/$NT$30)),0)</f>
        <v/>
      </c>
      <c r="EF30" s="228">
        <f>IF(AND(132&gt;=$NR$30,132&lt;=$NS$30),IF($NP$30="Single_Point",IF(132=$NR$30,$NN$30,0),IF($NP$30="Bell_Curve",$NN$30*(132-$NR$30+1)*($NS$30-132+1)/$NU$30,$NN$30/$NT$30)),0)</f>
        <v/>
      </c>
      <c r="EG30" s="228">
        <f>IF(AND(133&gt;=$NR$30,133&lt;=$NS$30),IF($NP$30="Single_Point",IF(133=$NR$30,$NN$30,0),IF($NP$30="Bell_Curve",$NN$30*(133-$NR$30+1)*($NS$30-133+1)/$NU$30,$NN$30/$NT$30)),0)</f>
        <v/>
      </c>
      <c r="EH30" s="228">
        <f>IF(AND(134&gt;=$NR$30,134&lt;=$NS$30),IF($NP$30="Single_Point",IF(134=$NR$30,$NN$30,0),IF($NP$30="Bell_Curve",$NN$30*(134-$NR$30+1)*($NS$30-134+1)/$NU$30,$NN$30/$NT$30)),0)</f>
        <v/>
      </c>
      <c r="EI30" s="228">
        <f>IF(AND(135&gt;=$NR$30,135&lt;=$NS$30),IF($NP$30="Single_Point",IF(135=$NR$30,$NN$30,0),IF($NP$30="Bell_Curve",$NN$30*(135-$NR$30+1)*($NS$30-135+1)/$NU$30,$NN$30/$NT$30)),0)</f>
        <v/>
      </c>
      <c r="EJ30" s="228">
        <f>IF(AND(136&gt;=$NR$30,136&lt;=$NS$30),IF($NP$30="Single_Point",IF(136=$NR$30,$NN$30,0),IF($NP$30="Bell_Curve",$NN$30*(136-$NR$30+1)*($NS$30-136+1)/$NU$30,$NN$30/$NT$30)),0)</f>
        <v/>
      </c>
      <c r="EK30" s="228">
        <f>IF(AND(137&gt;=$NR$30,137&lt;=$NS$30),IF($NP$30="Single_Point",IF(137=$NR$30,$NN$30,0),IF($NP$30="Bell_Curve",$NN$30*(137-$NR$30+1)*($NS$30-137+1)/$NU$30,$NN$30/$NT$30)),0)</f>
        <v/>
      </c>
      <c r="EL30" s="228">
        <f>IF(AND(138&gt;=$NR$30,138&lt;=$NS$30),IF($NP$30="Single_Point",IF(138=$NR$30,$NN$30,0),IF($NP$30="Bell_Curve",$NN$30*(138-$NR$30+1)*($NS$30-138+1)/$NU$30,$NN$30/$NT$30)),0)</f>
        <v/>
      </c>
      <c r="EM30" s="228">
        <f>IF(AND(139&gt;=$NR$30,139&lt;=$NS$30),IF($NP$30="Single_Point",IF(139=$NR$30,$NN$30,0),IF($NP$30="Bell_Curve",$NN$30*(139-$NR$30+1)*($NS$30-139+1)/$NU$30,$NN$30/$NT$30)),0)</f>
        <v/>
      </c>
      <c r="EN30" s="228">
        <f>IF(AND(140&gt;=$NR$30,140&lt;=$NS$30),IF($NP$30="Single_Point",IF(140=$NR$30,$NN$30,0),IF($NP$30="Bell_Curve",$NN$30*(140-$NR$30+1)*($NS$30-140+1)/$NU$30,$NN$30/$NT$30)),0)</f>
        <v/>
      </c>
      <c r="EO30" s="228">
        <f>IF(AND(141&gt;=$NR$30,141&lt;=$NS$30),IF($NP$30="Single_Point",IF(141=$NR$30,$NN$30,0),IF($NP$30="Bell_Curve",$NN$30*(141-$NR$30+1)*($NS$30-141+1)/$NU$30,$NN$30/$NT$30)),0)</f>
        <v/>
      </c>
      <c r="EP30" s="228">
        <f>IF(AND(142&gt;=$NR$30,142&lt;=$NS$30),IF($NP$30="Single_Point",IF(142=$NR$30,$NN$30,0),IF($NP$30="Bell_Curve",$NN$30*(142-$NR$30+1)*($NS$30-142+1)/$NU$30,$NN$30/$NT$30)),0)</f>
        <v/>
      </c>
      <c r="EQ30" s="228">
        <f>IF(AND(143&gt;=$NR$30,143&lt;=$NS$30),IF($NP$30="Single_Point",IF(143=$NR$30,$NN$30,0),IF($NP$30="Bell_Curve",$NN$30*(143-$NR$30+1)*($NS$30-143+1)/$NU$30,$NN$30/$NT$30)),0)</f>
        <v/>
      </c>
      <c r="ER30" s="228">
        <f>IF(AND(144&gt;=$NR$30,144&lt;=$NS$30),IF($NP$30="Single_Point",IF(144=$NR$30,$NN$30,0),IF($NP$30="Bell_Curve",$NN$30*(144-$NR$30+1)*($NS$30-144+1)/$NU$30,$NN$30/$NT$30)),0)</f>
        <v/>
      </c>
      <c r="ES30" s="228">
        <f>IF(AND(145&gt;=$NR$30,145&lt;=$NS$30),IF($NP$30="Single_Point",IF(145=$NR$30,$NN$30,0),IF($NP$30="Bell_Curve",$NN$30*(145-$NR$30+1)*($NS$30-145+1)/$NU$30,$NN$30/$NT$30)),0)</f>
        <v/>
      </c>
      <c r="ET30" s="228">
        <f>IF(AND(146&gt;=$NR$30,146&lt;=$NS$30),IF($NP$30="Single_Point",IF(146=$NR$30,$NN$30,0),IF($NP$30="Bell_Curve",$NN$30*(146-$NR$30+1)*($NS$30-146+1)/$NU$30,$NN$30/$NT$30)),0)</f>
        <v/>
      </c>
      <c r="EU30" s="228">
        <f>IF(AND(147&gt;=$NR$30,147&lt;=$NS$30),IF($NP$30="Single_Point",IF(147=$NR$30,$NN$30,0),IF($NP$30="Bell_Curve",$NN$30*(147-$NR$30+1)*($NS$30-147+1)/$NU$30,$NN$30/$NT$30)),0)</f>
        <v/>
      </c>
      <c r="EV30" s="228">
        <f>IF(AND(148&gt;=$NR$30,148&lt;=$NS$30),IF($NP$30="Single_Point",IF(148=$NR$30,$NN$30,0),IF($NP$30="Bell_Curve",$NN$30*(148-$NR$30+1)*($NS$30-148+1)/$NU$30,$NN$30/$NT$30)),0)</f>
        <v/>
      </c>
      <c r="EW30" s="228">
        <f>IF(AND(149&gt;=$NR$30,149&lt;=$NS$30),IF($NP$30="Single_Point",IF(149=$NR$30,$NN$30,0),IF($NP$30="Bell_Curve",$NN$30*(149-$NR$30+1)*($NS$30-149+1)/$NU$30,$NN$30/$NT$30)),0)</f>
        <v/>
      </c>
      <c r="EX30" s="228">
        <f>IF(AND(150&gt;=$NR$30,150&lt;=$NS$30),IF($NP$30="Single_Point",IF(150=$NR$30,$NN$30,0),IF($NP$30="Bell_Curve",$NN$30*(150-$NR$30+1)*($NS$30-150+1)/$NU$30,$NN$30/$NT$30)),0)</f>
        <v/>
      </c>
      <c r="EY30" s="228">
        <f>IF(AND(151&gt;=$NR$30,151&lt;=$NS$30),IF($NP$30="Single_Point",IF(151=$NR$30,$NN$30,0),IF($NP$30="Bell_Curve",$NN$30*(151-$NR$30+1)*($NS$30-151+1)/$NU$30,$NN$30/$NT$30)),0)</f>
        <v/>
      </c>
      <c r="EZ30" s="228">
        <f>IF(AND(152&gt;=$NR$30,152&lt;=$NS$30),IF($NP$30="Single_Point",IF(152=$NR$30,$NN$30,0),IF($NP$30="Bell_Curve",$NN$30*(152-$NR$30+1)*($NS$30-152+1)/$NU$30,$NN$30/$NT$30)),0)</f>
        <v/>
      </c>
      <c r="FA30" s="228">
        <f>IF(AND(153&gt;=$NR$30,153&lt;=$NS$30),IF($NP$30="Single_Point",IF(153=$NR$30,$NN$30,0),IF($NP$30="Bell_Curve",$NN$30*(153-$NR$30+1)*($NS$30-153+1)/$NU$30,$NN$30/$NT$30)),0)</f>
        <v/>
      </c>
      <c r="FB30" s="228">
        <f>IF(AND(154&gt;=$NR$30,154&lt;=$NS$30),IF($NP$30="Single_Point",IF(154=$NR$30,$NN$30,0),IF($NP$30="Bell_Curve",$NN$30*(154-$NR$30+1)*($NS$30-154+1)/$NU$30,$NN$30/$NT$30)),0)</f>
        <v/>
      </c>
      <c r="FC30" s="228">
        <f>IF(AND(155&gt;=$NR$30,155&lt;=$NS$30),IF($NP$30="Single_Point",IF(155=$NR$30,$NN$30,0),IF($NP$30="Bell_Curve",$NN$30*(155-$NR$30+1)*($NS$30-155+1)/$NU$30,$NN$30/$NT$30)),0)</f>
        <v/>
      </c>
      <c r="FD30" s="228">
        <f>IF(AND(156&gt;=$NR$30,156&lt;=$NS$30),IF($NP$30="Single_Point",IF(156=$NR$30,$NN$30,0),IF($NP$30="Bell_Curve",$NN$30*(156-$NR$30+1)*($NS$30-156+1)/$NU$30,$NN$30/$NT$30)),0)</f>
        <v/>
      </c>
      <c r="FE30" s="228">
        <f>IF(AND(157&gt;=$NR$30,157&lt;=$NS$30),IF($NP$30="Single_Point",IF(157=$NR$30,$NN$30,0),IF($NP$30="Bell_Curve",$NN$30*(157-$NR$30+1)*($NS$30-157+1)/$NU$30,$NN$30/$NT$30)),0)</f>
        <v/>
      </c>
      <c r="FF30" s="228">
        <f>IF(AND(158&gt;=$NR$30,158&lt;=$NS$30),IF($NP$30="Single_Point",IF(158=$NR$30,$NN$30,0),IF($NP$30="Bell_Curve",$NN$30*(158-$NR$30+1)*($NS$30-158+1)/$NU$30,$NN$30/$NT$30)),0)</f>
        <v/>
      </c>
      <c r="FG30" s="228">
        <f>IF(AND(159&gt;=$NR$30,159&lt;=$NS$30),IF($NP$30="Single_Point",IF(159=$NR$30,$NN$30,0),IF($NP$30="Bell_Curve",$NN$30*(159-$NR$30+1)*($NS$30-159+1)/$NU$30,$NN$30/$NT$30)),0)</f>
        <v/>
      </c>
      <c r="FH30" s="228">
        <f>IF(AND(160&gt;=$NR$30,160&lt;=$NS$30),IF($NP$30="Single_Point",IF(160=$NR$30,$NN$30,0),IF($NP$30="Bell_Curve",$NN$30*(160-$NR$30+1)*($NS$30-160+1)/$NU$30,$NN$30/$NT$30)),0)</f>
        <v/>
      </c>
      <c r="FI30" s="228">
        <f>IF(AND(161&gt;=$NR$30,161&lt;=$NS$30),IF($NP$30="Single_Point",IF(161=$NR$30,$NN$30,0),IF($NP$30="Bell_Curve",$NN$30*(161-$NR$30+1)*($NS$30-161+1)/$NU$30,$NN$30/$NT$30)),0)</f>
        <v/>
      </c>
      <c r="FJ30" s="228">
        <f>IF(AND(162&gt;=$NR$30,162&lt;=$NS$30),IF($NP$30="Single_Point",IF(162=$NR$30,$NN$30,0),IF($NP$30="Bell_Curve",$NN$30*(162-$NR$30+1)*($NS$30-162+1)/$NU$30,$NN$30/$NT$30)),0)</f>
        <v/>
      </c>
      <c r="FK30" s="228">
        <f>IF(AND(163&gt;=$NR$30,163&lt;=$NS$30),IF($NP$30="Single_Point",IF(163=$NR$30,$NN$30,0),IF($NP$30="Bell_Curve",$NN$30*(163-$NR$30+1)*($NS$30-163+1)/$NU$30,$NN$30/$NT$30)),0)</f>
        <v/>
      </c>
      <c r="FL30" s="228">
        <f>IF(AND(164&gt;=$NR$30,164&lt;=$NS$30),IF($NP$30="Single_Point",IF(164=$NR$30,$NN$30,0),IF($NP$30="Bell_Curve",$NN$30*(164-$NR$30+1)*($NS$30-164+1)/$NU$30,$NN$30/$NT$30)),0)</f>
        <v/>
      </c>
      <c r="FM30" s="228">
        <f>IF(AND(165&gt;=$NR$30,165&lt;=$NS$30),IF($NP$30="Single_Point",IF(165=$NR$30,$NN$30,0),IF($NP$30="Bell_Curve",$NN$30*(165-$NR$30+1)*($NS$30-165+1)/$NU$30,$NN$30/$NT$30)),0)</f>
        <v/>
      </c>
      <c r="FN30" s="228">
        <f>IF(AND(166&gt;=$NR$30,166&lt;=$NS$30),IF($NP$30="Single_Point",IF(166=$NR$30,$NN$30,0),IF($NP$30="Bell_Curve",$NN$30*(166-$NR$30+1)*($NS$30-166+1)/$NU$30,$NN$30/$NT$30)),0)</f>
        <v/>
      </c>
      <c r="FO30" s="228">
        <f>IF(AND(167&gt;=$NR$30,167&lt;=$NS$30),IF($NP$30="Single_Point",IF(167=$NR$30,$NN$30,0),IF($NP$30="Bell_Curve",$NN$30*(167-$NR$30+1)*($NS$30-167+1)/$NU$30,$NN$30/$NT$30)),0)</f>
        <v/>
      </c>
      <c r="FP30" s="228">
        <f>IF(AND(168&gt;=$NR$30,168&lt;=$NS$30),IF($NP$30="Single_Point",IF(168=$NR$30,$NN$30,0),IF($NP$30="Bell_Curve",$NN$30*(168-$NR$30+1)*($NS$30-168+1)/$NU$30,$NN$30/$NT$30)),0)</f>
        <v/>
      </c>
      <c r="FQ30" s="228">
        <f>IF(AND(169&gt;=$NR$30,169&lt;=$NS$30),IF($NP$30="Single_Point",IF(169=$NR$30,$NN$30,0),IF($NP$30="Bell_Curve",$NN$30*(169-$NR$30+1)*($NS$30-169+1)/$NU$30,$NN$30/$NT$30)),0)</f>
        <v/>
      </c>
      <c r="FR30" s="228">
        <f>IF(AND(170&gt;=$NR$30,170&lt;=$NS$30),IF($NP$30="Single_Point",IF(170=$NR$30,$NN$30,0),IF($NP$30="Bell_Curve",$NN$30*(170-$NR$30+1)*($NS$30-170+1)/$NU$30,$NN$30/$NT$30)),0)</f>
        <v/>
      </c>
      <c r="FS30" s="228">
        <f>IF(AND(171&gt;=$NR$30,171&lt;=$NS$30),IF($NP$30="Single_Point",IF(171=$NR$30,$NN$30,0),IF($NP$30="Bell_Curve",$NN$30*(171-$NR$30+1)*($NS$30-171+1)/$NU$30,$NN$30/$NT$30)),0)</f>
        <v/>
      </c>
      <c r="FT30" s="228">
        <f>IF(AND(172&gt;=$NR$30,172&lt;=$NS$30),IF($NP$30="Single_Point",IF(172=$NR$30,$NN$30,0),IF($NP$30="Bell_Curve",$NN$30*(172-$NR$30+1)*($NS$30-172+1)/$NU$30,$NN$30/$NT$30)),0)</f>
        <v/>
      </c>
      <c r="FU30" s="228">
        <f>IF(AND(173&gt;=$NR$30,173&lt;=$NS$30),IF($NP$30="Single_Point",IF(173=$NR$30,$NN$30,0),IF($NP$30="Bell_Curve",$NN$30*(173-$NR$30+1)*($NS$30-173+1)/$NU$30,$NN$30/$NT$30)),0)</f>
        <v/>
      </c>
      <c r="FV30" s="228">
        <f>IF(AND(174&gt;=$NR$30,174&lt;=$NS$30),IF($NP$30="Single_Point",IF(174=$NR$30,$NN$30,0),IF($NP$30="Bell_Curve",$NN$30*(174-$NR$30+1)*($NS$30-174+1)/$NU$30,$NN$30/$NT$30)),0)</f>
        <v/>
      </c>
      <c r="FW30" s="228">
        <f>IF(AND(175&gt;=$NR$30,175&lt;=$NS$30),IF($NP$30="Single_Point",IF(175=$NR$30,$NN$30,0),IF($NP$30="Bell_Curve",$NN$30*(175-$NR$30+1)*($NS$30-175+1)/$NU$30,$NN$30/$NT$30)),0)</f>
        <v/>
      </c>
      <c r="FX30" s="228">
        <f>IF(AND(176&gt;=$NR$30,176&lt;=$NS$30),IF($NP$30="Single_Point",IF(176=$NR$30,$NN$30,0),IF($NP$30="Bell_Curve",$NN$30*(176-$NR$30+1)*($NS$30-176+1)/$NU$30,$NN$30/$NT$30)),0)</f>
        <v/>
      </c>
      <c r="FY30" s="228">
        <f>IF(AND(177&gt;=$NR$30,177&lt;=$NS$30),IF($NP$30="Single_Point",IF(177=$NR$30,$NN$30,0),IF($NP$30="Bell_Curve",$NN$30*(177-$NR$30+1)*($NS$30-177+1)/$NU$30,$NN$30/$NT$30)),0)</f>
        <v/>
      </c>
      <c r="FZ30" s="228">
        <f>IF(AND(178&gt;=$NR$30,178&lt;=$NS$30),IF($NP$30="Single_Point",IF(178=$NR$30,$NN$30,0),IF($NP$30="Bell_Curve",$NN$30*(178-$NR$30+1)*($NS$30-178+1)/$NU$30,$NN$30/$NT$30)),0)</f>
        <v/>
      </c>
      <c r="GA30" s="228">
        <f>IF(AND(179&gt;=$NR$30,179&lt;=$NS$30),IF($NP$30="Single_Point",IF(179=$NR$30,$NN$30,0),IF($NP$30="Bell_Curve",$NN$30*(179-$NR$30+1)*($NS$30-179+1)/$NU$30,$NN$30/$NT$30)),0)</f>
        <v/>
      </c>
      <c r="GB30" s="228">
        <f>IF(AND(180&gt;=$NR$30,180&lt;=$NS$30),IF($NP$30="Single_Point",IF(180=$NR$30,$NN$30,0),IF($NP$30="Bell_Curve",$NN$30*(180-$NR$30+1)*($NS$30-180+1)/$NU$30,$NN$30/$NT$30)),0)</f>
        <v/>
      </c>
      <c r="GC30" s="228">
        <f>IF(AND(181&gt;=$NR$30,181&lt;=$NS$30),IF($NP$30="Single_Point",IF(181=$NR$30,$NN$30,0),IF($NP$30="Bell_Curve",$NN$30*(181-$NR$30+1)*($NS$30-181+1)/$NU$30,$NN$30/$NT$30)),0)</f>
        <v/>
      </c>
      <c r="GD30" s="228">
        <f>IF(AND(182&gt;=$NR$30,182&lt;=$NS$30),IF($NP$30="Single_Point",IF(182=$NR$30,$NN$30,0),IF($NP$30="Bell_Curve",$NN$30*(182-$NR$30+1)*($NS$30-182+1)/$NU$30,$NN$30/$NT$30)),0)</f>
        <v/>
      </c>
      <c r="GE30" s="228">
        <f>IF(AND(183&gt;=$NR$30,183&lt;=$NS$30),IF($NP$30="Single_Point",IF(183=$NR$30,$NN$30,0),IF($NP$30="Bell_Curve",$NN$30*(183-$NR$30+1)*($NS$30-183+1)/$NU$30,$NN$30/$NT$30)),0)</f>
        <v/>
      </c>
      <c r="GF30" s="228">
        <f>IF(AND(184&gt;=$NR$30,184&lt;=$NS$30),IF($NP$30="Single_Point",IF(184=$NR$30,$NN$30,0),IF($NP$30="Bell_Curve",$NN$30*(184-$NR$30+1)*($NS$30-184+1)/$NU$30,$NN$30/$NT$30)),0)</f>
        <v/>
      </c>
      <c r="GG30" s="228">
        <f>IF(AND(185&gt;=$NR$30,185&lt;=$NS$30),IF($NP$30="Single_Point",IF(185=$NR$30,$NN$30,0),IF($NP$30="Bell_Curve",$NN$30*(185-$NR$30+1)*($NS$30-185+1)/$NU$30,$NN$30/$NT$30)),0)</f>
        <v/>
      </c>
      <c r="GH30" s="228">
        <f>IF(AND(186&gt;=$NR$30,186&lt;=$NS$30),IF($NP$30="Single_Point",IF(186=$NR$30,$NN$30,0),IF($NP$30="Bell_Curve",$NN$30*(186-$NR$30+1)*($NS$30-186+1)/$NU$30,$NN$30/$NT$30)),0)</f>
        <v/>
      </c>
      <c r="GI30" s="228">
        <f>IF(AND(187&gt;=$NR$30,187&lt;=$NS$30),IF($NP$30="Single_Point",IF(187=$NR$30,$NN$30,0),IF($NP$30="Bell_Curve",$NN$30*(187-$NR$30+1)*($NS$30-187+1)/$NU$30,$NN$30/$NT$30)),0)</f>
        <v/>
      </c>
      <c r="GJ30" s="228">
        <f>IF(AND(188&gt;=$NR$30,188&lt;=$NS$30),IF($NP$30="Single_Point",IF(188=$NR$30,$NN$30,0),IF($NP$30="Bell_Curve",$NN$30*(188-$NR$30+1)*($NS$30-188+1)/$NU$30,$NN$30/$NT$30)),0)</f>
        <v/>
      </c>
      <c r="GK30" s="228">
        <f>IF(AND(189&gt;=$NR$30,189&lt;=$NS$30),IF($NP$30="Single_Point",IF(189=$NR$30,$NN$30,0),IF($NP$30="Bell_Curve",$NN$30*(189-$NR$30+1)*($NS$30-189+1)/$NU$30,$NN$30/$NT$30)),0)</f>
        <v/>
      </c>
      <c r="GL30" s="228">
        <f>IF(AND(190&gt;=$NR$30,190&lt;=$NS$30),IF($NP$30="Single_Point",IF(190=$NR$30,$NN$30,0),IF($NP$30="Bell_Curve",$NN$30*(190-$NR$30+1)*($NS$30-190+1)/$NU$30,$NN$30/$NT$30)),0)</f>
        <v/>
      </c>
      <c r="GM30" s="228">
        <f>IF(AND(191&gt;=$NR$30,191&lt;=$NS$30),IF($NP$30="Single_Point",IF(191=$NR$30,$NN$30,0),IF($NP$30="Bell_Curve",$NN$30*(191-$NR$30+1)*($NS$30-191+1)/$NU$30,$NN$30/$NT$30)),0)</f>
        <v/>
      </c>
      <c r="GN30" s="228">
        <f>IF(AND(192&gt;=$NR$30,192&lt;=$NS$30),IF($NP$30="Single_Point",IF(192=$NR$30,$NN$30,0),IF($NP$30="Bell_Curve",$NN$30*(192-$NR$30+1)*($NS$30-192+1)/$NU$30,$NN$30/$NT$30)),0)</f>
        <v/>
      </c>
      <c r="GO30" s="228">
        <f>IF(AND(193&gt;=$NR$30,193&lt;=$NS$30),IF($NP$30="Single_Point",IF(193=$NR$30,$NN$30,0),IF($NP$30="Bell_Curve",$NN$30*(193-$NR$30+1)*($NS$30-193+1)/$NU$30,$NN$30/$NT$30)),0)</f>
        <v/>
      </c>
      <c r="GP30" s="228">
        <f>IF(AND(194&gt;=$NR$30,194&lt;=$NS$30),IF($NP$30="Single_Point",IF(194=$NR$30,$NN$30,0),IF($NP$30="Bell_Curve",$NN$30*(194-$NR$30+1)*($NS$30-194+1)/$NU$30,$NN$30/$NT$30)),0)</f>
        <v/>
      </c>
      <c r="GQ30" s="228">
        <f>IF(AND(195&gt;=$NR$30,195&lt;=$NS$30),IF($NP$30="Single_Point",IF(195=$NR$30,$NN$30,0),IF($NP$30="Bell_Curve",$NN$30*(195-$NR$30+1)*($NS$30-195+1)/$NU$30,$NN$30/$NT$30)),0)</f>
        <v/>
      </c>
      <c r="GR30" s="228">
        <f>IF(AND(196&gt;=$NR$30,196&lt;=$NS$30),IF($NP$30="Single_Point",IF(196=$NR$30,$NN$30,0),IF($NP$30="Bell_Curve",$NN$30*(196-$NR$30+1)*($NS$30-196+1)/$NU$30,$NN$30/$NT$30)),0)</f>
        <v/>
      </c>
      <c r="GS30" s="228">
        <f>IF(AND(197&gt;=$NR$30,197&lt;=$NS$30),IF($NP$30="Single_Point",IF(197=$NR$30,$NN$30,0),IF($NP$30="Bell_Curve",$NN$30*(197-$NR$30+1)*($NS$30-197+1)/$NU$30,$NN$30/$NT$30)),0)</f>
        <v/>
      </c>
      <c r="GT30" s="228">
        <f>IF(AND(198&gt;=$NR$30,198&lt;=$NS$30),IF($NP$30="Single_Point",IF(198=$NR$30,$NN$30,0),IF($NP$30="Bell_Curve",$NN$30*(198-$NR$30+1)*($NS$30-198+1)/$NU$30,$NN$30/$NT$30)),0)</f>
        <v/>
      </c>
      <c r="GU30" s="228">
        <f>IF(AND(199&gt;=$NR$30,199&lt;=$NS$30),IF($NP$30="Single_Point",IF(199=$NR$30,$NN$30,0),IF($NP$30="Bell_Curve",$NN$30*(199-$NR$30+1)*($NS$30-199+1)/$NU$30,$NN$30/$NT$30)),0)</f>
        <v/>
      </c>
      <c r="GV30" s="228">
        <f>IF(AND(200&gt;=$NR$30,200&lt;=$NS$30),IF($NP$30="Single_Point",IF(200=$NR$30,$NN$30,0),IF($NP$30="Bell_Curve",$NN$30*(200-$NR$30+1)*($NS$30-200+1)/$NU$30,$NN$30/$NT$30)),0)</f>
        <v/>
      </c>
      <c r="GW30" s="228">
        <f>IF(AND(201&gt;=$NR$30,201&lt;=$NS$30),IF($NP$30="Single_Point",IF(201=$NR$30,$NN$30,0),IF($NP$30="Bell_Curve",$NN$30*(201-$NR$30+1)*($NS$30-201+1)/$NU$30,$NN$30/$NT$30)),0)</f>
        <v/>
      </c>
      <c r="GX30" s="228">
        <f>IF(AND(202&gt;=$NR$30,202&lt;=$NS$30),IF($NP$30="Single_Point",IF(202=$NR$30,$NN$30,0),IF($NP$30="Bell_Curve",$NN$30*(202-$NR$30+1)*($NS$30-202+1)/$NU$30,$NN$30/$NT$30)),0)</f>
        <v/>
      </c>
      <c r="GY30" s="228">
        <f>IF(AND(203&gt;=$NR$30,203&lt;=$NS$30),IF($NP$30="Single_Point",IF(203=$NR$30,$NN$30,0),IF($NP$30="Bell_Curve",$NN$30*(203-$NR$30+1)*($NS$30-203+1)/$NU$30,$NN$30/$NT$30)),0)</f>
        <v/>
      </c>
      <c r="GZ30" s="228">
        <f>IF(AND(204&gt;=$NR$30,204&lt;=$NS$30),IF($NP$30="Single_Point",IF(204=$NR$30,$NN$30,0),IF($NP$30="Bell_Curve",$NN$30*(204-$NR$30+1)*($NS$30-204+1)/$NU$30,$NN$30/$NT$30)),0)</f>
        <v/>
      </c>
      <c r="HA30" s="228">
        <f>IF(AND(205&gt;=$NR$30,205&lt;=$NS$30),IF($NP$30="Single_Point",IF(205=$NR$30,$NN$30,0),IF($NP$30="Bell_Curve",$NN$30*(205-$NR$30+1)*($NS$30-205+1)/$NU$30,$NN$30/$NT$30)),0)</f>
        <v/>
      </c>
      <c r="HB30" s="228">
        <f>IF(AND(206&gt;=$NR$30,206&lt;=$NS$30),IF($NP$30="Single_Point",IF(206=$NR$30,$NN$30,0),IF($NP$30="Bell_Curve",$NN$30*(206-$NR$30+1)*($NS$30-206+1)/$NU$30,$NN$30/$NT$30)),0)</f>
        <v/>
      </c>
      <c r="HC30" s="228">
        <f>IF(AND(207&gt;=$NR$30,207&lt;=$NS$30),IF($NP$30="Single_Point",IF(207=$NR$30,$NN$30,0),IF($NP$30="Bell_Curve",$NN$30*(207-$NR$30+1)*($NS$30-207+1)/$NU$30,$NN$30/$NT$30)),0)</f>
        <v/>
      </c>
      <c r="HD30" s="228">
        <f>IF(AND(208&gt;=$NR$30,208&lt;=$NS$30),IF($NP$30="Single_Point",IF(208=$NR$30,$NN$30,0),IF($NP$30="Bell_Curve",$NN$30*(208-$NR$30+1)*($NS$30-208+1)/$NU$30,$NN$30/$NT$30)),0)</f>
        <v/>
      </c>
      <c r="HE30" s="228">
        <f>IF(AND(209&gt;=$NR$30,209&lt;=$NS$30),IF($NP$30="Single_Point",IF(209=$NR$30,$NN$30,0),IF($NP$30="Bell_Curve",$NN$30*(209-$NR$30+1)*($NS$30-209+1)/$NU$30,$NN$30/$NT$30)),0)</f>
        <v/>
      </c>
      <c r="HF30" s="228">
        <f>IF(AND(210&gt;=$NR$30,210&lt;=$NS$30),IF($NP$30="Single_Point",IF(210=$NR$30,$NN$30,0),IF($NP$30="Bell_Curve",$NN$30*(210-$NR$30+1)*($NS$30-210+1)/$NU$30,$NN$30/$NT$30)),0)</f>
        <v/>
      </c>
      <c r="HG30" s="228">
        <f>IF(AND(211&gt;=$NR$30,211&lt;=$NS$30),IF($NP$30="Single_Point",IF(211=$NR$30,$NN$30,0),IF($NP$30="Bell_Curve",$NN$30*(211-$NR$30+1)*($NS$30-211+1)/$NU$30,$NN$30/$NT$30)),0)</f>
        <v/>
      </c>
      <c r="HH30" s="228">
        <f>IF(AND(212&gt;=$NR$30,212&lt;=$NS$30),IF($NP$30="Single_Point",IF(212=$NR$30,$NN$30,0),IF($NP$30="Bell_Curve",$NN$30*(212-$NR$30+1)*($NS$30-212+1)/$NU$30,$NN$30/$NT$30)),0)</f>
        <v/>
      </c>
      <c r="HI30" s="228">
        <f>IF(AND(213&gt;=$NR$30,213&lt;=$NS$30),IF($NP$30="Single_Point",IF(213=$NR$30,$NN$30,0),IF($NP$30="Bell_Curve",$NN$30*(213-$NR$30+1)*($NS$30-213+1)/$NU$30,$NN$30/$NT$30)),0)</f>
        <v/>
      </c>
      <c r="HJ30" s="228">
        <f>IF(AND(214&gt;=$NR$30,214&lt;=$NS$30),IF($NP$30="Single_Point",IF(214=$NR$30,$NN$30,0),IF($NP$30="Bell_Curve",$NN$30*(214-$NR$30+1)*($NS$30-214+1)/$NU$30,$NN$30/$NT$30)),0)</f>
        <v/>
      </c>
      <c r="HK30" s="228">
        <f>IF(AND(215&gt;=$NR$30,215&lt;=$NS$30),IF($NP$30="Single_Point",IF(215=$NR$30,$NN$30,0),IF($NP$30="Bell_Curve",$NN$30*(215-$NR$30+1)*($NS$30-215+1)/$NU$30,$NN$30/$NT$30)),0)</f>
        <v/>
      </c>
      <c r="HL30" s="228">
        <f>IF(AND(216&gt;=$NR$30,216&lt;=$NS$30),IF($NP$30="Single_Point",IF(216=$NR$30,$NN$30,0),IF($NP$30="Bell_Curve",$NN$30*(216-$NR$30+1)*($NS$30-216+1)/$NU$30,$NN$30/$NT$30)),0)</f>
        <v/>
      </c>
      <c r="HM30" s="228">
        <f>IF(AND(217&gt;=$NR$30,217&lt;=$NS$30),IF($NP$30="Single_Point",IF(217=$NR$30,$NN$30,0),IF($NP$30="Bell_Curve",$NN$30*(217-$NR$30+1)*($NS$30-217+1)/$NU$30,$NN$30/$NT$30)),0)</f>
        <v/>
      </c>
      <c r="HN30" s="228">
        <f>IF(AND(218&gt;=$NR$30,218&lt;=$NS$30),IF($NP$30="Single_Point",IF(218=$NR$30,$NN$30,0),IF($NP$30="Bell_Curve",$NN$30*(218-$NR$30+1)*($NS$30-218+1)/$NU$30,$NN$30/$NT$30)),0)</f>
        <v/>
      </c>
      <c r="HO30" s="228">
        <f>IF(AND(219&gt;=$NR$30,219&lt;=$NS$30),IF($NP$30="Single_Point",IF(219=$NR$30,$NN$30,0),IF($NP$30="Bell_Curve",$NN$30*(219-$NR$30+1)*($NS$30-219+1)/$NU$30,$NN$30/$NT$30)),0)</f>
        <v/>
      </c>
      <c r="HP30" s="228">
        <f>IF(AND(220&gt;=$NR$30,220&lt;=$NS$30),IF($NP$30="Single_Point",IF(220=$NR$30,$NN$30,0),IF($NP$30="Bell_Curve",$NN$30*(220-$NR$30+1)*($NS$30-220+1)/$NU$30,$NN$30/$NT$30)),0)</f>
        <v/>
      </c>
      <c r="HQ30" s="228">
        <f>IF(AND(221&gt;=$NR$30,221&lt;=$NS$30),IF($NP$30="Single_Point",IF(221=$NR$30,$NN$30,0),IF($NP$30="Bell_Curve",$NN$30*(221-$NR$30+1)*($NS$30-221+1)/$NU$30,$NN$30/$NT$30)),0)</f>
        <v/>
      </c>
      <c r="HR30" s="228">
        <f>IF(AND(222&gt;=$NR$30,222&lt;=$NS$30),IF($NP$30="Single_Point",IF(222=$NR$30,$NN$30,0),IF($NP$30="Bell_Curve",$NN$30*(222-$NR$30+1)*($NS$30-222+1)/$NU$30,$NN$30/$NT$30)),0)</f>
        <v/>
      </c>
      <c r="HS30" s="228">
        <f>IF(AND(223&gt;=$NR$30,223&lt;=$NS$30),IF($NP$30="Single_Point",IF(223=$NR$30,$NN$30,0),IF($NP$30="Bell_Curve",$NN$30*(223-$NR$30+1)*($NS$30-223+1)/$NU$30,$NN$30/$NT$30)),0)</f>
        <v/>
      </c>
      <c r="HT30" s="228">
        <f>IF(AND(224&gt;=$NR$30,224&lt;=$NS$30),IF($NP$30="Single_Point",IF(224=$NR$30,$NN$30,0),IF($NP$30="Bell_Curve",$NN$30*(224-$NR$30+1)*($NS$30-224+1)/$NU$30,$NN$30/$NT$30)),0)</f>
        <v/>
      </c>
      <c r="HU30" s="228">
        <f>IF(AND(225&gt;=$NR$30,225&lt;=$NS$30),IF($NP$30="Single_Point",IF(225=$NR$30,$NN$30,0),IF($NP$30="Bell_Curve",$NN$30*(225-$NR$30+1)*($NS$30-225+1)/$NU$30,$NN$30/$NT$30)),0)</f>
        <v/>
      </c>
      <c r="HV30" s="228">
        <f>IF(AND(226&gt;=$NR$30,226&lt;=$NS$30),IF($NP$30="Single_Point",IF(226=$NR$30,$NN$30,0),IF($NP$30="Bell_Curve",$NN$30*(226-$NR$30+1)*($NS$30-226+1)/$NU$30,$NN$30/$NT$30)),0)</f>
        <v/>
      </c>
      <c r="HW30" s="228">
        <f>IF(AND(227&gt;=$NR$30,227&lt;=$NS$30),IF($NP$30="Single_Point",IF(227=$NR$30,$NN$30,0),IF($NP$30="Bell_Curve",$NN$30*(227-$NR$30+1)*($NS$30-227+1)/$NU$30,$NN$30/$NT$30)),0)</f>
        <v/>
      </c>
      <c r="HX30" s="228">
        <f>IF(AND(228&gt;=$NR$30,228&lt;=$NS$30),IF($NP$30="Single_Point",IF(228=$NR$30,$NN$30,0),IF($NP$30="Bell_Curve",$NN$30*(228-$NR$30+1)*($NS$30-228+1)/$NU$30,$NN$30/$NT$30)),0)</f>
        <v/>
      </c>
      <c r="HY30" s="228">
        <f>IF(AND(229&gt;=$NR$30,229&lt;=$NS$30),IF($NP$30="Single_Point",IF(229=$NR$30,$NN$30,0),IF($NP$30="Bell_Curve",$NN$30*(229-$NR$30+1)*($NS$30-229+1)/$NU$30,$NN$30/$NT$30)),0)</f>
        <v/>
      </c>
      <c r="HZ30" s="228">
        <f>IF(AND(230&gt;=$NR$30,230&lt;=$NS$30),IF($NP$30="Single_Point",IF(230=$NR$30,$NN$30,0),IF($NP$30="Bell_Curve",$NN$30*(230-$NR$30+1)*($NS$30-230+1)/$NU$30,$NN$30/$NT$30)),0)</f>
        <v/>
      </c>
      <c r="IA30" s="228">
        <f>IF(AND(231&gt;=$NR$30,231&lt;=$NS$30),IF($NP$30="Single_Point",IF(231=$NR$30,$NN$30,0),IF($NP$30="Bell_Curve",$NN$30*(231-$NR$30+1)*($NS$30-231+1)/$NU$30,$NN$30/$NT$30)),0)</f>
        <v/>
      </c>
      <c r="IB30" s="228">
        <f>IF(AND(232&gt;=$NR$30,232&lt;=$NS$30),IF($NP$30="Single_Point",IF(232=$NR$30,$NN$30,0),IF($NP$30="Bell_Curve",$NN$30*(232-$NR$30+1)*($NS$30-232+1)/$NU$30,$NN$30/$NT$30)),0)</f>
        <v/>
      </c>
      <c r="IC30" s="228">
        <f>IF(AND(233&gt;=$NR$30,233&lt;=$NS$30),IF($NP$30="Single_Point",IF(233=$NR$30,$NN$30,0),IF($NP$30="Bell_Curve",$NN$30*(233-$NR$30+1)*($NS$30-233+1)/$NU$30,$NN$30/$NT$30)),0)</f>
        <v/>
      </c>
      <c r="ID30" s="228">
        <f>IF(AND(234&gt;=$NR$30,234&lt;=$NS$30),IF($NP$30="Single_Point",IF(234=$NR$30,$NN$30,0),IF($NP$30="Bell_Curve",$NN$30*(234-$NR$30+1)*($NS$30-234+1)/$NU$30,$NN$30/$NT$30)),0)</f>
        <v/>
      </c>
      <c r="IE30" s="228">
        <f>IF(AND(235&gt;=$NR$30,235&lt;=$NS$30),IF($NP$30="Single_Point",IF(235=$NR$30,$NN$30,0),IF($NP$30="Bell_Curve",$NN$30*(235-$NR$30+1)*($NS$30-235+1)/$NU$30,$NN$30/$NT$30)),0)</f>
        <v/>
      </c>
      <c r="IF30" s="228">
        <f>IF(AND(236&gt;=$NR$30,236&lt;=$NS$30),IF($NP$30="Single_Point",IF(236=$NR$30,$NN$30,0),IF($NP$30="Bell_Curve",$NN$30*(236-$NR$30+1)*($NS$30-236+1)/$NU$30,$NN$30/$NT$30)),0)</f>
        <v/>
      </c>
      <c r="IG30" s="228">
        <f>IF(AND(237&gt;=$NR$30,237&lt;=$NS$30),IF($NP$30="Single_Point",IF(237=$NR$30,$NN$30,0),IF($NP$30="Bell_Curve",$NN$30*(237-$NR$30+1)*($NS$30-237+1)/$NU$30,$NN$30/$NT$30)),0)</f>
        <v/>
      </c>
      <c r="IH30" s="228">
        <f>IF(AND(238&gt;=$NR$30,238&lt;=$NS$30),IF($NP$30="Single_Point",IF(238=$NR$30,$NN$30,0),IF($NP$30="Bell_Curve",$NN$30*(238-$NR$30+1)*($NS$30-238+1)/$NU$30,$NN$30/$NT$30)),0)</f>
        <v/>
      </c>
      <c r="II30" s="228">
        <f>IF(AND(239&gt;=$NR$30,239&lt;=$NS$30),IF($NP$30="Single_Point",IF(239=$NR$30,$NN$30,0),IF($NP$30="Bell_Curve",$NN$30*(239-$NR$30+1)*($NS$30-239+1)/$NU$30,$NN$30/$NT$30)),0)</f>
        <v/>
      </c>
      <c r="IJ30" s="228">
        <f>IF(AND(240&gt;=$NR$30,240&lt;=$NS$30),IF($NP$30="Single_Point",IF(240=$NR$30,$NN$30,0),IF($NP$30="Bell_Curve",$NN$30*(240-$NR$30+1)*($NS$30-240+1)/$NU$30,$NN$30/$NT$30)),0)</f>
        <v/>
      </c>
      <c r="IK30" s="228">
        <f>IF(AND(241&gt;=$NR$30,241&lt;=$NS$30),IF($NP$30="Single_Point",IF(241=$NR$30,$NN$30,0),IF($NP$30="Bell_Curve",$NN$30*(241-$NR$30+1)*($NS$30-241+1)/$NU$30,$NN$30/$NT$30)),0)</f>
        <v/>
      </c>
      <c r="IL30" s="228">
        <f>IF(AND(242&gt;=$NR$30,242&lt;=$NS$30),IF($NP$30="Single_Point",IF(242=$NR$30,$NN$30,0),IF($NP$30="Bell_Curve",$NN$30*(242-$NR$30+1)*($NS$30-242+1)/$NU$30,$NN$30/$NT$30)),0)</f>
        <v/>
      </c>
      <c r="IM30" s="228">
        <f>IF(AND(243&gt;=$NR$30,243&lt;=$NS$30),IF($NP$30="Single_Point",IF(243=$NR$30,$NN$30,0),IF($NP$30="Bell_Curve",$NN$30*(243-$NR$30+1)*($NS$30-243+1)/$NU$30,$NN$30/$NT$30)),0)</f>
        <v/>
      </c>
      <c r="IN30" s="228">
        <f>IF(AND(244&gt;=$NR$30,244&lt;=$NS$30),IF($NP$30="Single_Point",IF(244=$NR$30,$NN$30,0),IF($NP$30="Bell_Curve",$NN$30*(244-$NR$30+1)*($NS$30-244+1)/$NU$30,$NN$30/$NT$30)),0)</f>
        <v/>
      </c>
      <c r="IO30" s="228">
        <f>IF(AND(245&gt;=$NR$30,245&lt;=$NS$30),IF($NP$30="Single_Point",IF(245=$NR$30,$NN$30,0),IF($NP$30="Bell_Curve",$NN$30*(245-$NR$30+1)*($NS$30-245+1)/$NU$30,$NN$30/$NT$30)),0)</f>
        <v/>
      </c>
      <c r="IP30" s="228">
        <f>IF(AND(246&gt;=$NR$30,246&lt;=$NS$30),IF($NP$30="Single_Point",IF(246=$NR$30,$NN$30,0),IF($NP$30="Bell_Curve",$NN$30*(246-$NR$30+1)*($NS$30-246+1)/$NU$30,$NN$30/$NT$30)),0)</f>
        <v/>
      </c>
      <c r="IQ30" s="228">
        <f>IF(AND(247&gt;=$NR$30,247&lt;=$NS$30),IF($NP$30="Single_Point",IF(247=$NR$30,$NN$30,0),IF($NP$30="Bell_Curve",$NN$30*(247-$NR$30+1)*($NS$30-247+1)/$NU$30,$NN$30/$NT$30)),0)</f>
        <v/>
      </c>
      <c r="IR30" s="228">
        <f>IF(AND(248&gt;=$NR$30,248&lt;=$NS$30),IF($NP$30="Single_Point",IF(248=$NR$30,$NN$30,0),IF($NP$30="Bell_Curve",$NN$30*(248-$NR$30+1)*($NS$30-248+1)/$NU$30,$NN$30/$NT$30)),0)</f>
        <v/>
      </c>
      <c r="IS30" s="228">
        <f>IF(AND(249&gt;=$NR$30,249&lt;=$NS$30),IF($NP$30="Single_Point",IF(249=$NR$30,$NN$30,0),IF($NP$30="Bell_Curve",$NN$30*(249-$NR$30+1)*($NS$30-249+1)/$NU$30,$NN$30/$NT$30)),0)</f>
        <v/>
      </c>
      <c r="IT30" s="228">
        <f>IF(AND(250&gt;=$NR$30,250&lt;=$NS$30),IF($NP$30="Single_Point",IF(250=$NR$30,$NN$30,0),IF($NP$30="Bell_Curve",$NN$30*(250-$NR$30+1)*($NS$30-250+1)/$NU$30,$NN$30/$NT$30)),0)</f>
        <v/>
      </c>
      <c r="IU30" s="228">
        <f>IF(AND(251&gt;=$NR$30,251&lt;=$NS$30),IF($NP$30="Single_Point",IF(251=$NR$30,$NN$30,0),IF($NP$30="Bell_Curve",$NN$30*(251-$NR$30+1)*($NS$30-251+1)/$NU$30,$NN$30/$NT$30)),0)</f>
        <v/>
      </c>
      <c r="IV30" s="228">
        <f>IF(AND(252&gt;=$NR$30,252&lt;=$NS$30),IF($NP$30="Single_Point",IF(252=$NR$30,$NN$30,0),IF($NP$30="Bell_Curve",$NN$30*(252-$NR$30+1)*($NS$30-252+1)/$NU$30,$NN$30/$NT$30)),0)</f>
        <v/>
      </c>
      <c r="IW30" s="228">
        <f>IF(AND(253&gt;=$NR$30,253&lt;=$NS$30),IF($NP$30="Single_Point",IF(253=$NR$30,$NN$30,0),IF($NP$30="Bell_Curve",$NN$30*(253-$NR$30+1)*($NS$30-253+1)/$NU$30,$NN$30/$NT$30)),0)</f>
        <v/>
      </c>
      <c r="IX30" s="228">
        <f>IF(AND(254&gt;=$NR$30,254&lt;=$NS$30),IF($NP$30="Single_Point",IF(254=$NR$30,$NN$30,0),IF($NP$30="Bell_Curve",$NN$30*(254-$NR$30+1)*($NS$30-254+1)/$NU$30,$NN$30/$NT$30)),0)</f>
        <v/>
      </c>
      <c r="IY30" s="228">
        <f>IF(AND(255&gt;=$NR$30,255&lt;=$NS$30),IF($NP$30="Single_Point",IF(255=$NR$30,$NN$30,0),IF($NP$30="Bell_Curve",$NN$30*(255-$NR$30+1)*($NS$30-255+1)/$NU$30,$NN$30/$NT$30)),0)</f>
        <v/>
      </c>
      <c r="IZ30" s="228">
        <f>IF(AND(256&gt;=$NR$30,256&lt;=$NS$30),IF($NP$30="Single_Point",IF(256=$NR$30,$NN$30,0),IF($NP$30="Bell_Curve",$NN$30*(256-$NR$30+1)*($NS$30-256+1)/$NU$30,$NN$30/$NT$30)),0)</f>
        <v/>
      </c>
      <c r="JA30" s="228">
        <f>IF(AND(257&gt;=$NR$30,257&lt;=$NS$30),IF($NP$30="Single_Point",IF(257=$NR$30,$NN$30,0),IF($NP$30="Bell_Curve",$NN$30*(257-$NR$30+1)*($NS$30-257+1)/$NU$30,$NN$30/$NT$30)),0)</f>
        <v/>
      </c>
      <c r="JB30" s="228">
        <f>IF(AND(258&gt;=$NR$30,258&lt;=$NS$30),IF($NP$30="Single_Point",IF(258=$NR$30,$NN$30,0),IF($NP$30="Bell_Curve",$NN$30*(258-$NR$30+1)*($NS$30-258+1)/$NU$30,$NN$30/$NT$30)),0)</f>
        <v/>
      </c>
      <c r="JC30" s="228">
        <f>IF(AND(259&gt;=$NR$30,259&lt;=$NS$30),IF($NP$30="Single_Point",IF(259=$NR$30,$NN$30,0),IF($NP$30="Bell_Curve",$NN$30*(259-$NR$30+1)*($NS$30-259+1)/$NU$30,$NN$30/$NT$30)),0)</f>
        <v/>
      </c>
      <c r="JD30" s="228">
        <f>IF(AND(260&gt;=$NR$30,260&lt;=$NS$30),IF($NP$30="Single_Point",IF(260=$NR$30,$NN$30,0),IF($NP$30="Bell_Curve",$NN$30*(260-$NR$30+1)*($NS$30-260+1)/$NU$30,$NN$30/$NT$30)),0)</f>
        <v/>
      </c>
      <c r="JE30" s="228">
        <f>IF(AND(261&gt;=$NR$30,261&lt;=$NS$30),IF($NP$30="Single_Point",IF(261=$NR$30,$NN$30,0),IF($NP$30="Bell_Curve",$NN$30*(261-$NR$30+1)*($NS$30-261+1)/$NU$30,$NN$30/$NT$30)),0)</f>
        <v/>
      </c>
      <c r="JF30" s="228">
        <f>IF(AND(262&gt;=$NR$30,262&lt;=$NS$30),IF($NP$30="Single_Point",IF(262=$NR$30,$NN$30,0),IF($NP$30="Bell_Curve",$NN$30*(262-$NR$30+1)*($NS$30-262+1)/$NU$30,$NN$30/$NT$30)),0)</f>
        <v/>
      </c>
      <c r="JG30" s="228">
        <f>IF(AND(263&gt;=$NR$30,263&lt;=$NS$30),IF($NP$30="Single_Point",IF(263=$NR$30,$NN$30,0),IF($NP$30="Bell_Curve",$NN$30*(263-$NR$30+1)*($NS$30-263+1)/$NU$30,$NN$30/$NT$30)),0)</f>
        <v/>
      </c>
      <c r="JH30" s="228">
        <f>IF(AND(264&gt;=$NR$30,264&lt;=$NS$30),IF($NP$30="Single_Point",IF(264=$NR$30,$NN$30,0),IF($NP$30="Bell_Curve",$NN$30*(264-$NR$30+1)*($NS$30-264+1)/$NU$30,$NN$30/$NT$30)),0)</f>
        <v/>
      </c>
      <c r="JI30" s="228">
        <f>IF(AND(265&gt;=$NR$30,265&lt;=$NS$30),IF($NP$30="Single_Point",IF(265=$NR$30,$NN$30,0),IF($NP$30="Bell_Curve",$NN$30*(265-$NR$30+1)*($NS$30-265+1)/$NU$30,$NN$30/$NT$30)),0)</f>
        <v/>
      </c>
      <c r="JJ30" s="228">
        <f>IF(AND(266&gt;=$NR$30,266&lt;=$NS$30),IF($NP$30="Single_Point",IF(266=$NR$30,$NN$30,0),IF($NP$30="Bell_Curve",$NN$30*(266-$NR$30+1)*($NS$30-266+1)/$NU$30,$NN$30/$NT$30)),0)</f>
        <v/>
      </c>
      <c r="JK30" s="228">
        <f>IF(AND(267&gt;=$NR$30,267&lt;=$NS$30),IF($NP$30="Single_Point",IF(267=$NR$30,$NN$30,0),IF($NP$30="Bell_Curve",$NN$30*(267-$NR$30+1)*($NS$30-267+1)/$NU$30,$NN$30/$NT$30)),0)</f>
        <v/>
      </c>
      <c r="JL30" s="228">
        <f>IF(AND(268&gt;=$NR$30,268&lt;=$NS$30),IF($NP$30="Single_Point",IF(268=$NR$30,$NN$30,0),IF($NP$30="Bell_Curve",$NN$30*(268-$NR$30+1)*($NS$30-268+1)/$NU$30,$NN$30/$NT$30)),0)</f>
        <v/>
      </c>
      <c r="JM30" s="228">
        <f>IF(AND(269&gt;=$NR$30,269&lt;=$NS$30),IF($NP$30="Single_Point",IF(269=$NR$30,$NN$30,0),IF($NP$30="Bell_Curve",$NN$30*(269-$NR$30+1)*($NS$30-269+1)/$NU$30,$NN$30/$NT$30)),0)</f>
        <v/>
      </c>
      <c r="JN30" s="228">
        <f>IF(AND(270&gt;=$NR$30,270&lt;=$NS$30),IF($NP$30="Single_Point",IF(270=$NR$30,$NN$30,0),IF($NP$30="Bell_Curve",$NN$30*(270-$NR$30+1)*($NS$30-270+1)/$NU$30,$NN$30/$NT$30)),0)</f>
        <v/>
      </c>
      <c r="JO30" s="228">
        <f>IF(AND(271&gt;=$NR$30,271&lt;=$NS$30),IF($NP$30="Single_Point",IF(271=$NR$30,$NN$30,0),IF($NP$30="Bell_Curve",$NN$30*(271-$NR$30+1)*($NS$30-271+1)/$NU$30,$NN$30/$NT$30)),0)</f>
        <v/>
      </c>
      <c r="JP30" s="228">
        <f>IF(AND(272&gt;=$NR$30,272&lt;=$NS$30),IF($NP$30="Single_Point",IF(272=$NR$30,$NN$30,0),IF($NP$30="Bell_Curve",$NN$30*(272-$NR$30+1)*($NS$30-272+1)/$NU$30,$NN$30/$NT$30)),0)</f>
        <v/>
      </c>
      <c r="JQ30" s="228">
        <f>IF(AND(273&gt;=$NR$30,273&lt;=$NS$30),IF($NP$30="Single_Point",IF(273=$NR$30,$NN$30,0),IF($NP$30="Bell_Curve",$NN$30*(273-$NR$30+1)*($NS$30-273+1)/$NU$30,$NN$30/$NT$30)),0)</f>
        <v/>
      </c>
      <c r="JR30" s="228">
        <f>IF(AND(274&gt;=$NR$30,274&lt;=$NS$30),IF($NP$30="Single_Point",IF(274=$NR$30,$NN$30,0),IF($NP$30="Bell_Curve",$NN$30*(274-$NR$30+1)*($NS$30-274+1)/$NU$30,$NN$30/$NT$30)),0)</f>
        <v/>
      </c>
      <c r="JS30" s="228">
        <f>IF(AND(275&gt;=$NR$30,275&lt;=$NS$30),IF($NP$30="Single_Point",IF(275=$NR$30,$NN$30,0),IF($NP$30="Bell_Curve",$NN$30*(275-$NR$30+1)*($NS$30-275+1)/$NU$30,$NN$30/$NT$30)),0)</f>
        <v/>
      </c>
      <c r="JT30" s="228">
        <f>IF(AND(276&gt;=$NR$30,276&lt;=$NS$30),IF($NP$30="Single_Point",IF(276=$NR$30,$NN$30,0),IF($NP$30="Bell_Curve",$NN$30*(276-$NR$30+1)*($NS$30-276+1)/$NU$30,$NN$30/$NT$30)),0)</f>
        <v/>
      </c>
      <c r="JU30" s="228">
        <f>IF(AND(277&gt;=$NR$30,277&lt;=$NS$30),IF($NP$30="Single_Point",IF(277=$NR$30,$NN$30,0),IF($NP$30="Bell_Curve",$NN$30*(277-$NR$30+1)*($NS$30-277+1)/$NU$30,$NN$30/$NT$30)),0)</f>
        <v/>
      </c>
      <c r="JV30" s="228">
        <f>IF(AND(278&gt;=$NR$30,278&lt;=$NS$30),IF($NP$30="Single_Point",IF(278=$NR$30,$NN$30,0),IF($NP$30="Bell_Curve",$NN$30*(278-$NR$30+1)*($NS$30-278+1)/$NU$30,$NN$30/$NT$30)),0)</f>
        <v/>
      </c>
      <c r="JW30" s="228">
        <f>IF(AND(279&gt;=$NR$30,279&lt;=$NS$30),IF($NP$30="Single_Point",IF(279=$NR$30,$NN$30,0),IF($NP$30="Bell_Curve",$NN$30*(279-$NR$30+1)*($NS$30-279+1)/$NU$30,$NN$30/$NT$30)),0)</f>
        <v/>
      </c>
      <c r="JX30" s="228">
        <f>IF(AND(280&gt;=$NR$30,280&lt;=$NS$30),IF($NP$30="Single_Point",IF(280=$NR$30,$NN$30,0),IF($NP$30="Bell_Curve",$NN$30*(280-$NR$30+1)*($NS$30-280+1)/$NU$30,$NN$30/$NT$30)),0)</f>
        <v/>
      </c>
      <c r="JY30" s="228">
        <f>IF(AND(281&gt;=$NR$30,281&lt;=$NS$30),IF($NP$30="Single_Point",IF(281=$NR$30,$NN$30,0),IF($NP$30="Bell_Curve",$NN$30*(281-$NR$30+1)*($NS$30-281+1)/$NU$30,$NN$30/$NT$30)),0)</f>
        <v/>
      </c>
      <c r="JZ30" s="228">
        <f>IF(AND(282&gt;=$NR$30,282&lt;=$NS$30),IF($NP$30="Single_Point",IF(282=$NR$30,$NN$30,0),IF($NP$30="Bell_Curve",$NN$30*(282-$NR$30+1)*($NS$30-282+1)/$NU$30,$NN$30/$NT$30)),0)</f>
        <v/>
      </c>
      <c r="KA30" s="228">
        <f>IF(AND(283&gt;=$NR$30,283&lt;=$NS$30),IF($NP$30="Single_Point",IF(283=$NR$30,$NN$30,0),IF($NP$30="Bell_Curve",$NN$30*(283-$NR$30+1)*($NS$30-283+1)/$NU$30,$NN$30/$NT$30)),0)</f>
        <v/>
      </c>
      <c r="KB30" s="228">
        <f>IF(AND(284&gt;=$NR$30,284&lt;=$NS$30),IF($NP$30="Single_Point",IF(284=$NR$30,$NN$30,0),IF($NP$30="Bell_Curve",$NN$30*(284-$NR$30+1)*($NS$30-284+1)/$NU$30,$NN$30/$NT$30)),0)</f>
        <v/>
      </c>
      <c r="KC30" s="228">
        <f>IF(AND(285&gt;=$NR$30,285&lt;=$NS$30),IF($NP$30="Single_Point",IF(285=$NR$30,$NN$30,0),IF($NP$30="Bell_Curve",$NN$30*(285-$NR$30+1)*($NS$30-285+1)/$NU$30,$NN$30/$NT$30)),0)</f>
        <v/>
      </c>
      <c r="KD30" s="228">
        <f>IF(AND(286&gt;=$NR$30,286&lt;=$NS$30),IF($NP$30="Single_Point",IF(286=$NR$30,$NN$30,0),IF($NP$30="Bell_Curve",$NN$30*(286-$NR$30+1)*($NS$30-286+1)/$NU$30,$NN$30/$NT$30)),0)</f>
        <v/>
      </c>
      <c r="KE30" s="228">
        <f>IF(AND(287&gt;=$NR$30,287&lt;=$NS$30),IF($NP$30="Single_Point",IF(287=$NR$30,$NN$30,0),IF($NP$30="Bell_Curve",$NN$30*(287-$NR$30+1)*($NS$30-287+1)/$NU$30,$NN$30/$NT$30)),0)</f>
        <v/>
      </c>
      <c r="KF30" s="228">
        <f>IF(AND(288&gt;=$NR$30,288&lt;=$NS$30),IF($NP$30="Single_Point",IF(288=$NR$30,$NN$30,0),IF($NP$30="Bell_Curve",$NN$30*(288-$NR$30+1)*($NS$30-288+1)/$NU$30,$NN$30/$NT$30)),0)</f>
        <v/>
      </c>
      <c r="KG30" s="228">
        <f>IF(AND(289&gt;=$NR$30,289&lt;=$NS$30),IF($NP$30="Single_Point",IF(289=$NR$30,$NN$30,0),IF($NP$30="Bell_Curve",$NN$30*(289-$NR$30+1)*($NS$30-289+1)/$NU$30,$NN$30/$NT$30)),0)</f>
        <v/>
      </c>
      <c r="KH30" s="228">
        <f>IF(AND(290&gt;=$NR$30,290&lt;=$NS$30),IF($NP$30="Single_Point",IF(290=$NR$30,$NN$30,0),IF($NP$30="Bell_Curve",$NN$30*(290-$NR$30+1)*($NS$30-290+1)/$NU$30,$NN$30/$NT$30)),0)</f>
        <v/>
      </c>
      <c r="KI30" s="228">
        <f>IF(AND(291&gt;=$NR$30,291&lt;=$NS$30),IF($NP$30="Single_Point",IF(291=$NR$30,$NN$30,0),IF($NP$30="Bell_Curve",$NN$30*(291-$NR$30+1)*($NS$30-291+1)/$NU$30,$NN$30/$NT$30)),0)</f>
        <v/>
      </c>
      <c r="KJ30" s="228">
        <f>IF(AND(292&gt;=$NR$30,292&lt;=$NS$30),IF($NP$30="Single_Point",IF(292=$NR$30,$NN$30,0),IF($NP$30="Bell_Curve",$NN$30*(292-$NR$30+1)*($NS$30-292+1)/$NU$30,$NN$30/$NT$30)),0)</f>
        <v/>
      </c>
      <c r="KK30" s="228">
        <f>IF(AND(293&gt;=$NR$30,293&lt;=$NS$30),IF($NP$30="Single_Point",IF(293=$NR$30,$NN$30,0),IF($NP$30="Bell_Curve",$NN$30*(293-$NR$30+1)*($NS$30-293+1)/$NU$30,$NN$30/$NT$30)),0)</f>
        <v/>
      </c>
      <c r="KL30" s="228">
        <f>IF(AND(294&gt;=$NR$30,294&lt;=$NS$30),IF($NP$30="Single_Point",IF(294=$NR$30,$NN$30,0),IF($NP$30="Bell_Curve",$NN$30*(294-$NR$30+1)*($NS$30-294+1)/$NU$30,$NN$30/$NT$30)),0)</f>
        <v/>
      </c>
      <c r="KM30" s="228">
        <f>IF(AND(295&gt;=$NR$30,295&lt;=$NS$30),IF($NP$30="Single_Point",IF(295=$NR$30,$NN$30,0),IF($NP$30="Bell_Curve",$NN$30*(295-$NR$30+1)*($NS$30-295+1)/$NU$30,$NN$30/$NT$30)),0)</f>
        <v/>
      </c>
      <c r="KN30" s="228">
        <f>IF(AND(296&gt;=$NR$30,296&lt;=$NS$30),IF($NP$30="Single_Point",IF(296=$NR$30,$NN$30,0),IF($NP$30="Bell_Curve",$NN$30*(296-$NR$30+1)*($NS$30-296+1)/$NU$30,$NN$30/$NT$30)),0)</f>
        <v/>
      </c>
      <c r="KO30" s="228">
        <f>IF(AND(297&gt;=$NR$30,297&lt;=$NS$30),IF($NP$30="Single_Point",IF(297=$NR$30,$NN$30,0),IF($NP$30="Bell_Curve",$NN$30*(297-$NR$30+1)*($NS$30-297+1)/$NU$30,$NN$30/$NT$30)),0)</f>
        <v/>
      </c>
      <c r="KP30" s="228">
        <f>IF(AND(298&gt;=$NR$30,298&lt;=$NS$30),IF($NP$30="Single_Point",IF(298=$NR$30,$NN$30,0),IF($NP$30="Bell_Curve",$NN$30*(298-$NR$30+1)*($NS$30-298+1)/$NU$30,$NN$30/$NT$30)),0)</f>
        <v/>
      </c>
      <c r="KQ30" s="228">
        <f>IF(AND(299&gt;=$NR$30,299&lt;=$NS$30),IF($NP$30="Single_Point",IF(299=$NR$30,$NN$30,0),IF($NP$30="Bell_Curve",$NN$30*(299-$NR$30+1)*($NS$30-299+1)/$NU$30,$NN$30/$NT$30)),0)</f>
        <v/>
      </c>
      <c r="KR30" s="228">
        <f>IF(AND(300&gt;=$NR$30,300&lt;=$NS$30),IF($NP$30="Single_Point",IF(300=$NR$30,$NN$30,0),IF($NP$30="Bell_Curve",$NN$30*(300-$NR$30+1)*($NS$30-300+1)/$NU$30,$NN$30/$NT$30)),0)</f>
        <v/>
      </c>
      <c r="KS30" s="228">
        <f>IF(AND(301&gt;=$NR$30,301&lt;=$NS$30),IF($NP$30="Single_Point",IF(301=$NR$30,$NN$30,0),IF($NP$30="Bell_Curve",$NN$30*(301-$NR$30+1)*($NS$30-301+1)/$NU$30,$NN$30/$NT$30)),0)</f>
        <v/>
      </c>
      <c r="KT30" s="228">
        <f>IF(AND(302&gt;=$NR$30,302&lt;=$NS$30),IF($NP$30="Single_Point",IF(302=$NR$30,$NN$30,0),IF($NP$30="Bell_Curve",$NN$30*(302-$NR$30+1)*($NS$30-302+1)/$NU$30,$NN$30/$NT$30)),0)</f>
        <v/>
      </c>
      <c r="KU30" s="228">
        <f>IF(AND(303&gt;=$NR$30,303&lt;=$NS$30),IF($NP$30="Single_Point",IF(303=$NR$30,$NN$30,0),IF($NP$30="Bell_Curve",$NN$30*(303-$NR$30+1)*($NS$30-303+1)/$NU$30,$NN$30/$NT$30)),0)</f>
        <v/>
      </c>
      <c r="KV30" s="228">
        <f>IF(AND(304&gt;=$NR$30,304&lt;=$NS$30),IF($NP$30="Single_Point",IF(304=$NR$30,$NN$30,0),IF($NP$30="Bell_Curve",$NN$30*(304-$NR$30+1)*($NS$30-304+1)/$NU$30,$NN$30/$NT$30)),0)</f>
        <v/>
      </c>
      <c r="KW30" s="228">
        <f>IF(AND(305&gt;=$NR$30,305&lt;=$NS$30),IF($NP$30="Single_Point",IF(305=$NR$30,$NN$30,0),IF($NP$30="Bell_Curve",$NN$30*(305-$NR$30+1)*($NS$30-305+1)/$NU$30,$NN$30/$NT$30)),0)</f>
        <v/>
      </c>
      <c r="KX30" s="228">
        <f>IF(AND(306&gt;=$NR$30,306&lt;=$NS$30),IF($NP$30="Single_Point",IF(306=$NR$30,$NN$30,0),IF($NP$30="Bell_Curve",$NN$30*(306-$NR$30+1)*($NS$30-306+1)/$NU$30,$NN$30/$NT$30)),0)</f>
        <v/>
      </c>
      <c r="KY30" s="228">
        <f>IF(AND(307&gt;=$NR$30,307&lt;=$NS$30),IF($NP$30="Single_Point",IF(307=$NR$30,$NN$30,0),IF($NP$30="Bell_Curve",$NN$30*(307-$NR$30+1)*($NS$30-307+1)/$NU$30,$NN$30/$NT$30)),0)</f>
        <v/>
      </c>
      <c r="KZ30" s="228">
        <f>IF(AND(308&gt;=$NR$30,308&lt;=$NS$30),IF($NP$30="Single_Point",IF(308=$NR$30,$NN$30,0),IF($NP$30="Bell_Curve",$NN$30*(308-$NR$30+1)*($NS$30-308+1)/$NU$30,$NN$30/$NT$30)),0)</f>
        <v/>
      </c>
      <c r="LA30" s="228">
        <f>IF(AND(309&gt;=$NR$30,309&lt;=$NS$30),IF($NP$30="Single_Point",IF(309=$NR$30,$NN$30,0),IF($NP$30="Bell_Curve",$NN$30*(309-$NR$30+1)*($NS$30-309+1)/$NU$30,$NN$30/$NT$30)),0)</f>
        <v/>
      </c>
      <c r="LB30" s="228">
        <f>IF(AND(310&gt;=$NR$30,310&lt;=$NS$30),IF($NP$30="Single_Point",IF(310=$NR$30,$NN$30,0),IF($NP$30="Bell_Curve",$NN$30*(310-$NR$30+1)*($NS$30-310+1)/$NU$30,$NN$30/$NT$30)),0)</f>
        <v/>
      </c>
      <c r="LC30" s="228">
        <f>IF(AND(311&gt;=$NR$30,311&lt;=$NS$30),IF($NP$30="Single_Point",IF(311=$NR$30,$NN$30,0),IF($NP$30="Bell_Curve",$NN$30*(311-$NR$30+1)*($NS$30-311+1)/$NU$30,$NN$30/$NT$30)),0)</f>
        <v/>
      </c>
      <c r="LD30" s="228">
        <f>IF(AND(312&gt;=$NR$30,312&lt;=$NS$30),IF($NP$30="Single_Point",IF(312=$NR$30,$NN$30,0),IF($NP$30="Bell_Curve",$NN$30*(312-$NR$30+1)*($NS$30-312+1)/$NU$30,$NN$30/$NT$30)),0)</f>
        <v/>
      </c>
      <c r="LE30" s="228">
        <f>IF(AND(313&gt;=$NR$30,313&lt;=$NS$30),IF($NP$30="Single_Point",IF(313=$NR$30,$NN$30,0),IF($NP$30="Bell_Curve",$NN$30*(313-$NR$30+1)*($NS$30-313+1)/$NU$30,$NN$30/$NT$30)),0)</f>
        <v/>
      </c>
      <c r="LF30" s="228">
        <f>IF(AND(314&gt;=$NR$30,314&lt;=$NS$30),IF($NP$30="Single_Point",IF(314=$NR$30,$NN$30,0),IF($NP$30="Bell_Curve",$NN$30*(314-$NR$30+1)*($NS$30-314+1)/$NU$30,$NN$30/$NT$30)),0)</f>
        <v/>
      </c>
      <c r="LG30" s="228">
        <f>IF(AND(315&gt;=$NR$30,315&lt;=$NS$30),IF($NP$30="Single_Point",IF(315=$NR$30,$NN$30,0),IF($NP$30="Bell_Curve",$NN$30*(315-$NR$30+1)*($NS$30-315+1)/$NU$30,$NN$30/$NT$30)),0)</f>
        <v/>
      </c>
      <c r="LH30" s="228">
        <f>IF(AND(316&gt;=$NR$30,316&lt;=$NS$30),IF($NP$30="Single_Point",IF(316=$NR$30,$NN$30,0),IF($NP$30="Bell_Curve",$NN$30*(316-$NR$30+1)*($NS$30-316+1)/$NU$30,$NN$30/$NT$30)),0)</f>
        <v/>
      </c>
      <c r="LI30" s="228">
        <f>IF(AND(317&gt;=$NR$30,317&lt;=$NS$30),IF($NP$30="Single_Point",IF(317=$NR$30,$NN$30,0),IF($NP$30="Bell_Curve",$NN$30*(317-$NR$30+1)*($NS$30-317+1)/$NU$30,$NN$30/$NT$30)),0)</f>
        <v/>
      </c>
      <c r="LJ30" s="228">
        <f>IF(AND(318&gt;=$NR$30,318&lt;=$NS$30),IF($NP$30="Single_Point",IF(318=$NR$30,$NN$30,0),IF($NP$30="Bell_Curve",$NN$30*(318-$NR$30+1)*($NS$30-318+1)/$NU$30,$NN$30/$NT$30)),0)</f>
        <v/>
      </c>
      <c r="LK30" s="228">
        <f>IF(AND(319&gt;=$NR$30,319&lt;=$NS$30),IF($NP$30="Single_Point",IF(319=$NR$30,$NN$30,0),IF($NP$30="Bell_Curve",$NN$30*(319-$NR$30+1)*($NS$30-319+1)/$NU$30,$NN$30/$NT$30)),0)</f>
        <v/>
      </c>
      <c r="LL30" s="228">
        <f>IF(AND(320&gt;=$NR$30,320&lt;=$NS$30),IF($NP$30="Single_Point",IF(320=$NR$30,$NN$30,0),IF($NP$30="Bell_Curve",$NN$30*(320-$NR$30+1)*($NS$30-320+1)/$NU$30,$NN$30/$NT$30)),0)</f>
        <v/>
      </c>
      <c r="LM30" s="228">
        <f>IF(AND(321&gt;=$NR$30,321&lt;=$NS$30),IF($NP$30="Single_Point",IF(321=$NR$30,$NN$30,0),IF($NP$30="Bell_Curve",$NN$30*(321-$NR$30+1)*($NS$30-321+1)/$NU$30,$NN$30/$NT$30)),0)</f>
        <v/>
      </c>
      <c r="LN30" s="228">
        <f>IF(AND(322&gt;=$NR$30,322&lt;=$NS$30),IF($NP$30="Single_Point",IF(322=$NR$30,$NN$30,0),IF($NP$30="Bell_Curve",$NN$30*(322-$NR$30+1)*($NS$30-322+1)/$NU$30,$NN$30/$NT$30)),0)</f>
        <v/>
      </c>
      <c r="LO30" s="228">
        <f>IF(AND(323&gt;=$NR$30,323&lt;=$NS$30),IF($NP$30="Single_Point",IF(323=$NR$30,$NN$30,0),IF($NP$30="Bell_Curve",$NN$30*(323-$NR$30+1)*($NS$30-323+1)/$NU$30,$NN$30/$NT$30)),0)</f>
        <v/>
      </c>
      <c r="LP30" s="228">
        <f>IF(AND(324&gt;=$NR$30,324&lt;=$NS$30),IF($NP$30="Single_Point",IF(324=$NR$30,$NN$30,0),IF($NP$30="Bell_Curve",$NN$30*(324-$NR$30+1)*($NS$30-324+1)/$NU$30,$NN$30/$NT$30)),0)</f>
        <v/>
      </c>
      <c r="LQ30" s="228">
        <f>IF(AND(325&gt;=$NR$30,325&lt;=$NS$30),IF($NP$30="Single_Point",IF(325=$NR$30,$NN$30,0),IF($NP$30="Bell_Curve",$NN$30*(325-$NR$30+1)*($NS$30-325+1)/$NU$30,$NN$30/$NT$30)),0)</f>
        <v/>
      </c>
      <c r="LR30" s="228">
        <f>IF(AND(326&gt;=$NR$30,326&lt;=$NS$30),IF($NP$30="Single_Point",IF(326=$NR$30,$NN$30,0),IF($NP$30="Bell_Curve",$NN$30*(326-$NR$30+1)*($NS$30-326+1)/$NU$30,$NN$30/$NT$30)),0)</f>
        <v/>
      </c>
      <c r="LS30" s="228">
        <f>IF(AND(327&gt;=$NR$30,327&lt;=$NS$30),IF($NP$30="Single_Point",IF(327=$NR$30,$NN$30,0),IF($NP$30="Bell_Curve",$NN$30*(327-$NR$30+1)*($NS$30-327+1)/$NU$30,$NN$30/$NT$30)),0)</f>
        <v/>
      </c>
      <c r="LT30" s="228">
        <f>IF(AND(328&gt;=$NR$30,328&lt;=$NS$30),IF($NP$30="Single_Point",IF(328=$NR$30,$NN$30,0),IF($NP$30="Bell_Curve",$NN$30*(328-$NR$30+1)*($NS$30-328+1)/$NU$30,$NN$30/$NT$30)),0)</f>
        <v/>
      </c>
      <c r="LU30" s="228">
        <f>IF(AND(329&gt;=$NR$30,329&lt;=$NS$30),IF($NP$30="Single_Point",IF(329=$NR$30,$NN$30,0),IF($NP$30="Bell_Curve",$NN$30*(329-$NR$30+1)*($NS$30-329+1)/$NU$30,$NN$30/$NT$30)),0)</f>
        <v/>
      </c>
      <c r="LV30" s="228">
        <f>IF(AND(330&gt;=$NR$30,330&lt;=$NS$30),IF($NP$30="Single_Point",IF(330=$NR$30,$NN$30,0),IF($NP$30="Bell_Curve",$NN$30*(330-$NR$30+1)*($NS$30-330+1)/$NU$30,$NN$30/$NT$30)),0)</f>
        <v/>
      </c>
      <c r="LW30" s="228">
        <f>IF(AND(331&gt;=$NR$30,331&lt;=$NS$30),IF($NP$30="Single_Point",IF(331=$NR$30,$NN$30,0),IF($NP$30="Bell_Curve",$NN$30*(331-$NR$30+1)*($NS$30-331+1)/$NU$30,$NN$30/$NT$30)),0)</f>
        <v/>
      </c>
      <c r="LX30" s="228">
        <f>IF(AND(332&gt;=$NR$30,332&lt;=$NS$30),IF($NP$30="Single_Point",IF(332=$NR$30,$NN$30,0),IF($NP$30="Bell_Curve",$NN$30*(332-$NR$30+1)*($NS$30-332+1)/$NU$30,$NN$30/$NT$30)),0)</f>
        <v/>
      </c>
      <c r="LY30" s="228">
        <f>IF(AND(333&gt;=$NR$30,333&lt;=$NS$30),IF($NP$30="Single_Point",IF(333=$NR$30,$NN$30,0),IF($NP$30="Bell_Curve",$NN$30*(333-$NR$30+1)*($NS$30-333+1)/$NU$30,$NN$30/$NT$30)),0)</f>
        <v/>
      </c>
      <c r="LZ30" s="228">
        <f>IF(AND(334&gt;=$NR$30,334&lt;=$NS$30),IF($NP$30="Single_Point",IF(334=$NR$30,$NN$30,0),IF($NP$30="Bell_Curve",$NN$30*(334-$NR$30+1)*($NS$30-334+1)/$NU$30,$NN$30/$NT$30)),0)</f>
        <v/>
      </c>
      <c r="MA30" s="228">
        <f>IF(AND(335&gt;=$NR$30,335&lt;=$NS$30),IF($NP$30="Single_Point",IF(335=$NR$30,$NN$30,0),IF($NP$30="Bell_Curve",$NN$30*(335-$NR$30+1)*($NS$30-335+1)/$NU$30,$NN$30/$NT$30)),0)</f>
        <v/>
      </c>
      <c r="MB30" s="228">
        <f>IF(AND(336&gt;=$NR$30,336&lt;=$NS$30),IF($NP$30="Single_Point",IF(336=$NR$30,$NN$30,0),IF($NP$30="Bell_Curve",$NN$30*(336-$NR$30+1)*($NS$30-336+1)/$NU$30,$NN$30/$NT$30)),0)</f>
        <v/>
      </c>
      <c r="MC30" s="228">
        <f>IF(AND(337&gt;=$NR$30,337&lt;=$NS$30),IF($NP$30="Single_Point",IF(337=$NR$30,$NN$30,0),IF($NP$30="Bell_Curve",$NN$30*(337-$NR$30+1)*($NS$30-337+1)/$NU$30,$NN$30/$NT$30)),0)</f>
        <v/>
      </c>
      <c r="MD30" s="228">
        <f>IF(AND(338&gt;=$NR$30,338&lt;=$NS$30),IF($NP$30="Single_Point",IF(338=$NR$30,$NN$30,0),IF($NP$30="Bell_Curve",$NN$30*(338-$NR$30+1)*($NS$30-338+1)/$NU$30,$NN$30/$NT$30)),0)</f>
        <v/>
      </c>
      <c r="ME30" s="228">
        <f>IF(AND(339&gt;=$NR$30,339&lt;=$NS$30),IF($NP$30="Single_Point",IF(339=$NR$30,$NN$30,0),IF($NP$30="Bell_Curve",$NN$30*(339-$NR$30+1)*($NS$30-339+1)/$NU$30,$NN$30/$NT$30)),0)</f>
        <v/>
      </c>
      <c r="MF30" s="228">
        <f>IF(AND(340&gt;=$NR$30,340&lt;=$NS$30),IF($NP$30="Single_Point",IF(340=$NR$30,$NN$30,0),IF($NP$30="Bell_Curve",$NN$30*(340-$NR$30+1)*($NS$30-340+1)/$NU$30,$NN$30/$NT$30)),0)</f>
        <v/>
      </c>
      <c r="MG30" s="228">
        <f>IF(AND(341&gt;=$NR$30,341&lt;=$NS$30),IF($NP$30="Single_Point",IF(341=$NR$30,$NN$30,0),IF($NP$30="Bell_Curve",$NN$30*(341-$NR$30+1)*($NS$30-341+1)/$NU$30,$NN$30/$NT$30)),0)</f>
        <v/>
      </c>
      <c r="MH30" s="228">
        <f>IF(AND(342&gt;=$NR$30,342&lt;=$NS$30),IF($NP$30="Single_Point",IF(342=$NR$30,$NN$30,0),IF($NP$30="Bell_Curve",$NN$30*(342-$NR$30+1)*($NS$30-342+1)/$NU$30,$NN$30/$NT$30)),0)</f>
        <v/>
      </c>
      <c r="MI30" s="228">
        <f>IF(AND(343&gt;=$NR$30,343&lt;=$NS$30),IF($NP$30="Single_Point",IF(343=$NR$30,$NN$30,0),IF($NP$30="Bell_Curve",$NN$30*(343-$NR$30+1)*($NS$30-343+1)/$NU$30,$NN$30/$NT$30)),0)</f>
        <v/>
      </c>
      <c r="MJ30" s="228">
        <f>IF(AND(344&gt;=$NR$30,344&lt;=$NS$30),IF($NP$30="Single_Point",IF(344=$NR$30,$NN$30,0),IF($NP$30="Bell_Curve",$NN$30*(344-$NR$30+1)*($NS$30-344+1)/$NU$30,$NN$30/$NT$30)),0)</f>
        <v/>
      </c>
      <c r="MK30" s="228">
        <f>IF(AND(345&gt;=$NR$30,345&lt;=$NS$30),IF($NP$30="Single_Point",IF(345=$NR$30,$NN$30,0),IF($NP$30="Bell_Curve",$NN$30*(345-$NR$30+1)*($NS$30-345+1)/$NU$30,$NN$30/$NT$30)),0)</f>
        <v/>
      </c>
      <c r="ML30" s="228">
        <f>IF(AND(346&gt;=$NR$30,346&lt;=$NS$30),IF($NP$30="Single_Point",IF(346=$NR$30,$NN$30,0),IF($NP$30="Bell_Curve",$NN$30*(346-$NR$30+1)*($NS$30-346+1)/$NU$30,$NN$30/$NT$30)),0)</f>
        <v/>
      </c>
      <c r="MM30" s="228">
        <f>IF(AND(347&gt;=$NR$30,347&lt;=$NS$30),IF($NP$30="Single_Point",IF(347=$NR$30,$NN$30,0),IF($NP$30="Bell_Curve",$NN$30*(347-$NR$30+1)*($NS$30-347+1)/$NU$30,$NN$30/$NT$30)),0)</f>
        <v/>
      </c>
      <c r="MN30" s="228">
        <f>IF(AND(348&gt;=$NR$30,348&lt;=$NS$30),IF($NP$30="Single_Point",IF(348=$NR$30,$NN$30,0),IF($NP$30="Bell_Curve",$NN$30*(348-$NR$30+1)*($NS$30-348+1)/$NU$30,$NN$30/$NT$30)),0)</f>
        <v/>
      </c>
      <c r="MO30" s="228">
        <f>IF(AND(349&gt;=$NR$30,349&lt;=$NS$30),IF($NP$30="Single_Point",IF(349=$NR$30,$NN$30,0),IF($NP$30="Bell_Curve",$NN$30*(349-$NR$30+1)*($NS$30-349+1)/$NU$30,$NN$30/$NT$30)),0)</f>
        <v/>
      </c>
      <c r="MP30" s="228">
        <f>IF(AND(350&gt;=$NR$30,350&lt;=$NS$30),IF($NP$30="Single_Point",IF(350=$NR$30,$NN$30,0),IF($NP$30="Bell_Curve",$NN$30*(350-$NR$30+1)*($NS$30-350+1)/$NU$30,$NN$30/$NT$30)),0)</f>
        <v/>
      </c>
      <c r="MQ30" s="228">
        <f>IF(AND(351&gt;=$NR$30,351&lt;=$NS$30),IF($NP$30="Single_Point",IF(351=$NR$30,$NN$30,0),IF($NP$30="Bell_Curve",$NN$30*(351-$NR$30+1)*($NS$30-351+1)/$NU$30,$NN$30/$NT$30)),0)</f>
        <v/>
      </c>
      <c r="MR30" s="228">
        <f>IF(AND(352&gt;=$NR$30,352&lt;=$NS$30),IF($NP$30="Single_Point",IF(352=$NR$30,$NN$30,0),IF($NP$30="Bell_Curve",$NN$30*(352-$NR$30+1)*($NS$30-352+1)/$NU$30,$NN$30/$NT$30)),0)</f>
        <v/>
      </c>
      <c r="MS30" s="228">
        <f>IF(AND(353&gt;=$NR$30,353&lt;=$NS$30),IF($NP$30="Single_Point",IF(353=$NR$30,$NN$30,0),IF($NP$30="Bell_Curve",$NN$30*(353-$NR$30+1)*($NS$30-353+1)/$NU$30,$NN$30/$NT$30)),0)</f>
        <v/>
      </c>
      <c r="MT30" s="228">
        <f>IF(AND(354&gt;=$NR$30,354&lt;=$NS$30),IF($NP$30="Single_Point",IF(354=$NR$30,$NN$30,0),IF($NP$30="Bell_Curve",$NN$30*(354-$NR$30+1)*($NS$30-354+1)/$NU$30,$NN$30/$NT$30)),0)</f>
        <v/>
      </c>
      <c r="MU30" s="228">
        <f>IF(AND(355&gt;=$NR$30,355&lt;=$NS$30),IF($NP$30="Single_Point",IF(355=$NR$30,$NN$30,0),IF($NP$30="Bell_Curve",$NN$30*(355-$NR$30+1)*($NS$30-355+1)/$NU$30,$NN$30/$NT$30)),0)</f>
        <v/>
      </c>
      <c r="MV30" s="228">
        <f>IF(AND(356&gt;=$NR$30,356&lt;=$NS$30),IF($NP$30="Single_Point",IF(356=$NR$30,$NN$30,0),IF($NP$30="Bell_Curve",$NN$30*(356-$NR$30+1)*($NS$30-356+1)/$NU$30,$NN$30/$NT$30)),0)</f>
        <v/>
      </c>
      <c r="MW30" s="228">
        <f>IF(AND(357&gt;=$NR$30,357&lt;=$NS$30),IF($NP$30="Single_Point",IF(357=$NR$30,$NN$30,0),IF($NP$30="Bell_Curve",$NN$30*(357-$NR$30+1)*($NS$30-357+1)/$NU$30,$NN$30/$NT$30)),0)</f>
        <v/>
      </c>
      <c r="MX30" s="228">
        <f>IF(AND(358&gt;=$NR$30,358&lt;=$NS$30),IF($NP$30="Single_Point",IF(358=$NR$30,$NN$30,0),IF($NP$30="Bell_Curve",$NN$30*(358-$NR$30+1)*($NS$30-358+1)/$NU$30,$NN$30/$NT$30)),0)</f>
        <v/>
      </c>
      <c r="MY30" s="228">
        <f>IF(AND(359&gt;=$NR$30,359&lt;=$NS$30),IF($NP$30="Single_Point",IF(359=$NR$30,$NN$30,0),IF($NP$30="Bell_Curve",$NN$30*(359-$NR$30+1)*($NS$30-359+1)/$NU$30,$NN$30/$NT$30)),0)</f>
        <v/>
      </c>
      <c r="MZ30" s="228">
        <f>IF(AND(360&gt;=$NR$30,360&lt;=$NS$30),IF($NP$30="Single_Point",IF(360=$NR$30,$NN$30,0),IF($NP$30="Bell_Curve",$NN$30*(360-$NR$30+1)*($NS$30-360+1)/$NU$30,$NN$30/$NT$30)),0)</f>
        <v/>
      </c>
      <c r="NA30" s="228">
        <f>IF(AND(361&gt;=$NR$30,361&lt;=$NS$30),IF($NP$30="Single_Point",IF(361=$NR$30,$NN$30,0),IF($NP$30="Bell_Curve",$NN$30*(361-$NR$30+1)*($NS$30-361+1)/$NU$30,$NN$30/$NT$30)),0)</f>
        <v/>
      </c>
      <c r="NB30" s="228">
        <f>IF(AND(362&gt;=$NR$30,362&lt;=$NS$30),IF($NP$30="Single_Point",IF(362=$NR$30,$NN$30,0),IF($NP$30="Bell_Curve",$NN$30*(362-$NR$30+1)*($NS$30-362+1)/$NU$30,$NN$30/$NT$30)),0)</f>
        <v/>
      </c>
      <c r="NC30" s="228">
        <f>IF(AND(363&gt;=$NR$30,363&lt;=$NS$30),IF($NP$30="Single_Point",IF(363=$NR$30,$NN$30,0),IF($NP$30="Bell_Curve",$NN$30*(363-$NR$30+1)*($NS$30-363+1)/$NU$30,$NN$30/$NT$30)),0)</f>
        <v/>
      </c>
      <c r="ND30" s="228">
        <f>IF(AND(364&gt;=$NR$30,364&lt;=$NS$30),IF($NP$30="Single_Point",IF(364=$NR$30,$NN$30,0),IF($NP$30="Bell_Curve",$NN$30*(364-$NR$30+1)*($NS$30-364+1)/$NU$30,$NN$30/$NT$30)),0)</f>
        <v/>
      </c>
      <c r="NE30" s="228">
        <f>IF(AND(365&gt;=$NR$30,365&lt;=$NS$30),IF($NP$30="Single_Point",IF(365=$NR$30,$NN$30,0),IF($NP$30="Bell_Curve",$NN$30*(365-$NR$30+1)*($NS$30-365+1)/$NU$30,$NN$30/$NT$30)),0)</f>
        <v/>
      </c>
      <c r="NF30" s="228">
        <f>IF(AND(366&gt;=$NR$30,366&lt;=$NS$30),IF($NP$30="Single_Point",IF(366=$NR$30,$NN$30,0),IF($NP$30="Bell_Curve",$NN$30*(366-$NR$30+1)*($NS$30-366+1)/$NU$30,$NN$30/$NT$30)),0)</f>
        <v/>
      </c>
      <c r="NG30" s="228">
        <f>IF(AND(367&gt;=$NR$30,367&lt;=$NS$30),IF($NP$30="Single_Point",IF(367=$NR$30,$NN$30,0),IF($NP$30="Bell_Curve",$NN$30*(367-$NR$30+1)*($NS$30-367+1)/$NU$30,$NN$30/$NT$30)),0)</f>
        <v/>
      </c>
      <c r="NH30" s="228">
        <f>IF(AND(368&gt;=$NR$30,368&lt;=$NS$30),IF($NP$30="Single_Point",IF(368=$NR$30,$NN$30,0),IF($NP$30="Bell_Curve",$NN$30*(368-$NR$30+1)*($NS$30-368+1)/$NU$30,$NN$30/$NT$30)),0)</f>
        <v/>
      </c>
      <c r="NI30" s="228">
        <f>IF(AND(369&gt;=$NR$30,369&lt;=$NS$30),IF($NP$30="Single_Point",IF(369=$NR$30,$NN$30,0),IF($NP$30="Bell_Curve",$NN$30*(369-$NR$30+1)*($NS$30-369+1)/$NU$30,$NN$30/$NT$30)),0)</f>
        <v/>
      </c>
      <c r="NJ30" s="228">
        <f>IF(AND(370&gt;=$NR$30,370&lt;=$NS$30),IF($NP$30="Single_Point",IF(370=$NR$30,$NN$30,0),IF($NP$30="Bell_Curve",$NN$30*(370-$NR$30+1)*($NS$30-370+1)/$NU$30,$NN$30/$NT$30)),0)</f>
        <v/>
      </c>
      <c r="NK30" s="228">
        <f>IF(AND(371&gt;=$NR$30,371&lt;=$NS$30),IF($NP$30="Single_Point",IF(371=$NR$30,$NN$30,0),IF($NP$30="Bell_Curve",$NN$30*(371-$NR$30+1)*($NS$30-371+1)/$NU$30,$NN$30/$NT$30)),0)</f>
        <v/>
      </c>
      <c r="NL30" s="247">
        <f>IF(AND(372&gt;=$NR$30,372&lt;=$NS$30),IF($NP$30="Single_Point",IF(372=$NR$30,$NN$30,0),IF($NP$30="Bell_Curve",$NN$30*(372-$NR$30+1)*($NS$30-372+1)/$NU$30,$NN$30/$NT$30)),0)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36" t="inlineStr">
        <is>
          <t>Other Hard Cost 5</t>
        </is>
      </c>
      <c r="D31" s="246">
        <f>SUM(E31:NL31)</f>
        <v/>
      </c>
      <c r="E31" s="228">
        <f>IF(AND(1&gt;=$NR$31,1&lt;=$NS$31),IF($NP$31="Single_Point",IF(1=$NR$31,$NN$31,0),IF($NP$31="Bell_Curve",$NN$31*(1-$NR$31+1)*($NS$31-1+1)/$NU$31,$NN$31/$NT$31)),0)</f>
        <v/>
      </c>
      <c r="F31" s="228">
        <f>IF(AND(2&gt;=$NR$31,2&lt;=$NS$31),IF($NP$31="Single_Point",IF(2=$NR$31,$NN$31,0),IF($NP$31="Bell_Curve",$NN$31*(2-$NR$31+1)*($NS$31-2+1)/$NU$31,$NN$31/$NT$31)),0)</f>
        <v/>
      </c>
      <c r="G31" s="228">
        <f>IF(AND(3&gt;=$NR$31,3&lt;=$NS$31),IF($NP$31="Single_Point",IF(3=$NR$31,$NN$31,0),IF($NP$31="Bell_Curve",$NN$31*(3-$NR$31+1)*($NS$31-3+1)/$NU$31,$NN$31/$NT$31)),0)</f>
        <v/>
      </c>
      <c r="H31" s="228">
        <f>IF(AND(4&gt;=$NR$31,4&lt;=$NS$31),IF($NP$31="Single_Point",IF(4=$NR$31,$NN$31,0),IF($NP$31="Bell_Curve",$NN$31*(4-$NR$31+1)*($NS$31-4+1)/$NU$31,$NN$31/$NT$31)),0)</f>
        <v/>
      </c>
      <c r="I31" s="228">
        <f>IF(AND(5&gt;=$NR$31,5&lt;=$NS$31),IF($NP$31="Single_Point",IF(5=$NR$31,$NN$31,0),IF($NP$31="Bell_Curve",$NN$31*(5-$NR$31+1)*($NS$31-5+1)/$NU$31,$NN$31/$NT$31)),0)</f>
        <v/>
      </c>
      <c r="J31" s="228">
        <f>IF(AND(6&gt;=$NR$31,6&lt;=$NS$31),IF($NP$31="Single_Point",IF(6=$NR$31,$NN$31,0),IF($NP$31="Bell_Curve",$NN$31*(6-$NR$31+1)*($NS$31-6+1)/$NU$31,$NN$31/$NT$31)),0)</f>
        <v/>
      </c>
      <c r="K31" s="228">
        <f>IF(AND(7&gt;=$NR$31,7&lt;=$NS$31),IF($NP$31="Single_Point",IF(7=$NR$31,$NN$31,0),IF($NP$31="Bell_Curve",$NN$31*(7-$NR$31+1)*($NS$31-7+1)/$NU$31,$NN$31/$NT$31)),0)</f>
        <v/>
      </c>
      <c r="L31" s="228">
        <f>IF(AND(8&gt;=$NR$31,8&lt;=$NS$31),IF($NP$31="Single_Point",IF(8=$NR$31,$NN$31,0),IF($NP$31="Bell_Curve",$NN$31*(8-$NR$31+1)*($NS$31-8+1)/$NU$31,$NN$31/$NT$31)),0)</f>
        <v/>
      </c>
      <c r="M31" s="228">
        <f>IF(AND(9&gt;=$NR$31,9&lt;=$NS$31),IF($NP$31="Single_Point",IF(9=$NR$31,$NN$31,0),IF($NP$31="Bell_Curve",$NN$31*(9-$NR$31+1)*($NS$31-9+1)/$NU$31,$NN$31/$NT$31)),0)</f>
        <v/>
      </c>
      <c r="N31" s="228">
        <f>IF(AND(10&gt;=$NR$31,10&lt;=$NS$31),IF($NP$31="Single_Point",IF(10=$NR$31,$NN$31,0),IF($NP$31="Bell_Curve",$NN$31*(10-$NR$31+1)*($NS$31-10+1)/$NU$31,$NN$31/$NT$31)),0)</f>
        <v/>
      </c>
      <c r="O31" s="228">
        <f>IF(AND(11&gt;=$NR$31,11&lt;=$NS$31),IF($NP$31="Single_Point",IF(11=$NR$31,$NN$31,0),IF($NP$31="Bell_Curve",$NN$31*(11-$NR$31+1)*($NS$31-11+1)/$NU$31,$NN$31/$NT$31)),0)</f>
        <v/>
      </c>
      <c r="P31" s="228">
        <f>IF(AND(12&gt;=$NR$31,12&lt;=$NS$31),IF($NP$31="Single_Point",IF(12=$NR$31,$NN$31,0),IF($NP$31="Bell_Curve",$NN$31*(12-$NR$31+1)*($NS$31-12+1)/$NU$31,$NN$31/$NT$31)),0)</f>
        <v/>
      </c>
      <c r="Q31" s="228">
        <f>IF(AND(13&gt;=$NR$31,13&lt;=$NS$31),IF($NP$31="Single_Point",IF(13=$NR$31,$NN$31,0),IF($NP$31="Bell_Curve",$NN$31*(13-$NR$31+1)*($NS$31-13+1)/$NU$31,$NN$31/$NT$31)),0)</f>
        <v/>
      </c>
      <c r="R31" s="228">
        <f>IF(AND(14&gt;=$NR$31,14&lt;=$NS$31),IF($NP$31="Single_Point",IF(14=$NR$31,$NN$31,0),IF($NP$31="Bell_Curve",$NN$31*(14-$NR$31+1)*($NS$31-14+1)/$NU$31,$NN$31/$NT$31)),0)</f>
        <v/>
      </c>
      <c r="S31" s="228">
        <f>IF(AND(15&gt;=$NR$31,15&lt;=$NS$31),IF($NP$31="Single_Point",IF(15=$NR$31,$NN$31,0),IF($NP$31="Bell_Curve",$NN$31*(15-$NR$31+1)*($NS$31-15+1)/$NU$31,$NN$31/$NT$31)),0)</f>
        <v/>
      </c>
      <c r="T31" s="228">
        <f>IF(AND(16&gt;=$NR$31,16&lt;=$NS$31),IF($NP$31="Single_Point",IF(16=$NR$31,$NN$31,0),IF($NP$31="Bell_Curve",$NN$31*(16-$NR$31+1)*($NS$31-16+1)/$NU$31,$NN$31/$NT$31)),0)</f>
        <v/>
      </c>
      <c r="U31" s="228">
        <f>IF(AND(17&gt;=$NR$31,17&lt;=$NS$31),IF($NP$31="Single_Point",IF(17=$NR$31,$NN$31,0),IF($NP$31="Bell_Curve",$NN$31*(17-$NR$31+1)*($NS$31-17+1)/$NU$31,$NN$31/$NT$31)),0)</f>
        <v/>
      </c>
      <c r="V31" s="228">
        <f>IF(AND(18&gt;=$NR$31,18&lt;=$NS$31),IF($NP$31="Single_Point",IF(18=$NR$31,$NN$31,0),IF($NP$31="Bell_Curve",$NN$31*(18-$NR$31+1)*($NS$31-18+1)/$NU$31,$NN$31/$NT$31)),0)</f>
        <v/>
      </c>
      <c r="W31" s="228">
        <f>IF(AND(19&gt;=$NR$31,19&lt;=$NS$31),IF($NP$31="Single_Point",IF(19=$NR$31,$NN$31,0),IF($NP$31="Bell_Curve",$NN$31*(19-$NR$31+1)*($NS$31-19+1)/$NU$31,$NN$31/$NT$31)),0)</f>
        <v/>
      </c>
      <c r="X31" s="228">
        <f>IF(AND(20&gt;=$NR$31,20&lt;=$NS$31),IF($NP$31="Single_Point",IF(20=$NR$31,$NN$31,0),IF($NP$31="Bell_Curve",$NN$31*(20-$NR$31+1)*($NS$31-20+1)/$NU$31,$NN$31/$NT$31)),0)</f>
        <v/>
      </c>
      <c r="Y31" s="228">
        <f>IF(AND(21&gt;=$NR$31,21&lt;=$NS$31),IF($NP$31="Single_Point",IF(21=$NR$31,$NN$31,0),IF($NP$31="Bell_Curve",$NN$31*(21-$NR$31+1)*($NS$31-21+1)/$NU$31,$NN$31/$NT$31)),0)</f>
        <v/>
      </c>
      <c r="Z31" s="228">
        <f>IF(AND(22&gt;=$NR$31,22&lt;=$NS$31),IF($NP$31="Single_Point",IF(22=$NR$31,$NN$31,0),IF($NP$31="Bell_Curve",$NN$31*(22-$NR$31+1)*($NS$31-22+1)/$NU$31,$NN$31/$NT$31)),0)</f>
        <v/>
      </c>
      <c r="AA31" s="228">
        <f>IF(AND(23&gt;=$NR$31,23&lt;=$NS$31),IF($NP$31="Single_Point",IF(23=$NR$31,$NN$31,0),IF($NP$31="Bell_Curve",$NN$31*(23-$NR$31+1)*($NS$31-23+1)/$NU$31,$NN$31/$NT$31)),0)</f>
        <v/>
      </c>
      <c r="AB31" s="228">
        <f>IF(AND(24&gt;=$NR$31,24&lt;=$NS$31),IF($NP$31="Single_Point",IF(24=$NR$31,$NN$31,0),IF($NP$31="Bell_Curve",$NN$31*(24-$NR$31+1)*($NS$31-24+1)/$NU$31,$NN$31/$NT$31)),0)</f>
        <v/>
      </c>
      <c r="AC31" s="228">
        <f>IF(AND(25&gt;=$NR$31,25&lt;=$NS$31),IF($NP$31="Single_Point",IF(25=$NR$31,$NN$31,0),IF($NP$31="Bell_Curve",$NN$31*(25-$NR$31+1)*($NS$31-25+1)/$NU$31,$NN$31/$NT$31)),0)</f>
        <v/>
      </c>
      <c r="AD31" s="228">
        <f>IF(AND(26&gt;=$NR$31,26&lt;=$NS$31),IF($NP$31="Single_Point",IF(26=$NR$31,$NN$31,0),IF($NP$31="Bell_Curve",$NN$31*(26-$NR$31+1)*($NS$31-26+1)/$NU$31,$NN$31/$NT$31)),0)</f>
        <v/>
      </c>
      <c r="AE31" s="228">
        <f>IF(AND(27&gt;=$NR$31,27&lt;=$NS$31),IF($NP$31="Single_Point",IF(27=$NR$31,$NN$31,0),IF($NP$31="Bell_Curve",$NN$31*(27-$NR$31+1)*($NS$31-27+1)/$NU$31,$NN$31/$NT$31)),0)</f>
        <v/>
      </c>
      <c r="AF31" s="228">
        <f>IF(AND(28&gt;=$NR$31,28&lt;=$NS$31),IF($NP$31="Single_Point",IF(28=$NR$31,$NN$31,0),IF($NP$31="Bell_Curve",$NN$31*(28-$NR$31+1)*($NS$31-28+1)/$NU$31,$NN$31/$NT$31)),0)</f>
        <v/>
      </c>
      <c r="AG31" s="228">
        <f>IF(AND(29&gt;=$NR$31,29&lt;=$NS$31),IF($NP$31="Single_Point",IF(29=$NR$31,$NN$31,0),IF($NP$31="Bell_Curve",$NN$31*(29-$NR$31+1)*($NS$31-29+1)/$NU$31,$NN$31/$NT$31)),0)</f>
        <v/>
      </c>
      <c r="AH31" s="228">
        <f>IF(AND(30&gt;=$NR$31,30&lt;=$NS$31),IF($NP$31="Single_Point",IF(30=$NR$31,$NN$31,0),IF($NP$31="Bell_Curve",$NN$31*(30-$NR$31+1)*($NS$31-30+1)/$NU$31,$NN$31/$NT$31)),0)</f>
        <v/>
      </c>
      <c r="AI31" s="228">
        <f>IF(AND(31&gt;=$NR$31,31&lt;=$NS$31),IF($NP$31="Single_Point",IF(31=$NR$31,$NN$31,0),IF($NP$31="Bell_Curve",$NN$31*(31-$NR$31+1)*($NS$31-31+1)/$NU$31,$NN$31/$NT$31)),0)</f>
        <v/>
      </c>
      <c r="AJ31" s="228">
        <f>IF(AND(32&gt;=$NR$31,32&lt;=$NS$31),IF($NP$31="Single_Point",IF(32=$NR$31,$NN$31,0),IF($NP$31="Bell_Curve",$NN$31*(32-$NR$31+1)*($NS$31-32+1)/$NU$31,$NN$31/$NT$31)),0)</f>
        <v/>
      </c>
      <c r="AK31" s="228">
        <f>IF(AND(33&gt;=$NR$31,33&lt;=$NS$31),IF($NP$31="Single_Point",IF(33=$NR$31,$NN$31,0),IF($NP$31="Bell_Curve",$NN$31*(33-$NR$31+1)*($NS$31-33+1)/$NU$31,$NN$31/$NT$31)),0)</f>
        <v/>
      </c>
      <c r="AL31" s="228">
        <f>IF(AND(34&gt;=$NR$31,34&lt;=$NS$31),IF($NP$31="Single_Point",IF(34=$NR$31,$NN$31,0),IF($NP$31="Bell_Curve",$NN$31*(34-$NR$31+1)*($NS$31-34+1)/$NU$31,$NN$31/$NT$31)),0)</f>
        <v/>
      </c>
      <c r="AM31" s="228">
        <f>IF(AND(35&gt;=$NR$31,35&lt;=$NS$31),IF($NP$31="Single_Point",IF(35=$NR$31,$NN$31,0),IF($NP$31="Bell_Curve",$NN$31*(35-$NR$31+1)*($NS$31-35+1)/$NU$31,$NN$31/$NT$31)),0)</f>
        <v/>
      </c>
      <c r="AN31" s="228">
        <f>IF(AND(36&gt;=$NR$31,36&lt;=$NS$31),IF($NP$31="Single_Point",IF(36=$NR$31,$NN$31,0),IF($NP$31="Bell_Curve",$NN$31*(36-$NR$31+1)*($NS$31-36+1)/$NU$31,$NN$31/$NT$31)),0)</f>
        <v/>
      </c>
      <c r="AO31" s="228">
        <f>IF(AND(37&gt;=$NR$31,37&lt;=$NS$31),IF($NP$31="Single_Point",IF(37=$NR$31,$NN$31,0),IF($NP$31="Bell_Curve",$NN$31*(37-$NR$31+1)*($NS$31-37+1)/$NU$31,$NN$31/$NT$31)),0)</f>
        <v/>
      </c>
      <c r="AP31" s="228">
        <f>IF(AND(38&gt;=$NR$31,38&lt;=$NS$31),IF($NP$31="Single_Point",IF(38=$NR$31,$NN$31,0),IF($NP$31="Bell_Curve",$NN$31*(38-$NR$31+1)*($NS$31-38+1)/$NU$31,$NN$31/$NT$31)),0)</f>
        <v/>
      </c>
      <c r="AQ31" s="228">
        <f>IF(AND(39&gt;=$NR$31,39&lt;=$NS$31),IF($NP$31="Single_Point",IF(39=$NR$31,$NN$31,0),IF($NP$31="Bell_Curve",$NN$31*(39-$NR$31+1)*($NS$31-39+1)/$NU$31,$NN$31/$NT$31)),0)</f>
        <v/>
      </c>
      <c r="AR31" s="228">
        <f>IF(AND(40&gt;=$NR$31,40&lt;=$NS$31),IF($NP$31="Single_Point",IF(40=$NR$31,$NN$31,0),IF($NP$31="Bell_Curve",$NN$31*(40-$NR$31+1)*($NS$31-40+1)/$NU$31,$NN$31/$NT$31)),0)</f>
        <v/>
      </c>
      <c r="AS31" s="228">
        <f>IF(AND(41&gt;=$NR$31,41&lt;=$NS$31),IF($NP$31="Single_Point",IF(41=$NR$31,$NN$31,0),IF($NP$31="Bell_Curve",$NN$31*(41-$NR$31+1)*($NS$31-41+1)/$NU$31,$NN$31/$NT$31)),0)</f>
        <v/>
      </c>
      <c r="AT31" s="228">
        <f>IF(AND(42&gt;=$NR$31,42&lt;=$NS$31),IF($NP$31="Single_Point",IF(42=$NR$31,$NN$31,0),IF($NP$31="Bell_Curve",$NN$31*(42-$NR$31+1)*($NS$31-42+1)/$NU$31,$NN$31/$NT$31)),0)</f>
        <v/>
      </c>
      <c r="AU31" s="228">
        <f>IF(AND(43&gt;=$NR$31,43&lt;=$NS$31),IF($NP$31="Single_Point",IF(43=$NR$31,$NN$31,0),IF($NP$31="Bell_Curve",$NN$31*(43-$NR$31+1)*($NS$31-43+1)/$NU$31,$NN$31/$NT$31)),0)</f>
        <v/>
      </c>
      <c r="AV31" s="228">
        <f>IF(AND(44&gt;=$NR$31,44&lt;=$NS$31),IF($NP$31="Single_Point",IF(44=$NR$31,$NN$31,0),IF($NP$31="Bell_Curve",$NN$31*(44-$NR$31+1)*($NS$31-44+1)/$NU$31,$NN$31/$NT$31)),0)</f>
        <v/>
      </c>
      <c r="AW31" s="228">
        <f>IF(AND(45&gt;=$NR$31,45&lt;=$NS$31),IF($NP$31="Single_Point",IF(45=$NR$31,$NN$31,0),IF($NP$31="Bell_Curve",$NN$31*(45-$NR$31+1)*($NS$31-45+1)/$NU$31,$NN$31/$NT$31)),0)</f>
        <v/>
      </c>
      <c r="AX31" s="228">
        <f>IF(AND(46&gt;=$NR$31,46&lt;=$NS$31),IF($NP$31="Single_Point",IF(46=$NR$31,$NN$31,0),IF($NP$31="Bell_Curve",$NN$31*(46-$NR$31+1)*($NS$31-46+1)/$NU$31,$NN$31/$NT$31)),0)</f>
        <v/>
      </c>
      <c r="AY31" s="228">
        <f>IF(AND(47&gt;=$NR$31,47&lt;=$NS$31),IF($NP$31="Single_Point",IF(47=$NR$31,$NN$31,0),IF($NP$31="Bell_Curve",$NN$31*(47-$NR$31+1)*($NS$31-47+1)/$NU$31,$NN$31/$NT$31)),0)</f>
        <v/>
      </c>
      <c r="AZ31" s="228">
        <f>IF(AND(48&gt;=$NR$31,48&lt;=$NS$31),IF($NP$31="Single_Point",IF(48=$NR$31,$NN$31,0),IF($NP$31="Bell_Curve",$NN$31*(48-$NR$31+1)*($NS$31-48+1)/$NU$31,$NN$31/$NT$31)),0)</f>
        <v/>
      </c>
      <c r="BA31" s="228">
        <f>IF(AND(49&gt;=$NR$31,49&lt;=$NS$31),IF($NP$31="Single_Point",IF(49=$NR$31,$NN$31,0),IF($NP$31="Bell_Curve",$NN$31*(49-$NR$31+1)*($NS$31-49+1)/$NU$31,$NN$31/$NT$31)),0)</f>
        <v/>
      </c>
      <c r="BB31" s="228">
        <f>IF(AND(50&gt;=$NR$31,50&lt;=$NS$31),IF($NP$31="Single_Point",IF(50=$NR$31,$NN$31,0),IF($NP$31="Bell_Curve",$NN$31*(50-$NR$31+1)*($NS$31-50+1)/$NU$31,$NN$31/$NT$31)),0)</f>
        <v/>
      </c>
      <c r="BC31" s="228">
        <f>IF(AND(51&gt;=$NR$31,51&lt;=$NS$31),IF($NP$31="Single_Point",IF(51=$NR$31,$NN$31,0),IF($NP$31="Bell_Curve",$NN$31*(51-$NR$31+1)*($NS$31-51+1)/$NU$31,$NN$31/$NT$31)),0)</f>
        <v/>
      </c>
      <c r="BD31" s="228">
        <f>IF(AND(52&gt;=$NR$31,52&lt;=$NS$31),IF($NP$31="Single_Point",IF(52=$NR$31,$NN$31,0),IF($NP$31="Bell_Curve",$NN$31*(52-$NR$31+1)*($NS$31-52+1)/$NU$31,$NN$31/$NT$31)),0)</f>
        <v/>
      </c>
      <c r="BE31" s="228">
        <f>IF(AND(53&gt;=$NR$31,53&lt;=$NS$31),IF($NP$31="Single_Point",IF(53=$NR$31,$NN$31,0),IF($NP$31="Bell_Curve",$NN$31*(53-$NR$31+1)*($NS$31-53+1)/$NU$31,$NN$31/$NT$31)),0)</f>
        <v/>
      </c>
      <c r="BF31" s="228">
        <f>IF(AND(54&gt;=$NR$31,54&lt;=$NS$31),IF($NP$31="Single_Point",IF(54=$NR$31,$NN$31,0),IF($NP$31="Bell_Curve",$NN$31*(54-$NR$31+1)*($NS$31-54+1)/$NU$31,$NN$31/$NT$31)),0)</f>
        <v/>
      </c>
      <c r="BG31" s="228">
        <f>IF(AND(55&gt;=$NR$31,55&lt;=$NS$31),IF($NP$31="Single_Point",IF(55=$NR$31,$NN$31,0),IF($NP$31="Bell_Curve",$NN$31*(55-$NR$31+1)*($NS$31-55+1)/$NU$31,$NN$31/$NT$31)),0)</f>
        <v/>
      </c>
      <c r="BH31" s="228">
        <f>IF(AND(56&gt;=$NR$31,56&lt;=$NS$31),IF($NP$31="Single_Point",IF(56=$NR$31,$NN$31,0),IF($NP$31="Bell_Curve",$NN$31*(56-$NR$31+1)*($NS$31-56+1)/$NU$31,$NN$31/$NT$31)),0)</f>
        <v/>
      </c>
      <c r="BI31" s="228">
        <f>IF(AND(57&gt;=$NR$31,57&lt;=$NS$31),IF($NP$31="Single_Point",IF(57=$NR$31,$NN$31,0),IF($NP$31="Bell_Curve",$NN$31*(57-$NR$31+1)*($NS$31-57+1)/$NU$31,$NN$31/$NT$31)),0)</f>
        <v/>
      </c>
      <c r="BJ31" s="228">
        <f>IF(AND(58&gt;=$NR$31,58&lt;=$NS$31),IF($NP$31="Single_Point",IF(58=$NR$31,$NN$31,0),IF($NP$31="Bell_Curve",$NN$31*(58-$NR$31+1)*($NS$31-58+1)/$NU$31,$NN$31/$NT$31)),0)</f>
        <v/>
      </c>
      <c r="BK31" s="228">
        <f>IF(AND(59&gt;=$NR$31,59&lt;=$NS$31),IF($NP$31="Single_Point",IF(59=$NR$31,$NN$31,0),IF($NP$31="Bell_Curve",$NN$31*(59-$NR$31+1)*($NS$31-59+1)/$NU$31,$NN$31/$NT$31)),0)</f>
        <v/>
      </c>
      <c r="BL31" s="228">
        <f>IF(AND(60&gt;=$NR$31,60&lt;=$NS$31),IF($NP$31="Single_Point",IF(60=$NR$31,$NN$31,0),IF($NP$31="Bell_Curve",$NN$31*(60-$NR$31+1)*($NS$31-60+1)/$NU$31,$NN$31/$NT$31)),0)</f>
        <v/>
      </c>
      <c r="BM31" s="228">
        <f>IF(AND(61&gt;=$NR$31,61&lt;=$NS$31),IF($NP$31="Single_Point",IF(61=$NR$31,$NN$31,0),IF($NP$31="Bell_Curve",$NN$31*(61-$NR$31+1)*($NS$31-61+1)/$NU$31,$NN$31/$NT$31)),0)</f>
        <v/>
      </c>
      <c r="BN31" s="228">
        <f>IF(AND(62&gt;=$NR$31,62&lt;=$NS$31),IF($NP$31="Single_Point",IF(62=$NR$31,$NN$31,0),IF($NP$31="Bell_Curve",$NN$31*(62-$NR$31+1)*($NS$31-62+1)/$NU$31,$NN$31/$NT$31)),0)</f>
        <v/>
      </c>
      <c r="BO31" s="228">
        <f>IF(AND(63&gt;=$NR$31,63&lt;=$NS$31),IF($NP$31="Single_Point",IF(63=$NR$31,$NN$31,0),IF($NP$31="Bell_Curve",$NN$31*(63-$NR$31+1)*($NS$31-63+1)/$NU$31,$NN$31/$NT$31)),0)</f>
        <v/>
      </c>
      <c r="BP31" s="228">
        <f>IF(AND(64&gt;=$NR$31,64&lt;=$NS$31),IF($NP$31="Single_Point",IF(64=$NR$31,$NN$31,0),IF($NP$31="Bell_Curve",$NN$31*(64-$NR$31+1)*($NS$31-64+1)/$NU$31,$NN$31/$NT$31)),0)</f>
        <v/>
      </c>
      <c r="BQ31" s="228">
        <f>IF(AND(65&gt;=$NR$31,65&lt;=$NS$31),IF($NP$31="Single_Point",IF(65=$NR$31,$NN$31,0),IF($NP$31="Bell_Curve",$NN$31*(65-$NR$31+1)*($NS$31-65+1)/$NU$31,$NN$31/$NT$31)),0)</f>
        <v/>
      </c>
      <c r="BR31" s="228">
        <f>IF(AND(66&gt;=$NR$31,66&lt;=$NS$31),IF($NP$31="Single_Point",IF(66=$NR$31,$NN$31,0),IF($NP$31="Bell_Curve",$NN$31*(66-$NR$31+1)*($NS$31-66+1)/$NU$31,$NN$31/$NT$31)),0)</f>
        <v/>
      </c>
      <c r="BS31" s="228">
        <f>IF(AND(67&gt;=$NR$31,67&lt;=$NS$31),IF($NP$31="Single_Point",IF(67=$NR$31,$NN$31,0),IF($NP$31="Bell_Curve",$NN$31*(67-$NR$31+1)*($NS$31-67+1)/$NU$31,$NN$31/$NT$31)),0)</f>
        <v/>
      </c>
      <c r="BT31" s="228">
        <f>IF(AND(68&gt;=$NR$31,68&lt;=$NS$31),IF($NP$31="Single_Point",IF(68=$NR$31,$NN$31,0),IF($NP$31="Bell_Curve",$NN$31*(68-$NR$31+1)*($NS$31-68+1)/$NU$31,$NN$31/$NT$31)),0)</f>
        <v/>
      </c>
      <c r="BU31" s="228">
        <f>IF(AND(69&gt;=$NR$31,69&lt;=$NS$31),IF($NP$31="Single_Point",IF(69=$NR$31,$NN$31,0),IF($NP$31="Bell_Curve",$NN$31*(69-$NR$31+1)*($NS$31-69+1)/$NU$31,$NN$31/$NT$31)),0)</f>
        <v/>
      </c>
      <c r="BV31" s="228">
        <f>IF(AND(70&gt;=$NR$31,70&lt;=$NS$31),IF($NP$31="Single_Point",IF(70=$NR$31,$NN$31,0),IF($NP$31="Bell_Curve",$NN$31*(70-$NR$31+1)*($NS$31-70+1)/$NU$31,$NN$31/$NT$31)),0)</f>
        <v/>
      </c>
      <c r="BW31" s="228">
        <f>IF(AND(71&gt;=$NR$31,71&lt;=$NS$31),IF($NP$31="Single_Point",IF(71=$NR$31,$NN$31,0),IF($NP$31="Bell_Curve",$NN$31*(71-$NR$31+1)*($NS$31-71+1)/$NU$31,$NN$31/$NT$31)),0)</f>
        <v/>
      </c>
      <c r="BX31" s="228">
        <f>IF(AND(72&gt;=$NR$31,72&lt;=$NS$31),IF($NP$31="Single_Point",IF(72=$NR$31,$NN$31,0),IF($NP$31="Bell_Curve",$NN$31*(72-$NR$31+1)*($NS$31-72+1)/$NU$31,$NN$31/$NT$31)),0)</f>
        <v/>
      </c>
      <c r="BY31" s="228">
        <f>IF(AND(73&gt;=$NR$31,73&lt;=$NS$31),IF($NP$31="Single_Point",IF(73=$NR$31,$NN$31,0),IF($NP$31="Bell_Curve",$NN$31*(73-$NR$31+1)*($NS$31-73+1)/$NU$31,$NN$31/$NT$31)),0)</f>
        <v/>
      </c>
      <c r="BZ31" s="228">
        <f>IF(AND(74&gt;=$NR$31,74&lt;=$NS$31),IF($NP$31="Single_Point",IF(74=$NR$31,$NN$31,0),IF($NP$31="Bell_Curve",$NN$31*(74-$NR$31+1)*($NS$31-74+1)/$NU$31,$NN$31/$NT$31)),0)</f>
        <v/>
      </c>
      <c r="CA31" s="228">
        <f>IF(AND(75&gt;=$NR$31,75&lt;=$NS$31),IF($NP$31="Single_Point",IF(75=$NR$31,$NN$31,0),IF($NP$31="Bell_Curve",$NN$31*(75-$NR$31+1)*($NS$31-75+1)/$NU$31,$NN$31/$NT$31)),0)</f>
        <v/>
      </c>
      <c r="CB31" s="228">
        <f>IF(AND(76&gt;=$NR$31,76&lt;=$NS$31),IF($NP$31="Single_Point",IF(76=$NR$31,$NN$31,0),IF($NP$31="Bell_Curve",$NN$31*(76-$NR$31+1)*($NS$31-76+1)/$NU$31,$NN$31/$NT$31)),0)</f>
        <v/>
      </c>
      <c r="CC31" s="228">
        <f>IF(AND(77&gt;=$NR$31,77&lt;=$NS$31),IF($NP$31="Single_Point",IF(77=$NR$31,$NN$31,0),IF($NP$31="Bell_Curve",$NN$31*(77-$NR$31+1)*($NS$31-77+1)/$NU$31,$NN$31/$NT$31)),0)</f>
        <v/>
      </c>
      <c r="CD31" s="228">
        <f>IF(AND(78&gt;=$NR$31,78&lt;=$NS$31),IF($NP$31="Single_Point",IF(78=$NR$31,$NN$31,0),IF($NP$31="Bell_Curve",$NN$31*(78-$NR$31+1)*($NS$31-78+1)/$NU$31,$NN$31/$NT$31)),0)</f>
        <v/>
      </c>
      <c r="CE31" s="228">
        <f>IF(AND(79&gt;=$NR$31,79&lt;=$NS$31),IF($NP$31="Single_Point",IF(79=$NR$31,$NN$31,0),IF($NP$31="Bell_Curve",$NN$31*(79-$NR$31+1)*($NS$31-79+1)/$NU$31,$NN$31/$NT$31)),0)</f>
        <v/>
      </c>
      <c r="CF31" s="228">
        <f>IF(AND(80&gt;=$NR$31,80&lt;=$NS$31),IF($NP$31="Single_Point",IF(80=$NR$31,$NN$31,0),IF($NP$31="Bell_Curve",$NN$31*(80-$NR$31+1)*($NS$31-80+1)/$NU$31,$NN$31/$NT$31)),0)</f>
        <v/>
      </c>
      <c r="CG31" s="228">
        <f>IF(AND(81&gt;=$NR$31,81&lt;=$NS$31),IF($NP$31="Single_Point",IF(81=$NR$31,$NN$31,0),IF($NP$31="Bell_Curve",$NN$31*(81-$NR$31+1)*($NS$31-81+1)/$NU$31,$NN$31/$NT$31)),0)</f>
        <v/>
      </c>
      <c r="CH31" s="228">
        <f>IF(AND(82&gt;=$NR$31,82&lt;=$NS$31),IF($NP$31="Single_Point",IF(82=$NR$31,$NN$31,0),IF($NP$31="Bell_Curve",$NN$31*(82-$NR$31+1)*($NS$31-82+1)/$NU$31,$NN$31/$NT$31)),0)</f>
        <v/>
      </c>
      <c r="CI31" s="228">
        <f>IF(AND(83&gt;=$NR$31,83&lt;=$NS$31),IF($NP$31="Single_Point",IF(83=$NR$31,$NN$31,0),IF($NP$31="Bell_Curve",$NN$31*(83-$NR$31+1)*($NS$31-83+1)/$NU$31,$NN$31/$NT$31)),0)</f>
        <v/>
      </c>
      <c r="CJ31" s="228">
        <f>IF(AND(84&gt;=$NR$31,84&lt;=$NS$31),IF($NP$31="Single_Point",IF(84=$NR$31,$NN$31,0),IF($NP$31="Bell_Curve",$NN$31*(84-$NR$31+1)*($NS$31-84+1)/$NU$31,$NN$31/$NT$31)),0)</f>
        <v/>
      </c>
      <c r="CK31" s="228">
        <f>IF(AND(85&gt;=$NR$31,85&lt;=$NS$31),IF($NP$31="Single_Point",IF(85=$NR$31,$NN$31,0),IF($NP$31="Bell_Curve",$NN$31*(85-$NR$31+1)*($NS$31-85+1)/$NU$31,$NN$31/$NT$31)),0)</f>
        <v/>
      </c>
      <c r="CL31" s="228">
        <f>IF(AND(86&gt;=$NR$31,86&lt;=$NS$31),IF($NP$31="Single_Point",IF(86=$NR$31,$NN$31,0),IF($NP$31="Bell_Curve",$NN$31*(86-$NR$31+1)*($NS$31-86+1)/$NU$31,$NN$31/$NT$31)),0)</f>
        <v/>
      </c>
      <c r="CM31" s="228">
        <f>IF(AND(87&gt;=$NR$31,87&lt;=$NS$31),IF($NP$31="Single_Point",IF(87=$NR$31,$NN$31,0),IF($NP$31="Bell_Curve",$NN$31*(87-$NR$31+1)*($NS$31-87+1)/$NU$31,$NN$31/$NT$31)),0)</f>
        <v/>
      </c>
      <c r="CN31" s="228">
        <f>IF(AND(88&gt;=$NR$31,88&lt;=$NS$31),IF($NP$31="Single_Point",IF(88=$NR$31,$NN$31,0),IF($NP$31="Bell_Curve",$NN$31*(88-$NR$31+1)*($NS$31-88+1)/$NU$31,$NN$31/$NT$31)),0)</f>
        <v/>
      </c>
      <c r="CO31" s="228">
        <f>IF(AND(89&gt;=$NR$31,89&lt;=$NS$31),IF($NP$31="Single_Point",IF(89=$NR$31,$NN$31,0),IF($NP$31="Bell_Curve",$NN$31*(89-$NR$31+1)*($NS$31-89+1)/$NU$31,$NN$31/$NT$31)),0)</f>
        <v/>
      </c>
      <c r="CP31" s="228">
        <f>IF(AND(90&gt;=$NR$31,90&lt;=$NS$31),IF($NP$31="Single_Point",IF(90=$NR$31,$NN$31,0),IF($NP$31="Bell_Curve",$NN$31*(90-$NR$31+1)*($NS$31-90+1)/$NU$31,$NN$31/$NT$31)),0)</f>
        <v/>
      </c>
      <c r="CQ31" s="228">
        <f>IF(AND(91&gt;=$NR$31,91&lt;=$NS$31),IF($NP$31="Single_Point",IF(91=$NR$31,$NN$31,0),IF($NP$31="Bell_Curve",$NN$31*(91-$NR$31+1)*($NS$31-91+1)/$NU$31,$NN$31/$NT$31)),0)</f>
        <v/>
      </c>
      <c r="CR31" s="228">
        <f>IF(AND(92&gt;=$NR$31,92&lt;=$NS$31),IF($NP$31="Single_Point",IF(92=$NR$31,$NN$31,0),IF($NP$31="Bell_Curve",$NN$31*(92-$NR$31+1)*($NS$31-92+1)/$NU$31,$NN$31/$NT$31)),0)</f>
        <v/>
      </c>
      <c r="CS31" s="228">
        <f>IF(AND(93&gt;=$NR$31,93&lt;=$NS$31),IF($NP$31="Single_Point",IF(93=$NR$31,$NN$31,0),IF($NP$31="Bell_Curve",$NN$31*(93-$NR$31+1)*($NS$31-93+1)/$NU$31,$NN$31/$NT$31)),0)</f>
        <v/>
      </c>
      <c r="CT31" s="228">
        <f>IF(AND(94&gt;=$NR$31,94&lt;=$NS$31),IF($NP$31="Single_Point",IF(94=$NR$31,$NN$31,0),IF($NP$31="Bell_Curve",$NN$31*(94-$NR$31+1)*($NS$31-94+1)/$NU$31,$NN$31/$NT$31)),0)</f>
        <v/>
      </c>
      <c r="CU31" s="228">
        <f>IF(AND(95&gt;=$NR$31,95&lt;=$NS$31),IF($NP$31="Single_Point",IF(95=$NR$31,$NN$31,0),IF($NP$31="Bell_Curve",$NN$31*(95-$NR$31+1)*($NS$31-95+1)/$NU$31,$NN$31/$NT$31)),0)</f>
        <v/>
      </c>
      <c r="CV31" s="228">
        <f>IF(AND(96&gt;=$NR$31,96&lt;=$NS$31),IF($NP$31="Single_Point",IF(96=$NR$31,$NN$31,0),IF($NP$31="Bell_Curve",$NN$31*(96-$NR$31+1)*($NS$31-96+1)/$NU$31,$NN$31/$NT$31)),0)</f>
        <v/>
      </c>
      <c r="CW31" s="228">
        <f>IF(AND(97&gt;=$NR$31,97&lt;=$NS$31),IF($NP$31="Single_Point",IF(97=$NR$31,$NN$31,0),IF($NP$31="Bell_Curve",$NN$31*(97-$NR$31+1)*($NS$31-97+1)/$NU$31,$NN$31/$NT$31)),0)</f>
        <v/>
      </c>
      <c r="CX31" s="228">
        <f>IF(AND(98&gt;=$NR$31,98&lt;=$NS$31),IF($NP$31="Single_Point",IF(98=$NR$31,$NN$31,0),IF($NP$31="Bell_Curve",$NN$31*(98-$NR$31+1)*($NS$31-98+1)/$NU$31,$NN$31/$NT$31)),0)</f>
        <v/>
      </c>
      <c r="CY31" s="228">
        <f>IF(AND(99&gt;=$NR$31,99&lt;=$NS$31),IF($NP$31="Single_Point",IF(99=$NR$31,$NN$31,0),IF($NP$31="Bell_Curve",$NN$31*(99-$NR$31+1)*($NS$31-99+1)/$NU$31,$NN$31/$NT$31)),0)</f>
        <v/>
      </c>
      <c r="CZ31" s="228">
        <f>IF(AND(100&gt;=$NR$31,100&lt;=$NS$31),IF($NP$31="Single_Point",IF(100=$NR$31,$NN$31,0),IF($NP$31="Bell_Curve",$NN$31*(100-$NR$31+1)*($NS$31-100+1)/$NU$31,$NN$31/$NT$31)),0)</f>
        <v/>
      </c>
      <c r="DA31" s="228">
        <f>IF(AND(101&gt;=$NR$31,101&lt;=$NS$31),IF($NP$31="Single_Point",IF(101=$NR$31,$NN$31,0),IF($NP$31="Bell_Curve",$NN$31*(101-$NR$31+1)*($NS$31-101+1)/$NU$31,$NN$31/$NT$31)),0)</f>
        <v/>
      </c>
      <c r="DB31" s="228">
        <f>IF(AND(102&gt;=$NR$31,102&lt;=$NS$31),IF($NP$31="Single_Point",IF(102=$NR$31,$NN$31,0),IF($NP$31="Bell_Curve",$NN$31*(102-$NR$31+1)*($NS$31-102+1)/$NU$31,$NN$31/$NT$31)),0)</f>
        <v/>
      </c>
      <c r="DC31" s="228">
        <f>IF(AND(103&gt;=$NR$31,103&lt;=$NS$31),IF($NP$31="Single_Point",IF(103=$NR$31,$NN$31,0),IF($NP$31="Bell_Curve",$NN$31*(103-$NR$31+1)*($NS$31-103+1)/$NU$31,$NN$31/$NT$31)),0)</f>
        <v/>
      </c>
      <c r="DD31" s="228">
        <f>IF(AND(104&gt;=$NR$31,104&lt;=$NS$31),IF($NP$31="Single_Point",IF(104=$NR$31,$NN$31,0),IF($NP$31="Bell_Curve",$NN$31*(104-$NR$31+1)*($NS$31-104+1)/$NU$31,$NN$31/$NT$31)),0)</f>
        <v/>
      </c>
      <c r="DE31" s="228">
        <f>IF(AND(105&gt;=$NR$31,105&lt;=$NS$31),IF($NP$31="Single_Point",IF(105=$NR$31,$NN$31,0),IF($NP$31="Bell_Curve",$NN$31*(105-$NR$31+1)*($NS$31-105+1)/$NU$31,$NN$31/$NT$31)),0)</f>
        <v/>
      </c>
      <c r="DF31" s="228">
        <f>IF(AND(106&gt;=$NR$31,106&lt;=$NS$31),IF($NP$31="Single_Point",IF(106=$NR$31,$NN$31,0),IF($NP$31="Bell_Curve",$NN$31*(106-$NR$31+1)*($NS$31-106+1)/$NU$31,$NN$31/$NT$31)),0)</f>
        <v/>
      </c>
      <c r="DG31" s="228">
        <f>IF(AND(107&gt;=$NR$31,107&lt;=$NS$31),IF($NP$31="Single_Point",IF(107=$NR$31,$NN$31,0),IF($NP$31="Bell_Curve",$NN$31*(107-$NR$31+1)*($NS$31-107+1)/$NU$31,$NN$31/$NT$31)),0)</f>
        <v/>
      </c>
      <c r="DH31" s="228">
        <f>IF(AND(108&gt;=$NR$31,108&lt;=$NS$31),IF($NP$31="Single_Point",IF(108=$NR$31,$NN$31,0),IF($NP$31="Bell_Curve",$NN$31*(108-$NR$31+1)*($NS$31-108+1)/$NU$31,$NN$31/$NT$31)),0)</f>
        <v/>
      </c>
      <c r="DI31" s="228">
        <f>IF(AND(109&gt;=$NR$31,109&lt;=$NS$31),IF($NP$31="Single_Point",IF(109=$NR$31,$NN$31,0),IF($NP$31="Bell_Curve",$NN$31*(109-$NR$31+1)*($NS$31-109+1)/$NU$31,$NN$31/$NT$31)),0)</f>
        <v/>
      </c>
      <c r="DJ31" s="228">
        <f>IF(AND(110&gt;=$NR$31,110&lt;=$NS$31),IF($NP$31="Single_Point",IF(110=$NR$31,$NN$31,0),IF($NP$31="Bell_Curve",$NN$31*(110-$NR$31+1)*($NS$31-110+1)/$NU$31,$NN$31/$NT$31)),0)</f>
        <v/>
      </c>
      <c r="DK31" s="228">
        <f>IF(AND(111&gt;=$NR$31,111&lt;=$NS$31),IF($NP$31="Single_Point",IF(111=$NR$31,$NN$31,0),IF($NP$31="Bell_Curve",$NN$31*(111-$NR$31+1)*($NS$31-111+1)/$NU$31,$NN$31/$NT$31)),0)</f>
        <v/>
      </c>
      <c r="DL31" s="228">
        <f>IF(AND(112&gt;=$NR$31,112&lt;=$NS$31),IF($NP$31="Single_Point",IF(112=$NR$31,$NN$31,0),IF($NP$31="Bell_Curve",$NN$31*(112-$NR$31+1)*($NS$31-112+1)/$NU$31,$NN$31/$NT$31)),0)</f>
        <v/>
      </c>
      <c r="DM31" s="228">
        <f>IF(AND(113&gt;=$NR$31,113&lt;=$NS$31),IF($NP$31="Single_Point",IF(113=$NR$31,$NN$31,0),IF($NP$31="Bell_Curve",$NN$31*(113-$NR$31+1)*($NS$31-113+1)/$NU$31,$NN$31/$NT$31)),0)</f>
        <v/>
      </c>
      <c r="DN31" s="228">
        <f>IF(AND(114&gt;=$NR$31,114&lt;=$NS$31),IF($NP$31="Single_Point",IF(114=$NR$31,$NN$31,0),IF($NP$31="Bell_Curve",$NN$31*(114-$NR$31+1)*($NS$31-114+1)/$NU$31,$NN$31/$NT$31)),0)</f>
        <v/>
      </c>
      <c r="DO31" s="228">
        <f>IF(AND(115&gt;=$NR$31,115&lt;=$NS$31),IF($NP$31="Single_Point",IF(115=$NR$31,$NN$31,0),IF($NP$31="Bell_Curve",$NN$31*(115-$NR$31+1)*($NS$31-115+1)/$NU$31,$NN$31/$NT$31)),0)</f>
        <v/>
      </c>
      <c r="DP31" s="228">
        <f>IF(AND(116&gt;=$NR$31,116&lt;=$NS$31),IF($NP$31="Single_Point",IF(116=$NR$31,$NN$31,0),IF($NP$31="Bell_Curve",$NN$31*(116-$NR$31+1)*($NS$31-116+1)/$NU$31,$NN$31/$NT$31)),0)</f>
        <v/>
      </c>
      <c r="DQ31" s="228">
        <f>IF(AND(117&gt;=$NR$31,117&lt;=$NS$31),IF($NP$31="Single_Point",IF(117=$NR$31,$NN$31,0),IF($NP$31="Bell_Curve",$NN$31*(117-$NR$31+1)*($NS$31-117+1)/$NU$31,$NN$31/$NT$31)),0)</f>
        <v/>
      </c>
      <c r="DR31" s="228">
        <f>IF(AND(118&gt;=$NR$31,118&lt;=$NS$31),IF($NP$31="Single_Point",IF(118=$NR$31,$NN$31,0),IF($NP$31="Bell_Curve",$NN$31*(118-$NR$31+1)*($NS$31-118+1)/$NU$31,$NN$31/$NT$31)),0)</f>
        <v/>
      </c>
      <c r="DS31" s="228">
        <f>IF(AND(119&gt;=$NR$31,119&lt;=$NS$31),IF($NP$31="Single_Point",IF(119=$NR$31,$NN$31,0),IF($NP$31="Bell_Curve",$NN$31*(119-$NR$31+1)*($NS$31-119+1)/$NU$31,$NN$31/$NT$31)),0)</f>
        <v/>
      </c>
      <c r="DT31" s="228">
        <f>IF(AND(120&gt;=$NR$31,120&lt;=$NS$31),IF($NP$31="Single_Point",IF(120=$NR$31,$NN$31,0),IF($NP$31="Bell_Curve",$NN$31*(120-$NR$31+1)*($NS$31-120+1)/$NU$31,$NN$31/$NT$31)),0)</f>
        <v/>
      </c>
      <c r="DU31" s="228">
        <f>IF(AND(121&gt;=$NR$31,121&lt;=$NS$31),IF($NP$31="Single_Point",IF(121=$NR$31,$NN$31,0),IF($NP$31="Bell_Curve",$NN$31*(121-$NR$31+1)*($NS$31-121+1)/$NU$31,$NN$31/$NT$31)),0)</f>
        <v/>
      </c>
      <c r="DV31" s="228">
        <f>IF(AND(122&gt;=$NR$31,122&lt;=$NS$31),IF($NP$31="Single_Point",IF(122=$NR$31,$NN$31,0),IF($NP$31="Bell_Curve",$NN$31*(122-$NR$31+1)*($NS$31-122+1)/$NU$31,$NN$31/$NT$31)),0)</f>
        <v/>
      </c>
      <c r="DW31" s="228">
        <f>IF(AND(123&gt;=$NR$31,123&lt;=$NS$31),IF($NP$31="Single_Point",IF(123=$NR$31,$NN$31,0),IF($NP$31="Bell_Curve",$NN$31*(123-$NR$31+1)*($NS$31-123+1)/$NU$31,$NN$31/$NT$31)),0)</f>
        <v/>
      </c>
      <c r="DX31" s="228">
        <f>IF(AND(124&gt;=$NR$31,124&lt;=$NS$31),IF($NP$31="Single_Point",IF(124=$NR$31,$NN$31,0),IF($NP$31="Bell_Curve",$NN$31*(124-$NR$31+1)*($NS$31-124+1)/$NU$31,$NN$31/$NT$31)),0)</f>
        <v/>
      </c>
      <c r="DY31" s="228">
        <f>IF(AND(125&gt;=$NR$31,125&lt;=$NS$31),IF($NP$31="Single_Point",IF(125=$NR$31,$NN$31,0),IF($NP$31="Bell_Curve",$NN$31*(125-$NR$31+1)*($NS$31-125+1)/$NU$31,$NN$31/$NT$31)),0)</f>
        <v/>
      </c>
      <c r="DZ31" s="228">
        <f>IF(AND(126&gt;=$NR$31,126&lt;=$NS$31),IF($NP$31="Single_Point",IF(126=$NR$31,$NN$31,0),IF($NP$31="Bell_Curve",$NN$31*(126-$NR$31+1)*($NS$31-126+1)/$NU$31,$NN$31/$NT$31)),0)</f>
        <v/>
      </c>
      <c r="EA31" s="228">
        <f>IF(AND(127&gt;=$NR$31,127&lt;=$NS$31),IF($NP$31="Single_Point",IF(127=$NR$31,$NN$31,0),IF($NP$31="Bell_Curve",$NN$31*(127-$NR$31+1)*($NS$31-127+1)/$NU$31,$NN$31/$NT$31)),0)</f>
        <v/>
      </c>
      <c r="EB31" s="228">
        <f>IF(AND(128&gt;=$NR$31,128&lt;=$NS$31),IF($NP$31="Single_Point",IF(128=$NR$31,$NN$31,0),IF($NP$31="Bell_Curve",$NN$31*(128-$NR$31+1)*($NS$31-128+1)/$NU$31,$NN$31/$NT$31)),0)</f>
        <v/>
      </c>
      <c r="EC31" s="228">
        <f>IF(AND(129&gt;=$NR$31,129&lt;=$NS$31),IF($NP$31="Single_Point",IF(129=$NR$31,$NN$31,0),IF($NP$31="Bell_Curve",$NN$31*(129-$NR$31+1)*($NS$31-129+1)/$NU$31,$NN$31/$NT$31)),0)</f>
        <v/>
      </c>
      <c r="ED31" s="228">
        <f>IF(AND(130&gt;=$NR$31,130&lt;=$NS$31),IF($NP$31="Single_Point",IF(130=$NR$31,$NN$31,0),IF($NP$31="Bell_Curve",$NN$31*(130-$NR$31+1)*($NS$31-130+1)/$NU$31,$NN$31/$NT$31)),0)</f>
        <v/>
      </c>
      <c r="EE31" s="228">
        <f>IF(AND(131&gt;=$NR$31,131&lt;=$NS$31),IF($NP$31="Single_Point",IF(131=$NR$31,$NN$31,0),IF($NP$31="Bell_Curve",$NN$31*(131-$NR$31+1)*($NS$31-131+1)/$NU$31,$NN$31/$NT$31)),0)</f>
        <v/>
      </c>
      <c r="EF31" s="228">
        <f>IF(AND(132&gt;=$NR$31,132&lt;=$NS$31),IF($NP$31="Single_Point",IF(132=$NR$31,$NN$31,0),IF($NP$31="Bell_Curve",$NN$31*(132-$NR$31+1)*($NS$31-132+1)/$NU$31,$NN$31/$NT$31)),0)</f>
        <v/>
      </c>
      <c r="EG31" s="228">
        <f>IF(AND(133&gt;=$NR$31,133&lt;=$NS$31),IF($NP$31="Single_Point",IF(133=$NR$31,$NN$31,0),IF($NP$31="Bell_Curve",$NN$31*(133-$NR$31+1)*($NS$31-133+1)/$NU$31,$NN$31/$NT$31)),0)</f>
        <v/>
      </c>
      <c r="EH31" s="228">
        <f>IF(AND(134&gt;=$NR$31,134&lt;=$NS$31),IF($NP$31="Single_Point",IF(134=$NR$31,$NN$31,0),IF($NP$31="Bell_Curve",$NN$31*(134-$NR$31+1)*($NS$31-134+1)/$NU$31,$NN$31/$NT$31)),0)</f>
        <v/>
      </c>
      <c r="EI31" s="228">
        <f>IF(AND(135&gt;=$NR$31,135&lt;=$NS$31),IF($NP$31="Single_Point",IF(135=$NR$31,$NN$31,0),IF($NP$31="Bell_Curve",$NN$31*(135-$NR$31+1)*($NS$31-135+1)/$NU$31,$NN$31/$NT$31)),0)</f>
        <v/>
      </c>
      <c r="EJ31" s="228">
        <f>IF(AND(136&gt;=$NR$31,136&lt;=$NS$31),IF($NP$31="Single_Point",IF(136=$NR$31,$NN$31,0),IF($NP$31="Bell_Curve",$NN$31*(136-$NR$31+1)*($NS$31-136+1)/$NU$31,$NN$31/$NT$31)),0)</f>
        <v/>
      </c>
      <c r="EK31" s="228">
        <f>IF(AND(137&gt;=$NR$31,137&lt;=$NS$31),IF($NP$31="Single_Point",IF(137=$NR$31,$NN$31,0),IF($NP$31="Bell_Curve",$NN$31*(137-$NR$31+1)*($NS$31-137+1)/$NU$31,$NN$31/$NT$31)),0)</f>
        <v/>
      </c>
      <c r="EL31" s="228">
        <f>IF(AND(138&gt;=$NR$31,138&lt;=$NS$31),IF($NP$31="Single_Point",IF(138=$NR$31,$NN$31,0),IF($NP$31="Bell_Curve",$NN$31*(138-$NR$31+1)*($NS$31-138+1)/$NU$31,$NN$31/$NT$31)),0)</f>
        <v/>
      </c>
      <c r="EM31" s="228">
        <f>IF(AND(139&gt;=$NR$31,139&lt;=$NS$31),IF($NP$31="Single_Point",IF(139=$NR$31,$NN$31,0),IF($NP$31="Bell_Curve",$NN$31*(139-$NR$31+1)*($NS$31-139+1)/$NU$31,$NN$31/$NT$31)),0)</f>
        <v/>
      </c>
      <c r="EN31" s="228">
        <f>IF(AND(140&gt;=$NR$31,140&lt;=$NS$31),IF($NP$31="Single_Point",IF(140=$NR$31,$NN$31,0),IF($NP$31="Bell_Curve",$NN$31*(140-$NR$31+1)*($NS$31-140+1)/$NU$31,$NN$31/$NT$31)),0)</f>
        <v/>
      </c>
      <c r="EO31" s="228">
        <f>IF(AND(141&gt;=$NR$31,141&lt;=$NS$31),IF($NP$31="Single_Point",IF(141=$NR$31,$NN$31,0),IF($NP$31="Bell_Curve",$NN$31*(141-$NR$31+1)*($NS$31-141+1)/$NU$31,$NN$31/$NT$31)),0)</f>
        <v/>
      </c>
      <c r="EP31" s="228">
        <f>IF(AND(142&gt;=$NR$31,142&lt;=$NS$31),IF($NP$31="Single_Point",IF(142=$NR$31,$NN$31,0),IF($NP$31="Bell_Curve",$NN$31*(142-$NR$31+1)*($NS$31-142+1)/$NU$31,$NN$31/$NT$31)),0)</f>
        <v/>
      </c>
      <c r="EQ31" s="228">
        <f>IF(AND(143&gt;=$NR$31,143&lt;=$NS$31),IF($NP$31="Single_Point",IF(143=$NR$31,$NN$31,0),IF($NP$31="Bell_Curve",$NN$31*(143-$NR$31+1)*($NS$31-143+1)/$NU$31,$NN$31/$NT$31)),0)</f>
        <v/>
      </c>
      <c r="ER31" s="228">
        <f>IF(AND(144&gt;=$NR$31,144&lt;=$NS$31),IF($NP$31="Single_Point",IF(144=$NR$31,$NN$31,0),IF($NP$31="Bell_Curve",$NN$31*(144-$NR$31+1)*($NS$31-144+1)/$NU$31,$NN$31/$NT$31)),0)</f>
        <v/>
      </c>
      <c r="ES31" s="228">
        <f>IF(AND(145&gt;=$NR$31,145&lt;=$NS$31),IF($NP$31="Single_Point",IF(145=$NR$31,$NN$31,0),IF($NP$31="Bell_Curve",$NN$31*(145-$NR$31+1)*($NS$31-145+1)/$NU$31,$NN$31/$NT$31)),0)</f>
        <v/>
      </c>
      <c r="ET31" s="228">
        <f>IF(AND(146&gt;=$NR$31,146&lt;=$NS$31),IF($NP$31="Single_Point",IF(146=$NR$31,$NN$31,0),IF($NP$31="Bell_Curve",$NN$31*(146-$NR$31+1)*($NS$31-146+1)/$NU$31,$NN$31/$NT$31)),0)</f>
        <v/>
      </c>
      <c r="EU31" s="228">
        <f>IF(AND(147&gt;=$NR$31,147&lt;=$NS$31),IF($NP$31="Single_Point",IF(147=$NR$31,$NN$31,0),IF($NP$31="Bell_Curve",$NN$31*(147-$NR$31+1)*($NS$31-147+1)/$NU$31,$NN$31/$NT$31)),0)</f>
        <v/>
      </c>
      <c r="EV31" s="228">
        <f>IF(AND(148&gt;=$NR$31,148&lt;=$NS$31),IF($NP$31="Single_Point",IF(148=$NR$31,$NN$31,0),IF($NP$31="Bell_Curve",$NN$31*(148-$NR$31+1)*($NS$31-148+1)/$NU$31,$NN$31/$NT$31)),0)</f>
        <v/>
      </c>
      <c r="EW31" s="228">
        <f>IF(AND(149&gt;=$NR$31,149&lt;=$NS$31),IF($NP$31="Single_Point",IF(149=$NR$31,$NN$31,0),IF($NP$31="Bell_Curve",$NN$31*(149-$NR$31+1)*($NS$31-149+1)/$NU$31,$NN$31/$NT$31)),0)</f>
        <v/>
      </c>
      <c r="EX31" s="228">
        <f>IF(AND(150&gt;=$NR$31,150&lt;=$NS$31),IF($NP$31="Single_Point",IF(150=$NR$31,$NN$31,0),IF($NP$31="Bell_Curve",$NN$31*(150-$NR$31+1)*($NS$31-150+1)/$NU$31,$NN$31/$NT$31)),0)</f>
        <v/>
      </c>
      <c r="EY31" s="228">
        <f>IF(AND(151&gt;=$NR$31,151&lt;=$NS$31),IF($NP$31="Single_Point",IF(151=$NR$31,$NN$31,0),IF($NP$31="Bell_Curve",$NN$31*(151-$NR$31+1)*($NS$31-151+1)/$NU$31,$NN$31/$NT$31)),0)</f>
        <v/>
      </c>
      <c r="EZ31" s="228">
        <f>IF(AND(152&gt;=$NR$31,152&lt;=$NS$31),IF($NP$31="Single_Point",IF(152=$NR$31,$NN$31,0),IF($NP$31="Bell_Curve",$NN$31*(152-$NR$31+1)*($NS$31-152+1)/$NU$31,$NN$31/$NT$31)),0)</f>
        <v/>
      </c>
      <c r="FA31" s="228">
        <f>IF(AND(153&gt;=$NR$31,153&lt;=$NS$31),IF($NP$31="Single_Point",IF(153=$NR$31,$NN$31,0),IF($NP$31="Bell_Curve",$NN$31*(153-$NR$31+1)*($NS$31-153+1)/$NU$31,$NN$31/$NT$31)),0)</f>
        <v/>
      </c>
      <c r="FB31" s="228">
        <f>IF(AND(154&gt;=$NR$31,154&lt;=$NS$31),IF($NP$31="Single_Point",IF(154=$NR$31,$NN$31,0),IF($NP$31="Bell_Curve",$NN$31*(154-$NR$31+1)*($NS$31-154+1)/$NU$31,$NN$31/$NT$31)),0)</f>
        <v/>
      </c>
      <c r="FC31" s="228">
        <f>IF(AND(155&gt;=$NR$31,155&lt;=$NS$31),IF($NP$31="Single_Point",IF(155=$NR$31,$NN$31,0),IF($NP$31="Bell_Curve",$NN$31*(155-$NR$31+1)*($NS$31-155+1)/$NU$31,$NN$31/$NT$31)),0)</f>
        <v/>
      </c>
      <c r="FD31" s="228">
        <f>IF(AND(156&gt;=$NR$31,156&lt;=$NS$31),IF($NP$31="Single_Point",IF(156=$NR$31,$NN$31,0),IF($NP$31="Bell_Curve",$NN$31*(156-$NR$31+1)*($NS$31-156+1)/$NU$31,$NN$31/$NT$31)),0)</f>
        <v/>
      </c>
      <c r="FE31" s="228">
        <f>IF(AND(157&gt;=$NR$31,157&lt;=$NS$31),IF($NP$31="Single_Point",IF(157=$NR$31,$NN$31,0),IF($NP$31="Bell_Curve",$NN$31*(157-$NR$31+1)*($NS$31-157+1)/$NU$31,$NN$31/$NT$31)),0)</f>
        <v/>
      </c>
      <c r="FF31" s="228">
        <f>IF(AND(158&gt;=$NR$31,158&lt;=$NS$31),IF($NP$31="Single_Point",IF(158=$NR$31,$NN$31,0),IF($NP$31="Bell_Curve",$NN$31*(158-$NR$31+1)*($NS$31-158+1)/$NU$31,$NN$31/$NT$31)),0)</f>
        <v/>
      </c>
      <c r="FG31" s="228">
        <f>IF(AND(159&gt;=$NR$31,159&lt;=$NS$31),IF($NP$31="Single_Point",IF(159=$NR$31,$NN$31,0),IF($NP$31="Bell_Curve",$NN$31*(159-$NR$31+1)*($NS$31-159+1)/$NU$31,$NN$31/$NT$31)),0)</f>
        <v/>
      </c>
      <c r="FH31" s="228">
        <f>IF(AND(160&gt;=$NR$31,160&lt;=$NS$31),IF($NP$31="Single_Point",IF(160=$NR$31,$NN$31,0),IF($NP$31="Bell_Curve",$NN$31*(160-$NR$31+1)*($NS$31-160+1)/$NU$31,$NN$31/$NT$31)),0)</f>
        <v/>
      </c>
      <c r="FI31" s="228">
        <f>IF(AND(161&gt;=$NR$31,161&lt;=$NS$31),IF($NP$31="Single_Point",IF(161=$NR$31,$NN$31,0),IF($NP$31="Bell_Curve",$NN$31*(161-$NR$31+1)*($NS$31-161+1)/$NU$31,$NN$31/$NT$31)),0)</f>
        <v/>
      </c>
      <c r="FJ31" s="228">
        <f>IF(AND(162&gt;=$NR$31,162&lt;=$NS$31),IF($NP$31="Single_Point",IF(162=$NR$31,$NN$31,0),IF($NP$31="Bell_Curve",$NN$31*(162-$NR$31+1)*($NS$31-162+1)/$NU$31,$NN$31/$NT$31)),0)</f>
        <v/>
      </c>
      <c r="FK31" s="228">
        <f>IF(AND(163&gt;=$NR$31,163&lt;=$NS$31),IF($NP$31="Single_Point",IF(163=$NR$31,$NN$31,0),IF($NP$31="Bell_Curve",$NN$31*(163-$NR$31+1)*($NS$31-163+1)/$NU$31,$NN$31/$NT$31)),0)</f>
        <v/>
      </c>
      <c r="FL31" s="228">
        <f>IF(AND(164&gt;=$NR$31,164&lt;=$NS$31),IF($NP$31="Single_Point",IF(164=$NR$31,$NN$31,0),IF($NP$31="Bell_Curve",$NN$31*(164-$NR$31+1)*($NS$31-164+1)/$NU$31,$NN$31/$NT$31)),0)</f>
        <v/>
      </c>
      <c r="FM31" s="228">
        <f>IF(AND(165&gt;=$NR$31,165&lt;=$NS$31),IF($NP$31="Single_Point",IF(165=$NR$31,$NN$31,0),IF($NP$31="Bell_Curve",$NN$31*(165-$NR$31+1)*($NS$31-165+1)/$NU$31,$NN$31/$NT$31)),0)</f>
        <v/>
      </c>
      <c r="FN31" s="228">
        <f>IF(AND(166&gt;=$NR$31,166&lt;=$NS$31),IF($NP$31="Single_Point",IF(166=$NR$31,$NN$31,0),IF($NP$31="Bell_Curve",$NN$31*(166-$NR$31+1)*($NS$31-166+1)/$NU$31,$NN$31/$NT$31)),0)</f>
        <v/>
      </c>
      <c r="FO31" s="228">
        <f>IF(AND(167&gt;=$NR$31,167&lt;=$NS$31),IF($NP$31="Single_Point",IF(167=$NR$31,$NN$31,0),IF($NP$31="Bell_Curve",$NN$31*(167-$NR$31+1)*($NS$31-167+1)/$NU$31,$NN$31/$NT$31)),0)</f>
        <v/>
      </c>
      <c r="FP31" s="228">
        <f>IF(AND(168&gt;=$NR$31,168&lt;=$NS$31),IF($NP$31="Single_Point",IF(168=$NR$31,$NN$31,0),IF($NP$31="Bell_Curve",$NN$31*(168-$NR$31+1)*($NS$31-168+1)/$NU$31,$NN$31/$NT$31)),0)</f>
        <v/>
      </c>
      <c r="FQ31" s="228">
        <f>IF(AND(169&gt;=$NR$31,169&lt;=$NS$31),IF($NP$31="Single_Point",IF(169=$NR$31,$NN$31,0),IF($NP$31="Bell_Curve",$NN$31*(169-$NR$31+1)*($NS$31-169+1)/$NU$31,$NN$31/$NT$31)),0)</f>
        <v/>
      </c>
      <c r="FR31" s="228">
        <f>IF(AND(170&gt;=$NR$31,170&lt;=$NS$31),IF($NP$31="Single_Point",IF(170=$NR$31,$NN$31,0),IF($NP$31="Bell_Curve",$NN$31*(170-$NR$31+1)*($NS$31-170+1)/$NU$31,$NN$31/$NT$31)),0)</f>
        <v/>
      </c>
      <c r="FS31" s="228">
        <f>IF(AND(171&gt;=$NR$31,171&lt;=$NS$31),IF($NP$31="Single_Point",IF(171=$NR$31,$NN$31,0),IF($NP$31="Bell_Curve",$NN$31*(171-$NR$31+1)*($NS$31-171+1)/$NU$31,$NN$31/$NT$31)),0)</f>
        <v/>
      </c>
      <c r="FT31" s="228">
        <f>IF(AND(172&gt;=$NR$31,172&lt;=$NS$31),IF($NP$31="Single_Point",IF(172=$NR$31,$NN$31,0),IF($NP$31="Bell_Curve",$NN$31*(172-$NR$31+1)*($NS$31-172+1)/$NU$31,$NN$31/$NT$31)),0)</f>
        <v/>
      </c>
      <c r="FU31" s="228">
        <f>IF(AND(173&gt;=$NR$31,173&lt;=$NS$31),IF($NP$31="Single_Point",IF(173=$NR$31,$NN$31,0),IF($NP$31="Bell_Curve",$NN$31*(173-$NR$31+1)*($NS$31-173+1)/$NU$31,$NN$31/$NT$31)),0)</f>
        <v/>
      </c>
      <c r="FV31" s="228">
        <f>IF(AND(174&gt;=$NR$31,174&lt;=$NS$31),IF($NP$31="Single_Point",IF(174=$NR$31,$NN$31,0),IF($NP$31="Bell_Curve",$NN$31*(174-$NR$31+1)*($NS$31-174+1)/$NU$31,$NN$31/$NT$31)),0)</f>
        <v/>
      </c>
      <c r="FW31" s="228">
        <f>IF(AND(175&gt;=$NR$31,175&lt;=$NS$31),IF($NP$31="Single_Point",IF(175=$NR$31,$NN$31,0),IF($NP$31="Bell_Curve",$NN$31*(175-$NR$31+1)*($NS$31-175+1)/$NU$31,$NN$31/$NT$31)),0)</f>
        <v/>
      </c>
      <c r="FX31" s="228">
        <f>IF(AND(176&gt;=$NR$31,176&lt;=$NS$31),IF($NP$31="Single_Point",IF(176=$NR$31,$NN$31,0),IF($NP$31="Bell_Curve",$NN$31*(176-$NR$31+1)*($NS$31-176+1)/$NU$31,$NN$31/$NT$31)),0)</f>
        <v/>
      </c>
      <c r="FY31" s="228">
        <f>IF(AND(177&gt;=$NR$31,177&lt;=$NS$31),IF($NP$31="Single_Point",IF(177=$NR$31,$NN$31,0),IF($NP$31="Bell_Curve",$NN$31*(177-$NR$31+1)*($NS$31-177+1)/$NU$31,$NN$31/$NT$31)),0)</f>
        <v/>
      </c>
      <c r="FZ31" s="228">
        <f>IF(AND(178&gt;=$NR$31,178&lt;=$NS$31),IF($NP$31="Single_Point",IF(178=$NR$31,$NN$31,0),IF($NP$31="Bell_Curve",$NN$31*(178-$NR$31+1)*($NS$31-178+1)/$NU$31,$NN$31/$NT$31)),0)</f>
        <v/>
      </c>
      <c r="GA31" s="228">
        <f>IF(AND(179&gt;=$NR$31,179&lt;=$NS$31),IF($NP$31="Single_Point",IF(179=$NR$31,$NN$31,0),IF($NP$31="Bell_Curve",$NN$31*(179-$NR$31+1)*($NS$31-179+1)/$NU$31,$NN$31/$NT$31)),0)</f>
        <v/>
      </c>
      <c r="GB31" s="228">
        <f>IF(AND(180&gt;=$NR$31,180&lt;=$NS$31),IF($NP$31="Single_Point",IF(180=$NR$31,$NN$31,0),IF($NP$31="Bell_Curve",$NN$31*(180-$NR$31+1)*($NS$31-180+1)/$NU$31,$NN$31/$NT$31)),0)</f>
        <v/>
      </c>
      <c r="GC31" s="228">
        <f>IF(AND(181&gt;=$NR$31,181&lt;=$NS$31),IF($NP$31="Single_Point",IF(181=$NR$31,$NN$31,0),IF($NP$31="Bell_Curve",$NN$31*(181-$NR$31+1)*($NS$31-181+1)/$NU$31,$NN$31/$NT$31)),0)</f>
        <v/>
      </c>
      <c r="GD31" s="228">
        <f>IF(AND(182&gt;=$NR$31,182&lt;=$NS$31),IF($NP$31="Single_Point",IF(182=$NR$31,$NN$31,0),IF($NP$31="Bell_Curve",$NN$31*(182-$NR$31+1)*($NS$31-182+1)/$NU$31,$NN$31/$NT$31)),0)</f>
        <v/>
      </c>
      <c r="GE31" s="228">
        <f>IF(AND(183&gt;=$NR$31,183&lt;=$NS$31),IF($NP$31="Single_Point",IF(183=$NR$31,$NN$31,0),IF($NP$31="Bell_Curve",$NN$31*(183-$NR$31+1)*($NS$31-183+1)/$NU$31,$NN$31/$NT$31)),0)</f>
        <v/>
      </c>
      <c r="GF31" s="228">
        <f>IF(AND(184&gt;=$NR$31,184&lt;=$NS$31),IF($NP$31="Single_Point",IF(184=$NR$31,$NN$31,0),IF($NP$31="Bell_Curve",$NN$31*(184-$NR$31+1)*($NS$31-184+1)/$NU$31,$NN$31/$NT$31)),0)</f>
        <v/>
      </c>
      <c r="GG31" s="228">
        <f>IF(AND(185&gt;=$NR$31,185&lt;=$NS$31),IF($NP$31="Single_Point",IF(185=$NR$31,$NN$31,0),IF($NP$31="Bell_Curve",$NN$31*(185-$NR$31+1)*($NS$31-185+1)/$NU$31,$NN$31/$NT$31)),0)</f>
        <v/>
      </c>
      <c r="GH31" s="228">
        <f>IF(AND(186&gt;=$NR$31,186&lt;=$NS$31),IF($NP$31="Single_Point",IF(186=$NR$31,$NN$31,0),IF($NP$31="Bell_Curve",$NN$31*(186-$NR$31+1)*($NS$31-186+1)/$NU$31,$NN$31/$NT$31)),0)</f>
        <v/>
      </c>
      <c r="GI31" s="228">
        <f>IF(AND(187&gt;=$NR$31,187&lt;=$NS$31),IF($NP$31="Single_Point",IF(187=$NR$31,$NN$31,0),IF($NP$31="Bell_Curve",$NN$31*(187-$NR$31+1)*($NS$31-187+1)/$NU$31,$NN$31/$NT$31)),0)</f>
        <v/>
      </c>
      <c r="GJ31" s="228">
        <f>IF(AND(188&gt;=$NR$31,188&lt;=$NS$31),IF($NP$31="Single_Point",IF(188=$NR$31,$NN$31,0),IF($NP$31="Bell_Curve",$NN$31*(188-$NR$31+1)*($NS$31-188+1)/$NU$31,$NN$31/$NT$31)),0)</f>
        <v/>
      </c>
      <c r="GK31" s="228">
        <f>IF(AND(189&gt;=$NR$31,189&lt;=$NS$31),IF($NP$31="Single_Point",IF(189=$NR$31,$NN$31,0),IF($NP$31="Bell_Curve",$NN$31*(189-$NR$31+1)*($NS$31-189+1)/$NU$31,$NN$31/$NT$31)),0)</f>
        <v/>
      </c>
      <c r="GL31" s="228">
        <f>IF(AND(190&gt;=$NR$31,190&lt;=$NS$31),IF($NP$31="Single_Point",IF(190=$NR$31,$NN$31,0),IF($NP$31="Bell_Curve",$NN$31*(190-$NR$31+1)*($NS$31-190+1)/$NU$31,$NN$31/$NT$31)),0)</f>
        <v/>
      </c>
      <c r="GM31" s="228">
        <f>IF(AND(191&gt;=$NR$31,191&lt;=$NS$31),IF($NP$31="Single_Point",IF(191=$NR$31,$NN$31,0),IF($NP$31="Bell_Curve",$NN$31*(191-$NR$31+1)*($NS$31-191+1)/$NU$31,$NN$31/$NT$31)),0)</f>
        <v/>
      </c>
      <c r="GN31" s="228">
        <f>IF(AND(192&gt;=$NR$31,192&lt;=$NS$31),IF($NP$31="Single_Point",IF(192=$NR$31,$NN$31,0),IF($NP$31="Bell_Curve",$NN$31*(192-$NR$31+1)*($NS$31-192+1)/$NU$31,$NN$31/$NT$31)),0)</f>
        <v/>
      </c>
      <c r="GO31" s="228">
        <f>IF(AND(193&gt;=$NR$31,193&lt;=$NS$31),IF($NP$31="Single_Point",IF(193=$NR$31,$NN$31,0),IF($NP$31="Bell_Curve",$NN$31*(193-$NR$31+1)*($NS$31-193+1)/$NU$31,$NN$31/$NT$31)),0)</f>
        <v/>
      </c>
      <c r="GP31" s="228">
        <f>IF(AND(194&gt;=$NR$31,194&lt;=$NS$31),IF($NP$31="Single_Point",IF(194=$NR$31,$NN$31,0),IF($NP$31="Bell_Curve",$NN$31*(194-$NR$31+1)*($NS$31-194+1)/$NU$31,$NN$31/$NT$31)),0)</f>
        <v/>
      </c>
      <c r="GQ31" s="228">
        <f>IF(AND(195&gt;=$NR$31,195&lt;=$NS$31),IF($NP$31="Single_Point",IF(195=$NR$31,$NN$31,0),IF($NP$31="Bell_Curve",$NN$31*(195-$NR$31+1)*($NS$31-195+1)/$NU$31,$NN$31/$NT$31)),0)</f>
        <v/>
      </c>
      <c r="GR31" s="228">
        <f>IF(AND(196&gt;=$NR$31,196&lt;=$NS$31),IF($NP$31="Single_Point",IF(196=$NR$31,$NN$31,0),IF($NP$31="Bell_Curve",$NN$31*(196-$NR$31+1)*($NS$31-196+1)/$NU$31,$NN$31/$NT$31)),0)</f>
        <v/>
      </c>
      <c r="GS31" s="228">
        <f>IF(AND(197&gt;=$NR$31,197&lt;=$NS$31),IF($NP$31="Single_Point",IF(197=$NR$31,$NN$31,0),IF($NP$31="Bell_Curve",$NN$31*(197-$NR$31+1)*($NS$31-197+1)/$NU$31,$NN$31/$NT$31)),0)</f>
        <v/>
      </c>
      <c r="GT31" s="228">
        <f>IF(AND(198&gt;=$NR$31,198&lt;=$NS$31),IF($NP$31="Single_Point",IF(198=$NR$31,$NN$31,0),IF($NP$31="Bell_Curve",$NN$31*(198-$NR$31+1)*($NS$31-198+1)/$NU$31,$NN$31/$NT$31)),0)</f>
        <v/>
      </c>
      <c r="GU31" s="228">
        <f>IF(AND(199&gt;=$NR$31,199&lt;=$NS$31),IF($NP$31="Single_Point",IF(199=$NR$31,$NN$31,0),IF($NP$31="Bell_Curve",$NN$31*(199-$NR$31+1)*($NS$31-199+1)/$NU$31,$NN$31/$NT$31)),0)</f>
        <v/>
      </c>
      <c r="GV31" s="228">
        <f>IF(AND(200&gt;=$NR$31,200&lt;=$NS$31),IF($NP$31="Single_Point",IF(200=$NR$31,$NN$31,0),IF($NP$31="Bell_Curve",$NN$31*(200-$NR$31+1)*($NS$31-200+1)/$NU$31,$NN$31/$NT$31)),0)</f>
        <v/>
      </c>
      <c r="GW31" s="228">
        <f>IF(AND(201&gt;=$NR$31,201&lt;=$NS$31),IF($NP$31="Single_Point",IF(201=$NR$31,$NN$31,0),IF($NP$31="Bell_Curve",$NN$31*(201-$NR$31+1)*($NS$31-201+1)/$NU$31,$NN$31/$NT$31)),0)</f>
        <v/>
      </c>
      <c r="GX31" s="228">
        <f>IF(AND(202&gt;=$NR$31,202&lt;=$NS$31),IF($NP$31="Single_Point",IF(202=$NR$31,$NN$31,0),IF($NP$31="Bell_Curve",$NN$31*(202-$NR$31+1)*($NS$31-202+1)/$NU$31,$NN$31/$NT$31)),0)</f>
        <v/>
      </c>
      <c r="GY31" s="228">
        <f>IF(AND(203&gt;=$NR$31,203&lt;=$NS$31),IF($NP$31="Single_Point",IF(203=$NR$31,$NN$31,0),IF($NP$31="Bell_Curve",$NN$31*(203-$NR$31+1)*($NS$31-203+1)/$NU$31,$NN$31/$NT$31)),0)</f>
        <v/>
      </c>
      <c r="GZ31" s="228">
        <f>IF(AND(204&gt;=$NR$31,204&lt;=$NS$31),IF($NP$31="Single_Point",IF(204=$NR$31,$NN$31,0),IF($NP$31="Bell_Curve",$NN$31*(204-$NR$31+1)*($NS$31-204+1)/$NU$31,$NN$31/$NT$31)),0)</f>
        <v/>
      </c>
      <c r="HA31" s="228">
        <f>IF(AND(205&gt;=$NR$31,205&lt;=$NS$31),IF($NP$31="Single_Point",IF(205=$NR$31,$NN$31,0),IF($NP$31="Bell_Curve",$NN$31*(205-$NR$31+1)*($NS$31-205+1)/$NU$31,$NN$31/$NT$31)),0)</f>
        <v/>
      </c>
      <c r="HB31" s="228">
        <f>IF(AND(206&gt;=$NR$31,206&lt;=$NS$31),IF($NP$31="Single_Point",IF(206=$NR$31,$NN$31,0),IF($NP$31="Bell_Curve",$NN$31*(206-$NR$31+1)*($NS$31-206+1)/$NU$31,$NN$31/$NT$31)),0)</f>
        <v/>
      </c>
      <c r="HC31" s="228">
        <f>IF(AND(207&gt;=$NR$31,207&lt;=$NS$31),IF($NP$31="Single_Point",IF(207=$NR$31,$NN$31,0),IF($NP$31="Bell_Curve",$NN$31*(207-$NR$31+1)*($NS$31-207+1)/$NU$31,$NN$31/$NT$31)),0)</f>
        <v/>
      </c>
      <c r="HD31" s="228">
        <f>IF(AND(208&gt;=$NR$31,208&lt;=$NS$31),IF($NP$31="Single_Point",IF(208=$NR$31,$NN$31,0),IF($NP$31="Bell_Curve",$NN$31*(208-$NR$31+1)*($NS$31-208+1)/$NU$31,$NN$31/$NT$31)),0)</f>
        <v/>
      </c>
      <c r="HE31" s="228">
        <f>IF(AND(209&gt;=$NR$31,209&lt;=$NS$31),IF($NP$31="Single_Point",IF(209=$NR$31,$NN$31,0),IF($NP$31="Bell_Curve",$NN$31*(209-$NR$31+1)*($NS$31-209+1)/$NU$31,$NN$31/$NT$31)),0)</f>
        <v/>
      </c>
      <c r="HF31" s="228">
        <f>IF(AND(210&gt;=$NR$31,210&lt;=$NS$31),IF($NP$31="Single_Point",IF(210=$NR$31,$NN$31,0),IF($NP$31="Bell_Curve",$NN$31*(210-$NR$31+1)*($NS$31-210+1)/$NU$31,$NN$31/$NT$31)),0)</f>
        <v/>
      </c>
      <c r="HG31" s="228">
        <f>IF(AND(211&gt;=$NR$31,211&lt;=$NS$31),IF($NP$31="Single_Point",IF(211=$NR$31,$NN$31,0),IF($NP$31="Bell_Curve",$NN$31*(211-$NR$31+1)*($NS$31-211+1)/$NU$31,$NN$31/$NT$31)),0)</f>
        <v/>
      </c>
      <c r="HH31" s="228">
        <f>IF(AND(212&gt;=$NR$31,212&lt;=$NS$31),IF($NP$31="Single_Point",IF(212=$NR$31,$NN$31,0),IF($NP$31="Bell_Curve",$NN$31*(212-$NR$31+1)*($NS$31-212+1)/$NU$31,$NN$31/$NT$31)),0)</f>
        <v/>
      </c>
      <c r="HI31" s="228">
        <f>IF(AND(213&gt;=$NR$31,213&lt;=$NS$31),IF($NP$31="Single_Point",IF(213=$NR$31,$NN$31,0),IF($NP$31="Bell_Curve",$NN$31*(213-$NR$31+1)*($NS$31-213+1)/$NU$31,$NN$31/$NT$31)),0)</f>
        <v/>
      </c>
      <c r="HJ31" s="228">
        <f>IF(AND(214&gt;=$NR$31,214&lt;=$NS$31),IF($NP$31="Single_Point",IF(214=$NR$31,$NN$31,0),IF($NP$31="Bell_Curve",$NN$31*(214-$NR$31+1)*($NS$31-214+1)/$NU$31,$NN$31/$NT$31)),0)</f>
        <v/>
      </c>
      <c r="HK31" s="228">
        <f>IF(AND(215&gt;=$NR$31,215&lt;=$NS$31),IF($NP$31="Single_Point",IF(215=$NR$31,$NN$31,0),IF($NP$31="Bell_Curve",$NN$31*(215-$NR$31+1)*($NS$31-215+1)/$NU$31,$NN$31/$NT$31)),0)</f>
        <v/>
      </c>
      <c r="HL31" s="228">
        <f>IF(AND(216&gt;=$NR$31,216&lt;=$NS$31),IF($NP$31="Single_Point",IF(216=$NR$31,$NN$31,0),IF($NP$31="Bell_Curve",$NN$31*(216-$NR$31+1)*($NS$31-216+1)/$NU$31,$NN$31/$NT$31)),0)</f>
        <v/>
      </c>
      <c r="HM31" s="228">
        <f>IF(AND(217&gt;=$NR$31,217&lt;=$NS$31),IF($NP$31="Single_Point",IF(217=$NR$31,$NN$31,0),IF($NP$31="Bell_Curve",$NN$31*(217-$NR$31+1)*($NS$31-217+1)/$NU$31,$NN$31/$NT$31)),0)</f>
        <v/>
      </c>
      <c r="HN31" s="228">
        <f>IF(AND(218&gt;=$NR$31,218&lt;=$NS$31),IF($NP$31="Single_Point",IF(218=$NR$31,$NN$31,0),IF($NP$31="Bell_Curve",$NN$31*(218-$NR$31+1)*($NS$31-218+1)/$NU$31,$NN$31/$NT$31)),0)</f>
        <v/>
      </c>
      <c r="HO31" s="228">
        <f>IF(AND(219&gt;=$NR$31,219&lt;=$NS$31),IF($NP$31="Single_Point",IF(219=$NR$31,$NN$31,0),IF($NP$31="Bell_Curve",$NN$31*(219-$NR$31+1)*($NS$31-219+1)/$NU$31,$NN$31/$NT$31)),0)</f>
        <v/>
      </c>
      <c r="HP31" s="228">
        <f>IF(AND(220&gt;=$NR$31,220&lt;=$NS$31),IF($NP$31="Single_Point",IF(220=$NR$31,$NN$31,0),IF($NP$31="Bell_Curve",$NN$31*(220-$NR$31+1)*($NS$31-220+1)/$NU$31,$NN$31/$NT$31)),0)</f>
        <v/>
      </c>
      <c r="HQ31" s="228">
        <f>IF(AND(221&gt;=$NR$31,221&lt;=$NS$31),IF($NP$31="Single_Point",IF(221=$NR$31,$NN$31,0),IF($NP$31="Bell_Curve",$NN$31*(221-$NR$31+1)*($NS$31-221+1)/$NU$31,$NN$31/$NT$31)),0)</f>
        <v/>
      </c>
      <c r="HR31" s="228">
        <f>IF(AND(222&gt;=$NR$31,222&lt;=$NS$31),IF($NP$31="Single_Point",IF(222=$NR$31,$NN$31,0),IF($NP$31="Bell_Curve",$NN$31*(222-$NR$31+1)*($NS$31-222+1)/$NU$31,$NN$31/$NT$31)),0)</f>
        <v/>
      </c>
      <c r="HS31" s="228">
        <f>IF(AND(223&gt;=$NR$31,223&lt;=$NS$31),IF($NP$31="Single_Point",IF(223=$NR$31,$NN$31,0),IF($NP$31="Bell_Curve",$NN$31*(223-$NR$31+1)*($NS$31-223+1)/$NU$31,$NN$31/$NT$31)),0)</f>
        <v/>
      </c>
      <c r="HT31" s="228">
        <f>IF(AND(224&gt;=$NR$31,224&lt;=$NS$31),IF($NP$31="Single_Point",IF(224=$NR$31,$NN$31,0),IF($NP$31="Bell_Curve",$NN$31*(224-$NR$31+1)*($NS$31-224+1)/$NU$31,$NN$31/$NT$31)),0)</f>
        <v/>
      </c>
      <c r="HU31" s="228">
        <f>IF(AND(225&gt;=$NR$31,225&lt;=$NS$31),IF($NP$31="Single_Point",IF(225=$NR$31,$NN$31,0),IF($NP$31="Bell_Curve",$NN$31*(225-$NR$31+1)*($NS$31-225+1)/$NU$31,$NN$31/$NT$31)),0)</f>
        <v/>
      </c>
      <c r="HV31" s="228">
        <f>IF(AND(226&gt;=$NR$31,226&lt;=$NS$31),IF($NP$31="Single_Point",IF(226=$NR$31,$NN$31,0),IF($NP$31="Bell_Curve",$NN$31*(226-$NR$31+1)*($NS$31-226+1)/$NU$31,$NN$31/$NT$31)),0)</f>
        <v/>
      </c>
      <c r="HW31" s="228">
        <f>IF(AND(227&gt;=$NR$31,227&lt;=$NS$31),IF($NP$31="Single_Point",IF(227=$NR$31,$NN$31,0),IF($NP$31="Bell_Curve",$NN$31*(227-$NR$31+1)*($NS$31-227+1)/$NU$31,$NN$31/$NT$31)),0)</f>
        <v/>
      </c>
      <c r="HX31" s="228">
        <f>IF(AND(228&gt;=$NR$31,228&lt;=$NS$31),IF($NP$31="Single_Point",IF(228=$NR$31,$NN$31,0),IF($NP$31="Bell_Curve",$NN$31*(228-$NR$31+1)*($NS$31-228+1)/$NU$31,$NN$31/$NT$31)),0)</f>
        <v/>
      </c>
      <c r="HY31" s="228">
        <f>IF(AND(229&gt;=$NR$31,229&lt;=$NS$31),IF($NP$31="Single_Point",IF(229=$NR$31,$NN$31,0),IF($NP$31="Bell_Curve",$NN$31*(229-$NR$31+1)*($NS$31-229+1)/$NU$31,$NN$31/$NT$31)),0)</f>
        <v/>
      </c>
      <c r="HZ31" s="228">
        <f>IF(AND(230&gt;=$NR$31,230&lt;=$NS$31),IF($NP$31="Single_Point",IF(230=$NR$31,$NN$31,0),IF($NP$31="Bell_Curve",$NN$31*(230-$NR$31+1)*($NS$31-230+1)/$NU$31,$NN$31/$NT$31)),0)</f>
        <v/>
      </c>
      <c r="IA31" s="228">
        <f>IF(AND(231&gt;=$NR$31,231&lt;=$NS$31),IF($NP$31="Single_Point",IF(231=$NR$31,$NN$31,0),IF($NP$31="Bell_Curve",$NN$31*(231-$NR$31+1)*($NS$31-231+1)/$NU$31,$NN$31/$NT$31)),0)</f>
        <v/>
      </c>
      <c r="IB31" s="228">
        <f>IF(AND(232&gt;=$NR$31,232&lt;=$NS$31),IF($NP$31="Single_Point",IF(232=$NR$31,$NN$31,0),IF($NP$31="Bell_Curve",$NN$31*(232-$NR$31+1)*($NS$31-232+1)/$NU$31,$NN$31/$NT$31)),0)</f>
        <v/>
      </c>
      <c r="IC31" s="228">
        <f>IF(AND(233&gt;=$NR$31,233&lt;=$NS$31),IF($NP$31="Single_Point",IF(233=$NR$31,$NN$31,0),IF($NP$31="Bell_Curve",$NN$31*(233-$NR$31+1)*($NS$31-233+1)/$NU$31,$NN$31/$NT$31)),0)</f>
        <v/>
      </c>
      <c r="ID31" s="228">
        <f>IF(AND(234&gt;=$NR$31,234&lt;=$NS$31),IF($NP$31="Single_Point",IF(234=$NR$31,$NN$31,0),IF($NP$31="Bell_Curve",$NN$31*(234-$NR$31+1)*($NS$31-234+1)/$NU$31,$NN$31/$NT$31)),0)</f>
        <v/>
      </c>
      <c r="IE31" s="228">
        <f>IF(AND(235&gt;=$NR$31,235&lt;=$NS$31),IF($NP$31="Single_Point",IF(235=$NR$31,$NN$31,0),IF($NP$31="Bell_Curve",$NN$31*(235-$NR$31+1)*($NS$31-235+1)/$NU$31,$NN$31/$NT$31)),0)</f>
        <v/>
      </c>
      <c r="IF31" s="228">
        <f>IF(AND(236&gt;=$NR$31,236&lt;=$NS$31),IF($NP$31="Single_Point",IF(236=$NR$31,$NN$31,0),IF($NP$31="Bell_Curve",$NN$31*(236-$NR$31+1)*($NS$31-236+1)/$NU$31,$NN$31/$NT$31)),0)</f>
        <v/>
      </c>
      <c r="IG31" s="228">
        <f>IF(AND(237&gt;=$NR$31,237&lt;=$NS$31),IF($NP$31="Single_Point",IF(237=$NR$31,$NN$31,0),IF($NP$31="Bell_Curve",$NN$31*(237-$NR$31+1)*($NS$31-237+1)/$NU$31,$NN$31/$NT$31)),0)</f>
        <v/>
      </c>
      <c r="IH31" s="228">
        <f>IF(AND(238&gt;=$NR$31,238&lt;=$NS$31),IF($NP$31="Single_Point",IF(238=$NR$31,$NN$31,0),IF($NP$31="Bell_Curve",$NN$31*(238-$NR$31+1)*($NS$31-238+1)/$NU$31,$NN$31/$NT$31)),0)</f>
        <v/>
      </c>
      <c r="II31" s="228">
        <f>IF(AND(239&gt;=$NR$31,239&lt;=$NS$31),IF($NP$31="Single_Point",IF(239=$NR$31,$NN$31,0),IF($NP$31="Bell_Curve",$NN$31*(239-$NR$31+1)*($NS$31-239+1)/$NU$31,$NN$31/$NT$31)),0)</f>
        <v/>
      </c>
      <c r="IJ31" s="228">
        <f>IF(AND(240&gt;=$NR$31,240&lt;=$NS$31),IF($NP$31="Single_Point",IF(240=$NR$31,$NN$31,0),IF($NP$31="Bell_Curve",$NN$31*(240-$NR$31+1)*($NS$31-240+1)/$NU$31,$NN$31/$NT$31)),0)</f>
        <v/>
      </c>
      <c r="IK31" s="228">
        <f>IF(AND(241&gt;=$NR$31,241&lt;=$NS$31),IF($NP$31="Single_Point",IF(241=$NR$31,$NN$31,0),IF($NP$31="Bell_Curve",$NN$31*(241-$NR$31+1)*($NS$31-241+1)/$NU$31,$NN$31/$NT$31)),0)</f>
        <v/>
      </c>
      <c r="IL31" s="228">
        <f>IF(AND(242&gt;=$NR$31,242&lt;=$NS$31),IF($NP$31="Single_Point",IF(242=$NR$31,$NN$31,0),IF($NP$31="Bell_Curve",$NN$31*(242-$NR$31+1)*($NS$31-242+1)/$NU$31,$NN$31/$NT$31)),0)</f>
        <v/>
      </c>
      <c r="IM31" s="228">
        <f>IF(AND(243&gt;=$NR$31,243&lt;=$NS$31),IF($NP$31="Single_Point",IF(243=$NR$31,$NN$31,0),IF($NP$31="Bell_Curve",$NN$31*(243-$NR$31+1)*($NS$31-243+1)/$NU$31,$NN$31/$NT$31)),0)</f>
        <v/>
      </c>
      <c r="IN31" s="228">
        <f>IF(AND(244&gt;=$NR$31,244&lt;=$NS$31),IF($NP$31="Single_Point",IF(244=$NR$31,$NN$31,0),IF($NP$31="Bell_Curve",$NN$31*(244-$NR$31+1)*($NS$31-244+1)/$NU$31,$NN$31/$NT$31)),0)</f>
        <v/>
      </c>
      <c r="IO31" s="228">
        <f>IF(AND(245&gt;=$NR$31,245&lt;=$NS$31),IF($NP$31="Single_Point",IF(245=$NR$31,$NN$31,0),IF($NP$31="Bell_Curve",$NN$31*(245-$NR$31+1)*($NS$31-245+1)/$NU$31,$NN$31/$NT$31)),0)</f>
        <v/>
      </c>
      <c r="IP31" s="228">
        <f>IF(AND(246&gt;=$NR$31,246&lt;=$NS$31),IF($NP$31="Single_Point",IF(246=$NR$31,$NN$31,0),IF($NP$31="Bell_Curve",$NN$31*(246-$NR$31+1)*($NS$31-246+1)/$NU$31,$NN$31/$NT$31)),0)</f>
        <v/>
      </c>
      <c r="IQ31" s="228">
        <f>IF(AND(247&gt;=$NR$31,247&lt;=$NS$31),IF($NP$31="Single_Point",IF(247=$NR$31,$NN$31,0),IF($NP$31="Bell_Curve",$NN$31*(247-$NR$31+1)*($NS$31-247+1)/$NU$31,$NN$31/$NT$31)),0)</f>
        <v/>
      </c>
      <c r="IR31" s="228">
        <f>IF(AND(248&gt;=$NR$31,248&lt;=$NS$31),IF($NP$31="Single_Point",IF(248=$NR$31,$NN$31,0),IF($NP$31="Bell_Curve",$NN$31*(248-$NR$31+1)*($NS$31-248+1)/$NU$31,$NN$31/$NT$31)),0)</f>
        <v/>
      </c>
      <c r="IS31" s="228">
        <f>IF(AND(249&gt;=$NR$31,249&lt;=$NS$31),IF($NP$31="Single_Point",IF(249=$NR$31,$NN$31,0),IF($NP$31="Bell_Curve",$NN$31*(249-$NR$31+1)*($NS$31-249+1)/$NU$31,$NN$31/$NT$31)),0)</f>
        <v/>
      </c>
      <c r="IT31" s="228">
        <f>IF(AND(250&gt;=$NR$31,250&lt;=$NS$31),IF($NP$31="Single_Point",IF(250=$NR$31,$NN$31,0),IF($NP$31="Bell_Curve",$NN$31*(250-$NR$31+1)*($NS$31-250+1)/$NU$31,$NN$31/$NT$31)),0)</f>
        <v/>
      </c>
      <c r="IU31" s="228">
        <f>IF(AND(251&gt;=$NR$31,251&lt;=$NS$31),IF($NP$31="Single_Point",IF(251=$NR$31,$NN$31,0),IF($NP$31="Bell_Curve",$NN$31*(251-$NR$31+1)*($NS$31-251+1)/$NU$31,$NN$31/$NT$31)),0)</f>
        <v/>
      </c>
      <c r="IV31" s="228">
        <f>IF(AND(252&gt;=$NR$31,252&lt;=$NS$31),IF($NP$31="Single_Point",IF(252=$NR$31,$NN$31,0),IF($NP$31="Bell_Curve",$NN$31*(252-$NR$31+1)*($NS$31-252+1)/$NU$31,$NN$31/$NT$31)),0)</f>
        <v/>
      </c>
      <c r="IW31" s="228">
        <f>IF(AND(253&gt;=$NR$31,253&lt;=$NS$31),IF($NP$31="Single_Point",IF(253=$NR$31,$NN$31,0),IF($NP$31="Bell_Curve",$NN$31*(253-$NR$31+1)*($NS$31-253+1)/$NU$31,$NN$31/$NT$31)),0)</f>
        <v/>
      </c>
      <c r="IX31" s="228">
        <f>IF(AND(254&gt;=$NR$31,254&lt;=$NS$31),IF($NP$31="Single_Point",IF(254=$NR$31,$NN$31,0),IF($NP$31="Bell_Curve",$NN$31*(254-$NR$31+1)*($NS$31-254+1)/$NU$31,$NN$31/$NT$31)),0)</f>
        <v/>
      </c>
      <c r="IY31" s="228">
        <f>IF(AND(255&gt;=$NR$31,255&lt;=$NS$31),IF($NP$31="Single_Point",IF(255=$NR$31,$NN$31,0),IF($NP$31="Bell_Curve",$NN$31*(255-$NR$31+1)*($NS$31-255+1)/$NU$31,$NN$31/$NT$31)),0)</f>
        <v/>
      </c>
      <c r="IZ31" s="228">
        <f>IF(AND(256&gt;=$NR$31,256&lt;=$NS$31),IF($NP$31="Single_Point",IF(256=$NR$31,$NN$31,0),IF($NP$31="Bell_Curve",$NN$31*(256-$NR$31+1)*($NS$31-256+1)/$NU$31,$NN$31/$NT$31)),0)</f>
        <v/>
      </c>
      <c r="JA31" s="228">
        <f>IF(AND(257&gt;=$NR$31,257&lt;=$NS$31),IF($NP$31="Single_Point",IF(257=$NR$31,$NN$31,0),IF($NP$31="Bell_Curve",$NN$31*(257-$NR$31+1)*($NS$31-257+1)/$NU$31,$NN$31/$NT$31)),0)</f>
        <v/>
      </c>
      <c r="JB31" s="228">
        <f>IF(AND(258&gt;=$NR$31,258&lt;=$NS$31),IF($NP$31="Single_Point",IF(258=$NR$31,$NN$31,0),IF($NP$31="Bell_Curve",$NN$31*(258-$NR$31+1)*($NS$31-258+1)/$NU$31,$NN$31/$NT$31)),0)</f>
        <v/>
      </c>
      <c r="JC31" s="228">
        <f>IF(AND(259&gt;=$NR$31,259&lt;=$NS$31),IF($NP$31="Single_Point",IF(259=$NR$31,$NN$31,0),IF($NP$31="Bell_Curve",$NN$31*(259-$NR$31+1)*($NS$31-259+1)/$NU$31,$NN$31/$NT$31)),0)</f>
        <v/>
      </c>
      <c r="JD31" s="228">
        <f>IF(AND(260&gt;=$NR$31,260&lt;=$NS$31),IF($NP$31="Single_Point",IF(260=$NR$31,$NN$31,0),IF($NP$31="Bell_Curve",$NN$31*(260-$NR$31+1)*($NS$31-260+1)/$NU$31,$NN$31/$NT$31)),0)</f>
        <v/>
      </c>
      <c r="JE31" s="228">
        <f>IF(AND(261&gt;=$NR$31,261&lt;=$NS$31),IF($NP$31="Single_Point",IF(261=$NR$31,$NN$31,0),IF($NP$31="Bell_Curve",$NN$31*(261-$NR$31+1)*($NS$31-261+1)/$NU$31,$NN$31/$NT$31)),0)</f>
        <v/>
      </c>
      <c r="JF31" s="228">
        <f>IF(AND(262&gt;=$NR$31,262&lt;=$NS$31),IF($NP$31="Single_Point",IF(262=$NR$31,$NN$31,0),IF($NP$31="Bell_Curve",$NN$31*(262-$NR$31+1)*($NS$31-262+1)/$NU$31,$NN$31/$NT$31)),0)</f>
        <v/>
      </c>
      <c r="JG31" s="228">
        <f>IF(AND(263&gt;=$NR$31,263&lt;=$NS$31),IF($NP$31="Single_Point",IF(263=$NR$31,$NN$31,0),IF($NP$31="Bell_Curve",$NN$31*(263-$NR$31+1)*($NS$31-263+1)/$NU$31,$NN$31/$NT$31)),0)</f>
        <v/>
      </c>
      <c r="JH31" s="228">
        <f>IF(AND(264&gt;=$NR$31,264&lt;=$NS$31),IF($NP$31="Single_Point",IF(264=$NR$31,$NN$31,0),IF($NP$31="Bell_Curve",$NN$31*(264-$NR$31+1)*($NS$31-264+1)/$NU$31,$NN$31/$NT$31)),0)</f>
        <v/>
      </c>
      <c r="JI31" s="228">
        <f>IF(AND(265&gt;=$NR$31,265&lt;=$NS$31),IF($NP$31="Single_Point",IF(265=$NR$31,$NN$31,0),IF($NP$31="Bell_Curve",$NN$31*(265-$NR$31+1)*($NS$31-265+1)/$NU$31,$NN$31/$NT$31)),0)</f>
        <v/>
      </c>
      <c r="JJ31" s="228">
        <f>IF(AND(266&gt;=$NR$31,266&lt;=$NS$31),IF($NP$31="Single_Point",IF(266=$NR$31,$NN$31,0),IF($NP$31="Bell_Curve",$NN$31*(266-$NR$31+1)*($NS$31-266+1)/$NU$31,$NN$31/$NT$31)),0)</f>
        <v/>
      </c>
      <c r="JK31" s="228">
        <f>IF(AND(267&gt;=$NR$31,267&lt;=$NS$31),IF($NP$31="Single_Point",IF(267=$NR$31,$NN$31,0),IF($NP$31="Bell_Curve",$NN$31*(267-$NR$31+1)*($NS$31-267+1)/$NU$31,$NN$31/$NT$31)),0)</f>
        <v/>
      </c>
      <c r="JL31" s="228">
        <f>IF(AND(268&gt;=$NR$31,268&lt;=$NS$31),IF($NP$31="Single_Point",IF(268=$NR$31,$NN$31,0),IF($NP$31="Bell_Curve",$NN$31*(268-$NR$31+1)*($NS$31-268+1)/$NU$31,$NN$31/$NT$31)),0)</f>
        <v/>
      </c>
      <c r="JM31" s="228">
        <f>IF(AND(269&gt;=$NR$31,269&lt;=$NS$31),IF($NP$31="Single_Point",IF(269=$NR$31,$NN$31,0),IF($NP$31="Bell_Curve",$NN$31*(269-$NR$31+1)*($NS$31-269+1)/$NU$31,$NN$31/$NT$31)),0)</f>
        <v/>
      </c>
      <c r="JN31" s="228">
        <f>IF(AND(270&gt;=$NR$31,270&lt;=$NS$31),IF($NP$31="Single_Point",IF(270=$NR$31,$NN$31,0),IF($NP$31="Bell_Curve",$NN$31*(270-$NR$31+1)*($NS$31-270+1)/$NU$31,$NN$31/$NT$31)),0)</f>
        <v/>
      </c>
      <c r="JO31" s="228">
        <f>IF(AND(271&gt;=$NR$31,271&lt;=$NS$31),IF($NP$31="Single_Point",IF(271=$NR$31,$NN$31,0),IF($NP$31="Bell_Curve",$NN$31*(271-$NR$31+1)*($NS$31-271+1)/$NU$31,$NN$31/$NT$31)),0)</f>
        <v/>
      </c>
      <c r="JP31" s="228">
        <f>IF(AND(272&gt;=$NR$31,272&lt;=$NS$31),IF($NP$31="Single_Point",IF(272=$NR$31,$NN$31,0),IF($NP$31="Bell_Curve",$NN$31*(272-$NR$31+1)*($NS$31-272+1)/$NU$31,$NN$31/$NT$31)),0)</f>
        <v/>
      </c>
      <c r="JQ31" s="228">
        <f>IF(AND(273&gt;=$NR$31,273&lt;=$NS$31),IF($NP$31="Single_Point",IF(273=$NR$31,$NN$31,0),IF($NP$31="Bell_Curve",$NN$31*(273-$NR$31+1)*($NS$31-273+1)/$NU$31,$NN$31/$NT$31)),0)</f>
        <v/>
      </c>
      <c r="JR31" s="228">
        <f>IF(AND(274&gt;=$NR$31,274&lt;=$NS$31),IF($NP$31="Single_Point",IF(274=$NR$31,$NN$31,0),IF($NP$31="Bell_Curve",$NN$31*(274-$NR$31+1)*($NS$31-274+1)/$NU$31,$NN$31/$NT$31)),0)</f>
        <v/>
      </c>
      <c r="JS31" s="228">
        <f>IF(AND(275&gt;=$NR$31,275&lt;=$NS$31),IF($NP$31="Single_Point",IF(275=$NR$31,$NN$31,0),IF($NP$31="Bell_Curve",$NN$31*(275-$NR$31+1)*($NS$31-275+1)/$NU$31,$NN$31/$NT$31)),0)</f>
        <v/>
      </c>
      <c r="JT31" s="228">
        <f>IF(AND(276&gt;=$NR$31,276&lt;=$NS$31),IF($NP$31="Single_Point",IF(276=$NR$31,$NN$31,0),IF($NP$31="Bell_Curve",$NN$31*(276-$NR$31+1)*($NS$31-276+1)/$NU$31,$NN$31/$NT$31)),0)</f>
        <v/>
      </c>
      <c r="JU31" s="228">
        <f>IF(AND(277&gt;=$NR$31,277&lt;=$NS$31),IF($NP$31="Single_Point",IF(277=$NR$31,$NN$31,0),IF($NP$31="Bell_Curve",$NN$31*(277-$NR$31+1)*($NS$31-277+1)/$NU$31,$NN$31/$NT$31)),0)</f>
        <v/>
      </c>
      <c r="JV31" s="228">
        <f>IF(AND(278&gt;=$NR$31,278&lt;=$NS$31),IF($NP$31="Single_Point",IF(278=$NR$31,$NN$31,0),IF($NP$31="Bell_Curve",$NN$31*(278-$NR$31+1)*($NS$31-278+1)/$NU$31,$NN$31/$NT$31)),0)</f>
        <v/>
      </c>
      <c r="JW31" s="228">
        <f>IF(AND(279&gt;=$NR$31,279&lt;=$NS$31),IF($NP$31="Single_Point",IF(279=$NR$31,$NN$31,0),IF($NP$31="Bell_Curve",$NN$31*(279-$NR$31+1)*($NS$31-279+1)/$NU$31,$NN$31/$NT$31)),0)</f>
        <v/>
      </c>
      <c r="JX31" s="228">
        <f>IF(AND(280&gt;=$NR$31,280&lt;=$NS$31),IF($NP$31="Single_Point",IF(280=$NR$31,$NN$31,0),IF($NP$31="Bell_Curve",$NN$31*(280-$NR$31+1)*($NS$31-280+1)/$NU$31,$NN$31/$NT$31)),0)</f>
        <v/>
      </c>
      <c r="JY31" s="228">
        <f>IF(AND(281&gt;=$NR$31,281&lt;=$NS$31),IF($NP$31="Single_Point",IF(281=$NR$31,$NN$31,0),IF($NP$31="Bell_Curve",$NN$31*(281-$NR$31+1)*($NS$31-281+1)/$NU$31,$NN$31/$NT$31)),0)</f>
        <v/>
      </c>
      <c r="JZ31" s="228">
        <f>IF(AND(282&gt;=$NR$31,282&lt;=$NS$31),IF($NP$31="Single_Point",IF(282=$NR$31,$NN$31,0),IF($NP$31="Bell_Curve",$NN$31*(282-$NR$31+1)*($NS$31-282+1)/$NU$31,$NN$31/$NT$31)),0)</f>
        <v/>
      </c>
      <c r="KA31" s="228">
        <f>IF(AND(283&gt;=$NR$31,283&lt;=$NS$31),IF($NP$31="Single_Point",IF(283=$NR$31,$NN$31,0),IF($NP$31="Bell_Curve",$NN$31*(283-$NR$31+1)*($NS$31-283+1)/$NU$31,$NN$31/$NT$31)),0)</f>
        <v/>
      </c>
      <c r="KB31" s="228">
        <f>IF(AND(284&gt;=$NR$31,284&lt;=$NS$31),IF($NP$31="Single_Point",IF(284=$NR$31,$NN$31,0),IF($NP$31="Bell_Curve",$NN$31*(284-$NR$31+1)*($NS$31-284+1)/$NU$31,$NN$31/$NT$31)),0)</f>
        <v/>
      </c>
      <c r="KC31" s="228">
        <f>IF(AND(285&gt;=$NR$31,285&lt;=$NS$31),IF($NP$31="Single_Point",IF(285=$NR$31,$NN$31,0),IF($NP$31="Bell_Curve",$NN$31*(285-$NR$31+1)*($NS$31-285+1)/$NU$31,$NN$31/$NT$31)),0)</f>
        <v/>
      </c>
      <c r="KD31" s="228">
        <f>IF(AND(286&gt;=$NR$31,286&lt;=$NS$31),IF($NP$31="Single_Point",IF(286=$NR$31,$NN$31,0),IF($NP$31="Bell_Curve",$NN$31*(286-$NR$31+1)*($NS$31-286+1)/$NU$31,$NN$31/$NT$31)),0)</f>
        <v/>
      </c>
      <c r="KE31" s="228">
        <f>IF(AND(287&gt;=$NR$31,287&lt;=$NS$31),IF($NP$31="Single_Point",IF(287=$NR$31,$NN$31,0),IF($NP$31="Bell_Curve",$NN$31*(287-$NR$31+1)*($NS$31-287+1)/$NU$31,$NN$31/$NT$31)),0)</f>
        <v/>
      </c>
      <c r="KF31" s="228">
        <f>IF(AND(288&gt;=$NR$31,288&lt;=$NS$31),IF($NP$31="Single_Point",IF(288=$NR$31,$NN$31,0),IF($NP$31="Bell_Curve",$NN$31*(288-$NR$31+1)*($NS$31-288+1)/$NU$31,$NN$31/$NT$31)),0)</f>
        <v/>
      </c>
      <c r="KG31" s="228">
        <f>IF(AND(289&gt;=$NR$31,289&lt;=$NS$31),IF($NP$31="Single_Point",IF(289=$NR$31,$NN$31,0),IF($NP$31="Bell_Curve",$NN$31*(289-$NR$31+1)*($NS$31-289+1)/$NU$31,$NN$31/$NT$31)),0)</f>
        <v/>
      </c>
      <c r="KH31" s="228">
        <f>IF(AND(290&gt;=$NR$31,290&lt;=$NS$31),IF($NP$31="Single_Point",IF(290=$NR$31,$NN$31,0),IF($NP$31="Bell_Curve",$NN$31*(290-$NR$31+1)*($NS$31-290+1)/$NU$31,$NN$31/$NT$31)),0)</f>
        <v/>
      </c>
      <c r="KI31" s="228">
        <f>IF(AND(291&gt;=$NR$31,291&lt;=$NS$31),IF($NP$31="Single_Point",IF(291=$NR$31,$NN$31,0),IF($NP$31="Bell_Curve",$NN$31*(291-$NR$31+1)*($NS$31-291+1)/$NU$31,$NN$31/$NT$31)),0)</f>
        <v/>
      </c>
      <c r="KJ31" s="228">
        <f>IF(AND(292&gt;=$NR$31,292&lt;=$NS$31),IF($NP$31="Single_Point",IF(292=$NR$31,$NN$31,0),IF($NP$31="Bell_Curve",$NN$31*(292-$NR$31+1)*($NS$31-292+1)/$NU$31,$NN$31/$NT$31)),0)</f>
        <v/>
      </c>
      <c r="KK31" s="228">
        <f>IF(AND(293&gt;=$NR$31,293&lt;=$NS$31),IF($NP$31="Single_Point",IF(293=$NR$31,$NN$31,0),IF($NP$31="Bell_Curve",$NN$31*(293-$NR$31+1)*($NS$31-293+1)/$NU$31,$NN$31/$NT$31)),0)</f>
        <v/>
      </c>
      <c r="KL31" s="228">
        <f>IF(AND(294&gt;=$NR$31,294&lt;=$NS$31),IF($NP$31="Single_Point",IF(294=$NR$31,$NN$31,0),IF($NP$31="Bell_Curve",$NN$31*(294-$NR$31+1)*($NS$31-294+1)/$NU$31,$NN$31/$NT$31)),0)</f>
        <v/>
      </c>
      <c r="KM31" s="228">
        <f>IF(AND(295&gt;=$NR$31,295&lt;=$NS$31),IF($NP$31="Single_Point",IF(295=$NR$31,$NN$31,0),IF($NP$31="Bell_Curve",$NN$31*(295-$NR$31+1)*($NS$31-295+1)/$NU$31,$NN$31/$NT$31)),0)</f>
        <v/>
      </c>
      <c r="KN31" s="228">
        <f>IF(AND(296&gt;=$NR$31,296&lt;=$NS$31),IF($NP$31="Single_Point",IF(296=$NR$31,$NN$31,0),IF($NP$31="Bell_Curve",$NN$31*(296-$NR$31+1)*($NS$31-296+1)/$NU$31,$NN$31/$NT$31)),0)</f>
        <v/>
      </c>
      <c r="KO31" s="228">
        <f>IF(AND(297&gt;=$NR$31,297&lt;=$NS$31),IF($NP$31="Single_Point",IF(297=$NR$31,$NN$31,0),IF($NP$31="Bell_Curve",$NN$31*(297-$NR$31+1)*($NS$31-297+1)/$NU$31,$NN$31/$NT$31)),0)</f>
        <v/>
      </c>
      <c r="KP31" s="228">
        <f>IF(AND(298&gt;=$NR$31,298&lt;=$NS$31),IF($NP$31="Single_Point",IF(298=$NR$31,$NN$31,0),IF($NP$31="Bell_Curve",$NN$31*(298-$NR$31+1)*($NS$31-298+1)/$NU$31,$NN$31/$NT$31)),0)</f>
        <v/>
      </c>
      <c r="KQ31" s="228">
        <f>IF(AND(299&gt;=$NR$31,299&lt;=$NS$31),IF($NP$31="Single_Point",IF(299=$NR$31,$NN$31,0),IF($NP$31="Bell_Curve",$NN$31*(299-$NR$31+1)*($NS$31-299+1)/$NU$31,$NN$31/$NT$31)),0)</f>
        <v/>
      </c>
      <c r="KR31" s="228">
        <f>IF(AND(300&gt;=$NR$31,300&lt;=$NS$31),IF($NP$31="Single_Point",IF(300=$NR$31,$NN$31,0),IF($NP$31="Bell_Curve",$NN$31*(300-$NR$31+1)*($NS$31-300+1)/$NU$31,$NN$31/$NT$31)),0)</f>
        <v/>
      </c>
      <c r="KS31" s="228">
        <f>IF(AND(301&gt;=$NR$31,301&lt;=$NS$31),IF($NP$31="Single_Point",IF(301=$NR$31,$NN$31,0),IF($NP$31="Bell_Curve",$NN$31*(301-$NR$31+1)*($NS$31-301+1)/$NU$31,$NN$31/$NT$31)),0)</f>
        <v/>
      </c>
      <c r="KT31" s="228">
        <f>IF(AND(302&gt;=$NR$31,302&lt;=$NS$31),IF($NP$31="Single_Point",IF(302=$NR$31,$NN$31,0),IF($NP$31="Bell_Curve",$NN$31*(302-$NR$31+1)*($NS$31-302+1)/$NU$31,$NN$31/$NT$31)),0)</f>
        <v/>
      </c>
      <c r="KU31" s="228">
        <f>IF(AND(303&gt;=$NR$31,303&lt;=$NS$31),IF($NP$31="Single_Point",IF(303=$NR$31,$NN$31,0),IF($NP$31="Bell_Curve",$NN$31*(303-$NR$31+1)*($NS$31-303+1)/$NU$31,$NN$31/$NT$31)),0)</f>
        <v/>
      </c>
      <c r="KV31" s="228">
        <f>IF(AND(304&gt;=$NR$31,304&lt;=$NS$31),IF($NP$31="Single_Point",IF(304=$NR$31,$NN$31,0),IF($NP$31="Bell_Curve",$NN$31*(304-$NR$31+1)*($NS$31-304+1)/$NU$31,$NN$31/$NT$31)),0)</f>
        <v/>
      </c>
      <c r="KW31" s="228">
        <f>IF(AND(305&gt;=$NR$31,305&lt;=$NS$31),IF($NP$31="Single_Point",IF(305=$NR$31,$NN$31,0),IF($NP$31="Bell_Curve",$NN$31*(305-$NR$31+1)*($NS$31-305+1)/$NU$31,$NN$31/$NT$31)),0)</f>
        <v/>
      </c>
      <c r="KX31" s="228">
        <f>IF(AND(306&gt;=$NR$31,306&lt;=$NS$31),IF($NP$31="Single_Point",IF(306=$NR$31,$NN$31,0),IF($NP$31="Bell_Curve",$NN$31*(306-$NR$31+1)*($NS$31-306+1)/$NU$31,$NN$31/$NT$31)),0)</f>
        <v/>
      </c>
      <c r="KY31" s="228">
        <f>IF(AND(307&gt;=$NR$31,307&lt;=$NS$31),IF($NP$31="Single_Point",IF(307=$NR$31,$NN$31,0),IF($NP$31="Bell_Curve",$NN$31*(307-$NR$31+1)*($NS$31-307+1)/$NU$31,$NN$31/$NT$31)),0)</f>
        <v/>
      </c>
      <c r="KZ31" s="228">
        <f>IF(AND(308&gt;=$NR$31,308&lt;=$NS$31),IF($NP$31="Single_Point",IF(308=$NR$31,$NN$31,0),IF($NP$31="Bell_Curve",$NN$31*(308-$NR$31+1)*($NS$31-308+1)/$NU$31,$NN$31/$NT$31)),0)</f>
        <v/>
      </c>
      <c r="LA31" s="228">
        <f>IF(AND(309&gt;=$NR$31,309&lt;=$NS$31),IF($NP$31="Single_Point",IF(309=$NR$31,$NN$31,0),IF($NP$31="Bell_Curve",$NN$31*(309-$NR$31+1)*($NS$31-309+1)/$NU$31,$NN$31/$NT$31)),0)</f>
        <v/>
      </c>
      <c r="LB31" s="228">
        <f>IF(AND(310&gt;=$NR$31,310&lt;=$NS$31),IF($NP$31="Single_Point",IF(310=$NR$31,$NN$31,0),IF($NP$31="Bell_Curve",$NN$31*(310-$NR$31+1)*($NS$31-310+1)/$NU$31,$NN$31/$NT$31)),0)</f>
        <v/>
      </c>
      <c r="LC31" s="228">
        <f>IF(AND(311&gt;=$NR$31,311&lt;=$NS$31),IF($NP$31="Single_Point",IF(311=$NR$31,$NN$31,0),IF($NP$31="Bell_Curve",$NN$31*(311-$NR$31+1)*($NS$31-311+1)/$NU$31,$NN$31/$NT$31)),0)</f>
        <v/>
      </c>
      <c r="LD31" s="228">
        <f>IF(AND(312&gt;=$NR$31,312&lt;=$NS$31),IF($NP$31="Single_Point",IF(312=$NR$31,$NN$31,0),IF($NP$31="Bell_Curve",$NN$31*(312-$NR$31+1)*($NS$31-312+1)/$NU$31,$NN$31/$NT$31)),0)</f>
        <v/>
      </c>
      <c r="LE31" s="228">
        <f>IF(AND(313&gt;=$NR$31,313&lt;=$NS$31),IF($NP$31="Single_Point",IF(313=$NR$31,$NN$31,0),IF($NP$31="Bell_Curve",$NN$31*(313-$NR$31+1)*($NS$31-313+1)/$NU$31,$NN$31/$NT$31)),0)</f>
        <v/>
      </c>
      <c r="LF31" s="228">
        <f>IF(AND(314&gt;=$NR$31,314&lt;=$NS$31),IF($NP$31="Single_Point",IF(314=$NR$31,$NN$31,0),IF($NP$31="Bell_Curve",$NN$31*(314-$NR$31+1)*($NS$31-314+1)/$NU$31,$NN$31/$NT$31)),0)</f>
        <v/>
      </c>
      <c r="LG31" s="228">
        <f>IF(AND(315&gt;=$NR$31,315&lt;=$NS$31),IF($NP$31="Single_Point",IF(315=$NR$31,$NN$31,0),IF($NP$31="Bell_Curve",$NN$31*(315-$NR$31+1)*($NS$31-315+1)/$NU$31,$NN$31/$NT$31)),0)</f>
        <v/>
      </c>
      <c r="LH31" s="228">
        <f>IF(AND(316&gt;=$NR$31,316&lt;=$NS$31),IF($NP$31="Single_Point",IF(316=$NR$31,$NN$31,0),IF($NP$31="Bell_Curve",$NN$31*(316-$NR$31+1)*($NS$31-316+1)/$NU$31,$NN$31/$NT$31)),0)</f>
        <v/>
      </c>
      <c r="LI31" s="228">
        <f>IF(AND(317&gt;=$NR$31,317&lt;=$NS$31),IF($NP$31="Single_Point",IF(317=$NR$31,$NN$31,0),IF($NP$31="Bell_Curve",$NN$31*(317-$NR$31+1)*($NS$31-317+1)/$NU$31,$NN$31/$NT$31)),0)</f>
        <v/>
      </c>
      <c r="LJ31" s="228">
        <f>IF(AND(318&gt;=$NR$31,318&lt;=$NS$31),IF($NP$31="Single_Point",IF(318=$NR$31,$NN$31,0),IF($NP$31="Bell_Curve",$NN$31*(318-$NR$31+1)*($NS$31-318+1)/$NU$31,$NN$31/$NT$31)),0)</f>
        <v/>
      </c>
      <c r="LK31" s="228">
        <f>IF(AND(319&gt;=$NR$31,319&lt;=$NS$31),IF($NP$31="Single_Point",IF(319=$NR$31,$NN$31,0),IF($NP$31="Bell_Curve",$NN$31*(319-$NR$31+1)*($NS$31-319+1)/$NU$31,$NN$31/$NT$31)),0)</f>
        <v/>
      </c>
      <c r="LL31" s="228">
        <f>IF(AND(320&gt;=$NR$31,320&lt;=$NS$31),IF($NP$31="Single_Point",IF(320=$NR$31,$NN$31,0),IF($NP$31="Bell_Curve",$NN$31*(320-$NR$31+1)*($NS$31-320+1)/$NU$31,$NN$31/$NT$31)),0)</f>
        <v/>
      </c>
      <c r="LM31" s="228">
        <f>IF(AND(321&gt;=$NR$31,321&lt;=$NS$31),IF($NP$31="Single_Point",IF(321=$NR$31,$NN$31,0),IF($NP$31="Bell_Curve",$NN$31*(321-$NR$31+1)*($NS$31-321+1)/$NU$31,$NN$31/$NT$31)),0)</f>
        <v/>
      </c>
      <c r="LN31" s="228">
        <f>IF(AND(322&gt;=$NR$31,322&lt;=$NS$31),IF($NP$31="Single_Point",IF(322=$NR$31,$NN$31,0),IF($NP$31="Bell_Curve",$NN$31*(322-$NR$31+1)*($NS$31-322+1)/$NU$31,$NN$31/$NT$31)),0)</f>
        <v/>
      </c>
      <c r="LO31" s="228">
        <f>IF(AND(323&gt;=$NR$31,323&lt;=$NS$31),IF($NP$31="Single_Point",IF(323=$NR$31,$NN$31,0),IF($NP$31="Bell_Curve",$NN$31*(323-$NR$31+1)*($NS$31-323+1)/$NU$31,$NN$31/$NT$31)),0)</f>
        <v/>
      </c>
      <c r="LP31" s="228">
        <f>IF(AND(324&gt;=$NR$31,324&lt;=$NS$31),IF($NP$31="Single_Point",IF(324=$NR$31,$NN$31,0),IF($NP$31="Bell_Curve",$NN$31*(324-$NR$31+1)*($NS$31-324+1)/$NU$31,$NN$31/$NT$31)),0)</f>
        <v/>
      </c>
      <c r="LQ31" s="228">
        <f>IF(AND(325&gt;=$NR$31,325&lt;=$NS$31),IF($NP$31="Single_Point",IF(325=$NR$31,$NN$31,0),IF($NP$31="Bell_Curve",$NN$31*(325-$NR$31+1)*($NS$31-325+1)/$NU$31,$NN$31/$NT$31)),0)</f>
        <v/>
      </c>
      <c r="LR31" s="228">
        <f>IF(AND(326&gt;=$NR$31,326&lt;=$NS$31),IF($NP$31="Single_Point",IF(326=$NR$31,$NN$31,0),IF($NP$31="Bell_Curve",$NN$31*(326-$NR$31+1)*($NS$31-326+1)/$NU$31,$NN$31/$NT$31)),0)</f>
        <v/>
      </c>
      <c r="LS31" s="228">
        <f>IF(AND(327&gt;=$NR$31,327&lt;=$NS$31),IF($NP$31="Single_Point",IF(327=$NR$31,$NN$31,0),IF($NP$31="Bell_Curve",$NN$31*(327-$NR$31+1)*($NS$31-327+1)/$NU$31,$NN$31/$NT$31)),0)</f>
        <v/>
      </c>
      <c r="LT31" s="228">
        <f>IF(AND(328&gt;=$NR$31,328&lt;=$NS$31),IF($NP$31="Single_Point",IF(328=$NR$31,$NN$31,0),IF($NP$31="Bell_Curve",$NN$31*(328-$NR$31+1)*($NS$31-328+1)/$NU$31,$NN$31/$NT$31)),0)</f>
        <v/>
      </c>
      <c r="LU31" s="228">
        <f>IF(AND(329&gt;=$NR$31,329&lt;=$NS$31),IF($NP$31="Single_Point",IF(329=$NR$31,$NN$31,0),IF($NP$31="Bell_Curve",$NN$31*(329-$NR$31+1)*($NS$31-329+1)/$NU$31,$NN$31/$NT$31)),0)</f>
        <v/>
      </c>
      <c r="LV31" s="228">
        <f>IF(AND(330&gt;=$NR$31,330&lt;=$NS$31),IF($NP$31="Single_Point",IF(330=$NR$31,$NN$31,0),IF($NP$31="Bell_Curve",$NN$31*(330-$NR$31+1)*($NS$31-330+1)/$NU$31,$NN$31/$NT$31)),0)</f>
        <v/>
      </c>
      <c r="LW31" s="228">
        <f>IF(AND(331&gt;=$NR$31,331&lt;=$NS$31),IF($NP$31="Single_Point",IF(331=$NR$31,$NN$31,0),IF($NP$31="Bell_Curve",$NN$31*(331-$NR$31+1)*($NS$31-331+1)/$NU$31,$NN$31/$NT$31)),0)</f>
        <v/>
      </c>
      <c r="LX31" s="228">
        <f>IF(AND(332&gt;=$NR$31,332&lt;=$NS$31),IF($NP$31="Single_Point",IF(332=$NR$31,$NN$31,0),IF($NP$31="Bell_Curve",$NN$31*(332-$NR$31+1)*($NS$31-332+1)/$NU$31,$NN$31/$NT$31)),0)</f>
        <v/>
      </c>
      <c r="LY31" s="228">
        <f>IF(AND(333&gt;=$NR$31,333&lt;=$NS$31),IF($NP$31="Single_Point",IF(333=$NR$31,$NN$31,0),IF($NP$31="Bell_Curve",$NN$31*(333-$NR$31+1)*($NS$31-333+1)/$NU$31,$NN$31/$NT$31)),0)</f>
        <v/>
      </c>
      <c r="LZ31" s="228">
        <f>IF(AND(334&gt;=$NR$31,334&lt;=$NS$31),IF($NP$31="Single_Point",IF(334=$NR$31,$NN$31,0),IF($NP$31="Bell_Curve",$NN$31*(334-$NR$31+1)*($NS$31-334+1)/$NU$31,$NN$31/$NT$31)),0)</f>
        <v/>
      </c>
      <c r="MA31" s="228">
        <f>IF(AND(335&gt;=$NR$31,335&lt;=$NS$31),IF($NP$31="Single_Point",IF(335=$NR$31,$NN$31,0),IF($NP$31="Bell_Curve",$NN$31*(335-$NR$31+1)*($NS$31-335+1)/$NU$31,$NN$31/$NT$31)),0)</f>
        <v/>
      </c>
      <c r="MB31" s="228">
        <f>IF(AND(336&gt;=$NR$31,336&lt;=$NS$31),IF($NP$31="Single_Point",IF(336=$NR$31,$NN$31,0),IF($NP$31="Bell_Curve",$NN$31*(336-$NR$31+1)*($NS$31-336+1)/$NU$31,$NN$31/$NT$31)),0)</f>
        <v/>
      </c>
      <c r="MC31" s="228">
        <f>IF(AND(337&gt;=$NR$31,337&lt;=$NS$31),IF($NP$31="Single_Point",IF(337=$NR$31,$NN$31,0),IF($NP$31="Bell_Curve",$NN$31*(337-$NR$31+1)*($NS$31-337+1)/$NU$31,$NN$31/$NT$31)),0)</f>
        <v/>
      </c>
      <c r="MD31" s="228">
        <f>IF(AND(338&gt;=$NR$31,338&lt;=$NS$31),IF($NP$31="Single_Point",IF(338=$NR$31,$NN$31,0),IF($NP$31="Bell_Curve",$NN$31*(338-$NR$31+1)*($NS$31-338+1)/$NU$31,$NN$31/$NT$31)),0)</f>
        <v/>
      </c>
      <c r="ME31" s="228">
        <f>IF(AND(339&gt;=$NR$31,339&lt;=$NS$31),IF($NP$31="Single_Point",IF(339=$NR$31,$NN$31,0),IF($NP$31="Bell_Curve",$NN$31*(339-$NR$31+1)*($NS$31-339+1)/$NU$31,$NN$31/$NT$31)),0)</f>
        <v/>
      </c>
      <c r="MF31" s="228">
        <f>IF(AND(340&gt;=$NR$31,340&lt;=$NS$31),IF($NP$31="Single_Point",IF(340=$NR$31,$NN$31,0),IF($NP$31="Bell_Curve",$NN$31*(340-$NR$31+1)*($NS$31-340+1)/$NU$31,$NN$31/$NT$31)),0)</f>
        <v/>
      </c>
      <c r="MG31" s="228">
        <f>IF(AND(341&gt;=$NR$31,341&lt;=$NS$31),IF($NP$31="Single_Point",IF(341=$NR$31,$NN$31,0),IF($NP$31="Bell_Curve",$NN$31*(341-$NR$31+1)*($NS$31-341+1)/$NU$31,$NN$31/$NT$31)),0)</f>
        <v/>
      </c>
      <c r="MH31" s="228">
        <f>IF(AND(342&gt;=$NR$31,342&lt;=$NS$31),IF($NP$31="Single_Point",IF(342=$NR$31,$NN$31,0),IF($NP$31="Bell_Curve",$NN$31*(342-$NR$31+1)*($NS$31-342+1)/$NU$31,$NN$31/$NT$31)),0)</f>
        <v/>
      </c>
      <c r="MI31" s="228">
        <f>IF(AND(343&gt;=$NR$31,343&lt;=$NS$31),IF($NP$31="Single_Point",IF(343=$NR$31,$NN$31,0),IF($NP$31="Bell_Curve",$NN$31*(343-$NR$31+1)*($NS$31-343+1)/$NU$31,$NN$31/$NT$31)),0)</f>
        <v/>
      </c>
      <c r="MJ31" s="228">
        <f>IF(AND(344&gt;=$NR$31,344&lt;=$NS$31),IF($NP$31="Single_Point",IF(344=$NR$31,$NN$31,0),IF($NP$31="Bell_Curve",$NN$31*(344-$NR$31+1)*($NS$31-344+1)/$NU$31,$NN$31/$NT$31)),0)</f>
        <v/>
      </c>
      <c r="MK31" s="228">
        <f>IF(AND(345&gt;=$NR$31,345&lt;=$NS$31),IF($NP$31="Single_Point",IF(345=$NR$31,$NN$31,0),IF($NP$31="Bell_Curve",$NN$31*(345-$NR$31+1)*($NS$31-345+1)/$NU$31,$NN$31/$NT$31)),0)</f>
        <v/>
      </c>
      <c r="ML31" s="228">
        <f>IF(AND(346&gt;=$NR$31,346&lt;=$NS$31),IF($NP$31="Single_Point",IF(346=$NR$31,$NN$31,0),IF($NP$31="Bell_Curve",$NN$31*(346-$NR$31+1)*($NS$31-346+1)/$NU$31,$NN$31/$NT$31)),0)</f>
        <v/>
      </c>
      <c r="MM31" s="228">
        <f>IF(AND(347&gt;=$NR$31,347&lt;=$NS$31),IF($NP$31="Single_Point",IF(347=$NR$31,$NN$31,0),IF($NP$31="Bell_Curve",$NN$31*(347-$NR$31+1)*($NS$31-347+1)/$NU$31,$NN$31/$NT$31)),0)</f>
        <v/>
      </c>
      <c r="MN31" s="228">
        <f>IF(AND(348&gt;=$NR$31,348&lt;=$NS$31),IF($NP$31="Single_Point",IF(348=$NR$31,$NN$31,0),IF($NP$31="Bell_Curve",$NN$31*(348-$NR$31+1)*($NS$31-348+1)/$NU$31,$NN$31/$NT$31)),0)</f>
        <v/>
      </c>
      <c r="MO31" s="228">
        <f>IF(AND(349&gt;=$NR$31,349&lt;=$NS$31),IF($NP$31="Single_Point",IF(349=$NR$31,$NN$31,0),IF($NP$31="Bell_Curve",$NN$31*(349-$NR$31+1)*($NS$31-349+1)/$NU$31,$NN$31/$NT$31)),0)</f>
        <v/>
      </c>
      <c r="MP31" s="228">
        <f>IF(AND(350&gt;=$NR$31,350&lt;=$NS$31),IF($NP$31="Single_Point",IF(350=$NR$31,$NN$31,0),IF($NP$31="Bell_Curve",$NN$31*(350-$NR$31+1)*($NS$31-350+1)/$NU$31,$NN$31/$NT$31)),0)</f>
        <v/>
      </c>
      <c r="MQ31" s="228">
        <f>IF(AND(351&gt;=$NR$31,351&lt;=$NS$31),IF($NP$31="Single_Point",IF(351=$NR$31,$NN$31,0),IF($NP$31="Bell_Curve",$NN$31*(351-$NR$31+1)*($NS$31-351+1)/$NU$31,$NN$31/$NT$31)),0)</f>
        <v/>
      </c>
      <c r="MR31" s="228">
        <f>IF(AND(352&gt;=$NR$31,352&lt;=$NS$31),IF($NP$31="Single_Point",IF(352=$NR$31,$NN$31,0),IF($NP$31="Bell_Curve",$NN$31*(352-$NR$31+1)*($NS$31-352+1)/$NU$31,$NN$31/$NT$31)),0)</f>
        <v/>
      </c>
      <c r="MS31" s="228">
        <f>IF(AND(353&gt;=$NR$31,353&lt;=$NS$31),IF($NP$31="Single_Point",IF(353=$NR$31,$NN$31,0),IF($NP$31="Bell_Curve",$NN$31*(353-$NR$31+1)*($NS$31-353+1)/$NU$31,$NN$31/$NT$31)),0)</f>
        <v/>
      </c>
      <c r="MT31" s="228">
        <f>IF(AND(354&gt;=$NR$31,354&lt;=$NS$31),IF($NP$31="Single_Point",IF(354=$NR$31,$NN$31,0),IF($NP$31="Bell_Curve",$NN$31*(354-$NR$31+1)*($NS$31-354+1)/$NU$31,$NN$31/$NT$31)),0)</f>
        <v/>
      </c>
      <c r="MU31" s="228">
        <f>IF(AND(355&gt;=$NR$31,355&lt;=$NS$31),IF($NP$31="Single_Point",IF(355=$NR$31,$NN$31,0),IF($NP$31="Bell_Curve",$NN$31*(355-$NR$31+1)*($NS$31-355+1)/$NU$31,$NN$31/$NT$31)),0)</f>
        <v/>
      </c>
      <c r="MV31" s="228">
        <f>IF(AND(356&gt;=$NR$31,356&lt;=$NS$31),IF($NP$31="Single_Point",IF(356=$NR$31,$NN$31,0),IF($NP$31="Bell_Curve",$NN$31*(356-$NR$31+1)*($NS$31-356+1)/$NU$31,$NN$31/$NT$31)),0)</f>
        <v/>
      </c>
      <c r="MW31" s="228">
        <f>IF(AND(357&gt;=$NR$31,357&lt;=$NS$31),IF($NP$31="Single_Point",IF(357=$NR$31,$NN$31,0),IF($NP$31="Bell_Curve",$NN$31*(357-$NR$31+1)*($NS$31-357+1)/$NU$31,$NN$31/$NT$31)),0)</f>
        <v/>
      </c>
      <c r="MX31" s="228">
        <f>IF(AND(358&gt;=$NR$31,358&lt;=$NS$31),IF($NP$31="Single_Point",IF(358=$NR$31,$NN$31,0),IF($NP$31="Bell_Curve",$NN$31*(358-$NR$31+1)*($NS$31-358+1)/$NU$31,$NN$31/$NT$31)),0)</f>
        <v/>
      </c>
      <c r="MY31" s="228">
        <f>IF(AND(359&gt;=$NR$31,359&lt;=$NS$31),IF($NP$31="Single_Point",IF(359=$NR$31,$NN$31,0),IF($NP$31="Bell_Curve",$NN$31*(359-$NR$31+1)*($NS$31-359+1)/$NU$31,$NN$31/$NT$31)),0)</f>
        <v/>
      </c>
      <c r="MZ31" s="228">
        <f>IF(AND(360&gt;=$NR$31,360&lt;=$NS$31),IF($NP$31="Single_Point",IF(360=$NR$31,$NN$31,0),IF($NP$31="Bell_Curve",$NN$31*(360-$NR$31+1)*($NS$31-360+1)/$NU$31,$NN$31/$NT$31)),0)</f>
        <v/>
      </c>
      <c r="NA31" s="228">
        <f>IF(AND(361&gt;=$NR$31,361&lt;=$NS$31),IF($NP$31="Single_Point",IF(361=$NR$31,$NN$31,0),IF($NP$31="Bell_Curve",$NN$31*(361-$NR$31+1)*($NS$31-361+1)/$NU$31,$NN$31/$NT$31)),0)</f>
        <v/>
      </c>
      <c r="NB31" s="228">
        <f>IF(AND(362&gt;=$NR$31,362&lt;=$NS$31),IF($NP$31="Single_Point",IF(362=$NR$31,$NN$31,0),IF($NP$31="Bell_Curve",$NN$31*(362-$NR$31+1)*($NS$31-362+1)/$NU$31,$NN$31/$NT$31)),0)</f>
        <v/>
      </c>
      <c r="NC31" s="228">
        <f>IF(AND(363&gt;=$NR$31,363&lt;=$NS$31),IF($NP$31="Single_Point",IF(363=$NR$31,$NN$31,0),IF($NP$31="Bell_Curve",$NN$31*(363-$NR$31+1)*($NS$31-363+1)/$NU$31,$NN$31/$NT$31)),0)</f>
        <v/>
      </c>
      <c r="ND31" s="228">
        <f>IF(AND(364&gt;=$NR$31,364&lt;=$NS$31),IF($NP$31="Single_Point",IF(364=$NR$31,$NN$31,0),IF($NP$31="Bell_Curve",$NN$31*(364-$NR$31+1)*($NS$31-364+1)/$NU$31,$NN$31/$NT$31)),0)</f>
        <v/>
      </c>
      <c r="NE31" s="228">
        <f>IF(AND(365&gt;=$NR$31,365&lt;=$NS$31),IF($NP$31="Single_Point",IF(365=$NR$31,$NN$31,0),IF($NP$31="Bell_Curve",$NN$31*(365-$NR$31+1)*($NS$31-365+1)/$NU$31,$NN$31/$NT$31)),0)</f>
        <v/>
      </c>
      <c r="NF31" s="228">
        <f>IF(AND(366&gt;=$NR$31,366&lt;=$NS$31),IF($NP$31="Single_Point",IF(366=$NR$31,$NN$31,0),IF($NP$31="Bell_Curve",$NN$31*(366-$NR$31+1)*($NS$31-366+1)/$NU$31,$NN$31/$NT$31)),0)</f>
        <v/>
      </c>
      <c r="NG31" s="228">
        <f>IF(AND(367&gt;=$NR$31,367&lt;=$NS$31),IF($NP$31="Single_Point",IF(367=$NR$31,$NN$31,0),IF($NP$31="Bell_Curve",$NN$31*(367-$NR$31+1)*($NS$31-367+1)/$NU$31,$NN$31/$NT$31)),0)</f>
        <v/>
      </c>
      <c r="NH31" s="228">
        <f>IF(AND(368&gt;=$NR$31,368&lt;=$NS$31),IF($NP$31="Single_Point",IF(368=$NR$31,$NN$31,0),IF($NP$31="Bell_Curve",$NN$31*(368-$NR$31+1)*($NS$31-368+1)/$NU$31,$NN$31/$NT$31)),0)</f>
        <v/>
      </c>
      <c r="NI31" s="228">
        <f>IF(AND(369&gt;=$NR$31,369&lt;=$NS$31),IF($NP$31="Single_Point",IF(369=$NR$31,$NN$31,0),IF($NP$31="Bell_Curve",$NN$31*(369-$NR$31+1)*($NS$31-369+1)/$NU$31,$NN$31/$NT$31)),0)</f>
        <v/>
      </c>
      <c r="NJ31" s="228">
        <f>IF(AND(370&gt;=$NR$31,370&lt;=$NS$31),IF($NP$31="Single_Point",IF(370=$NR$31,$NN$31,0),IF($NP$31="Bell_Curve",$NN$31*(370-$NR$31+1)*($NS$31-370+1)/$NU$31,$NN$31/$NT$31)),0)</f>
        <v/>
      </c>
      <c r="NK31" s="228">
        <f>IF(AND(371&gt;=$NR$31,371&lt;=$NS$31),IF($NP$31="Single_Point",IF(371=$NR$31,$NN$31,0),IF($NP$31="Bell_Curve",$NN$31*(371-$NR$31+1)*($NS$31-371+1)/$NU$31,$NN$31/$NT$31)),0)</f>
        <v/>
      </c>
      <c r="NL31" s="247">
        <f>IF(AND(372&gt;=$NR$31,372&lt;=$NS$31),IF($NP$31="Single_Point",IF(372=$NR$31,$NN$31,0),IF($NP$31="Bell_Curve",$NN$31*(372-$NR$31+1)*($NS$31-372+1)/$NU$31,$NN$31/$NT$31)),0)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36" t="inlineStr">
        <is>
          <t>Other Hard Cost 6</t>
        </is>
      </c>
      <c r="D32" s="246">
        <f>SUM(E32:NL32)</f>
        <v/>
      </c>
      <c r="E32" s="228">
        <f>IF(AND(1&gt;=$NR$32,1&lt;=$NS$32),IF($NP$32="Single_Point",IF(1=$NR$32,$NN$32,0),IF($NP$32="Bell_Curve",$NN$32*(1-$NR$32+1)*($NS$32-1+1)/$NU$32,$NN$32/$NT$32)),0)</f>
        <v/>
      </c>
      <c r="F32" s="228">
        <f>IF(AND(2&gt;=$NR$32,2&lt;=$NS$32),IF($NP$32="Single_Point",IF(2=$NR$32,$NN$32,0),IF($NP$32="Bell_Curve",$NN$32*(2-$NR$32+1)*($NS$32-2+1)/$NU$32,$NN$32/$NT$32)),0)</f>
        <v/>
      </c>
      <c r="G32" s="228">
        <f>IF(AND(3&gt;=$NR$32,3&lt;=$NS$32),IF($NP$32="Single_Point",IF(3=$NR$32,$NN$32,0),IF($NP$32="Bell_Curve",$NN$32*(3-$NR$32+1)*($NS$32-3+1)/$NU$32,$NN$32/$NT$32)),0)</f>
        <v/>
      </c>
      <c r="H32" s="228">
        <f>IF(AND(4&gt;=$NR$32,4&lt;=$NS$32),IF($NP$32="Single_Point",IF(4=$NR$32,$NN$32,0),IF($NP$32="Bell_Curve",$NN$32*(4-$NR$32+1)*($NS$32-4+1)/$NU$32,$NN$32/$NT$32)),0)</f>
        <v/>
      </c>
      <c r="I32" s="228">
        <f>IF(AND(5&gt;=$NR$32,5&lt;=$NS$32),IF($NP$32="Single_Point",IF(5=$NR$32,$NN$32,0),IF($NP$32="Bell_Curve",$NN$32*(5-$NR$32+1)*($NS$32-5+1)/$NU$32,$NN$32/$NT$32)),0)</f>
        <v/>
      </c>
      <c r="J32" s="228">
        <f>IF(AND(6&gt;=$NR$32,6&lt;=$NS$32),IF($NP$32="Single_Point",IF(6=$NR$32,$NN$32,0),IF($NP$32="Bell_Curve",$NN$32*(6-$NR$32+1)*($NS$32-6+1)/$NU$32,$NN$32/$NT$32)),0)</f>
        <v/>
      </c>
      <c r="K32" s="228">
        <f>IF(AND(7&gt;=$NR$32,7&lt;=$NS$32),IF($NP$32="Single_Point",IF(7=$NR$32,$NN$32,0),IF($NP$32="Bell_Curve",$NN$32*(7-$NR$32+1)*($NS$32-7+1)/$NU$32,$NN$32/$NT$32)),0)</f>
        <v/>
      </c>
      <c r="L32" s="228">
        <f>IF(AND(8&gt;=$NR$32,8&lt;=$NS$32),IF($NP$32="Single_Point",IF(8=$NR$32,$NN$32,0),IF($NP$32="Bell_Curve",$NN$32*(8-$NR$32+1)*($NS$32-8+1)/$NU$32,$NN$32/$NT$32)),0)</f>
        <v/>
      </c>
      <c r="M32" s="228">
        <f>IF(AND(9&gt;=$NR$32,9&lt;=$NS$32),IF($NP$32="Single_Point",IF(9=$NR$32,$NN$32,0),IF($NP$32="Bell_Curve",$NN$32*(9-$NR$32+1)*($NS$32-9+1)/$NU$32,$NN$32/$NT$32)),0)</f>
        <v/>
      </c>
      <c r="N32" s="228">
        <f>IF(AND(10&gt;=$NR$32,10&lt;=$NS$32),IF($NP$32="Single_Point",IF(10=$NR$32,$NN$32,0),IF($NP$32="Bell_Curve",$NN$32*(10-$NR$32+1)*($NS$32-10+1)/$NU$32,$NN$32/$NT$32)),0)</f>
        <v/>
      </c>
      <c r="O32" s="228">
        <f>IF(AND(11&gt;=$NR$32,11&lt;=$NS$32),IF($NP$32="Single_Point",IF(11=$NR$32,$NN$32,0),IF($NP$32="Bell_Curve",$NN$32*(11-$NR$32+1)*($NS$32-11+1)/$NU$32,$NN$32/$NT$32)),0)</f>
        <v/>
      </c>
      <c r="P32" s="228">
        <f>IF(AND(12&gt;=$NR$32,12&lt;=$NS$32),IF($NP$32="Single_Point",IF(12=$NR$32,$NN$32,0),IF($NP$32="Bell_Curve",$NN$32*(12-$NR$32+1)*($NS$32-12+1)/$NU$32,$NN$32/$NT$32)),0)</f>
        <v/>
      </c>
      <c r="Q32" s="228">
        <f>IF(AND(13&gt;=$NR$32,13&lt;=$NS$32),IF($NP$32="Single_Point",IF(13=$NR$32,$NN$32,0),IF($NP$32="Bell_Curve",$NN$32*(13-$NR$32+1)*($NS$32-13+1)/$NU$32,$NN$32/$NT$32)),0)</f>
        <v/>
      </c>
      <c r="R32" s="228">
        <f>IF(AND(14&gt;=$NR$32,14&lt;=$NS$32),IF($NP$32="Single_Point",IF(14=$NR$32,$NN$32,0),IF($NP$32="Bell_Curve",$NN$32*(14-$NR$32+1)*($NS$32-14+1)/$NU$32,$NN$32/$NT$32)),0)</f>
        <v/>
      </c>
      <c r="S32" s="228">
        <f>IF(AND(15&gt;=$NR$32,15&lt;=$NS$32),IF($NP$32="Single_Point",IF(15=$NR$32,$NN$32,0),IF($NP$32="Bell_Curve",$NN$32*(15-$NR$32+1)*($NS$32-15+1)/$NU$32,$NN$32/$NT$32)),0)</f>
        <v/>
      </c>
      <c r="T32" s="228">
        <f>IF(AND(16&gt;=$NR$32,16&lt;=$NS$32),IF($NP$32="Single_Point",IF(16=$NR$32,$NN$32,0),IF($NP$32="Bell_Curve",$NN$32*(16-$NR$32+1)*($NS$32-16+1)/$NU$32,$NN$32/$NT$32)),0)</f>
        <v/>
      </c>
      <c r="U32" s="228">
        <f>IF(AND(17&gt;=$NR$32,17&lt;=$NS$32),IF($NP$32="Single_Point",IF(17=$NR$32,$NN$32,0),IF($NP$32="Bell_Curve",$NN$32*(17-$NR$32+1)*($NS$32-17+1)/$NU$32,$NN$32/$NT$32)),0)</f>
        <v/>
      </c>
      <c r="V32" s="228">
        <f>IF(AND(18&gt;=$NR$32,18&lt;=$NS$32),IF($NP$32="Single_Point",IF(18=$NR$32,$NN$32,0),IF($NP$32="Bell_Curve",$NN$32*(18-$NR$32+1)*($NS$32-18+1)/$NU$32,$NN$32/$NT$32)),0)</f>
        <v/>
      </c>
      <c r="W32" s="228">
        <f>IF(AND(19&gt;=$NR$32,19&lt;=$NS$32),IF($NP$32="Single_Point",IF(19=$NR$32,$NN$32,0),IF($NP$32="Bell_Curve",$NN$32*(19-$NR$32+1)*($NS$32-19+1)/$NU$32,$NN$32/$NT$32)),0)</f>
        <v/>
      </c>
      <c r="X32" s="228">
        <f>IF(AND(20&gt;=$NR$32,20&lt;=$NS$32),IF($NP$32="Single_Point",IF(20=$NR$32,$NN$32,0),IF($NP$32="Bell_Curve",$NN$32*(20-$NR$32+1)*($NS$32-20+1)/$NU$32,$NN$32/$NT$32)),0)</f>
        <v/>
      </c>
      <c r="Y32" s="228">
        <f>IF(AND(21&gt;=$NR$32,21&lt;=$NS$32),IF($NP$32="Single_Point",IF(21=$NR$32,$NN$32,0),IF($NP$32="Bell_Curve",$NN$32*(21-$NR$32+1)*($NS$32-21+1)/$NU$32,$NN$32/$NT$32)),0)</f>
        <v/>
      </c>
      <c r="Z32" s="228">
        <f>IF(AND(22&gt;=$NR$32,22&lt;=$NS$32),IF($NP$32="Single_Point",IF(22=$NR$32,$NN$32,0),IF($NP$32="Bell_Curve",$NN$32*(22-$NR$32+1)*($NS$32-22+1)/$NU$32,$NN$32/$NT$32)),0)</f>
        <v/>
      </c>
      <c r="AA32" s="228">
        <f>IF(AND(23&gt;=$NR$32,23&lt;=$NS$32),IF($NP$32="Single_Point",IF(23=$NR$32,$NN$32,0),IF($NP$32="Bell_Curve",$NN$32*(23-$NR$32+1)*($NS$32-23+1)/$NU$32,$NN$32/$NT$32)),0)</f>
        <v/>
      </c>
      <c r="AB32" s="228">
        <f>IF(AND(24&gt;=$NR$32,24&lt;=$NS$32),IF($NP$32="Single_Point",IF(24=$NR$32,$NN$32,0),IF($NP$32="Bell_Curve",$NN$32*(24-$NR$32+1)*($NS$32-24+1)/$NU$32,$NN$32/$NT$32)),0)</f>
        <v/>
      </c>
      <c r="AC32" s="228">
        <f>IF(AND(25&gt;=$NR$32,25&lt;=$NS$32),IF($NP$32="Single_Point",IF(25=$NR$32,$NN$32,0),IF($NP$32="Bell_Curve",$NN$32*(25-$NR$32+1)*($NS$32-25+1)/$NU$32,$NN$32/$NT$32)),0)</f>
        <v/>
      </c>
      <c r="AD32" s="228">
        <f>IF(AND(26&gt;=$NR$32,26&lt;=$NS$32),IF($NP$32="Single_Point",IF(26=$NR$32,$NN$32,0),IF($NP$32="Bell_Curve",$NN$32*(26-$NR$32+1)*($NS$32-26+1)/$NU$32,$NN$32/$NT$32)),0)</f>
        <v/>
      </c>
      <c r="AE32" s="228">
        <f>IF(AND(27&gt;=$NR$32,27&lt;=$NS$32),IF($NP$32="Single_Point",IF(27=$NR$32,$NN$32,0),IF($NP$32="Bell_Curve",$NN$32*(27-$NR$32+1)*($NS$32-27+1)/$NU$32,$NN$32/$NT$32)),0)</f>
        <v/>
      </c>
      <c r="AF32" s="228">
        <f>IF(AND(28&gt;=$NR$32,28&lt;=$NS$32),IF($NP$32="Single_Point",IF(28=$NR$32,$NN$32,0),IF($NP$32="Bell_Curve",$NN$32*(28-$NR$32+1)*($NS$32-28+1)/$NU$32,$NN$32/$NT$32)),0)</f>
        <v/>
      </c>
      <c r="AG32" s="228">
        <f>IF(AND(29&gt;=$NR$32,29&lt;=$NS$32),IF($NP$32="Single_Point",IF(29=$NR$32,$NN$32,0),IF($NP$32="Bell_Curve",$NN$32*(29-$NR$32+1)*($NS$32-29+1)/$NU$32,$NN$32/$NT$32)),0)</f>
        <v/>
      </c>
      <c r="AH32" s="228">
        <f>IF(AND(30&gt;=$NR$32,30&lt;=$NS$32),IF($NP$32="Single_Point",IF(30=$NR$32,$NN$32,0),IF($NP$32="Bell_Curve",$NN$32*(30-$NR$32+1)*($NS$32-30+1)/$NU$32,$NN$32/$NT$32)),0)</f>
        <v/>
      </c>
      <c r="AI32" s="228">
        <f>IF(AND(31&gt;=$NR$32,31&lt;=$NS$32),IF($NP$32="Single_Point",IF(31=$NR$32,$NN$32,0),IF($NP$32="Bell_Curve",$NN$32*(31-$NR$32+1)*($NS$32-31+1)/$NU$32,$NN$32/$NT$32)),0)</f>
        <v/>
      </c>
      <c r="AJ32" s="228">
        <f>IF(AND(32&gt;=$NR$32,32&lt;=$NS$32),IF($NP$32="Single_Point",IF(32=$NR$32,$NN$32,0),IF($NP$32="Bell_Curve",$NN$32*(32-$NR$32+1)*($NS$32-32+1)/$NU$32,$NN$32/$NT$32)),0)</f>
        <v/>
      </c>
      <c r="AK32" s="228">
        <f>IF(AND(33&gt;=$NR$32,33&lt;=$NS$32),IF($NP$32="Single_Point",IF(33=$NR$32,$NN$32,0),IF($NP$32="Bell_Curve",$NN$32*(33-$NR$32+1)*($NS$32-33+1)/$NU$32,$NN$32/$NT$32)),0)</f>
        <v/>
      </c>
      <c r="AL32" s="228">
        <f>IF(AND(34&gt;=$NR$32,34&lt;=$NS$32),IF($NP$32="Single_Point",IF(34=$NR$32,$NN$32,0),IF($NP$32="Bell_Curve",$NN$32*(34-$NR$32+1)*($NS$32-34+1)/$NU$32,$NN$32/$NT$32)),0)</f>
        <v/>
      </c>
      <c r="AM32" s="228">
        <f>IF(AND(35&gt;=$NR$32,35&lt;=$NS$32),IF($NP$32="Single_Point",IF(35=$NR$32,$NN$32,0),IF($NP$32="Bell_Curve",$NN$32*(35-$NR$32+1)*($NS$32-35+1)/$NU$32,$NN$32/$NT$32)),0)</f>
        <v/>
      </c>
      <c r="AN32" s="228">
        <f>IF(AND(36&gt;=$NR$32,36&lt;=$NS$32),IF($NP$32="Single_Point",IF(36=$NR$32,$NN$32,0),IF($NP$32="Bell_Curve",$NN$32*(36-$NR$32+1)*($NS$32-36+1)/$NU$32,$NN$32/$NT$32)),0)</f>
        <v/>
      </c>
      <c r="AO32" s="228">
        <f>IF(AND(37&gt;=$NR$32,37&lt;=$NS$32),IF($NP$32="Single_Point",IF(37=$NR$32,$NN$32,0),IF($NP$32="Bell_Curve",$NN$32*(37-$NR$32+1)*($NS$32-37+1)/$NU$32,$NN$32/$NT$32)),0)</f>
        <v/>
      </c>
      <c r="AP32" s="228">
        <f>IF(AND(38&gt;=$NR$32,38&lt;=$NS$32),IF($NP$32="Single_Point",IF(38=$NR$32,$NN$32,0),IF($NP$32="Bell_Curve",$NN$32*(38-$NR$32+1)*($NS$32-38+1)/$NU$32,$NN$32/$NT$32)),0)</f>
        <v/>
      </c>
      <c r="AQ32" s="228">
        <f>IF(AND(39&gt;=$NR$32,39&lt;=$NS$32),IF($NP$32="Single_Point",IF(39=$NR$32,$NN$32,0),IF($NP$32="Bell_Curve",$NN$32*(39-$NR$32+1)*($NS$32-39+1)/$NU$32,$NN$32/$NT$32)),0)</f>
        <v/>
      </c>
      <c r="AR32" s="228">
        <f>IF(AND(40&gt;=$NR$32,40&lt;=$NS$32),IF($NP$32="Single_Point",IF(40=$NR$32,$NN$32,0),IF($NP$32="Bell_Curve",$NN$32*(40-$NR$32+1)*($NS$32-40+1)/$NU$32,$NN$32/$NT$32)),0)</f>
        <v/>
      </c>
      <c r="AS32" s="228">
        <f>IF(AND(41&gt;=$NR$32,41&lt;=$NS$32),IF($NP$32="Single_Point",IF(41=$NR$32,$NN$32,0),IF($NP$32="Bell_Curve",$NN$32*(41-$NR$32+1)*($NS$32-41+1)/$NU$32,$NN$32/$NT$32)),0)</f>
        <v/>
      </c>
      <c r="AT32" s="228">
        <f>IF(AND(42&gt;=$NR$32,42&lt;=$NS$32),IF($NP$32="Single_Point",IF(42=$NR$32,$NN$32,0),IF($NP$32="Bell_Curve",$NN$32*(42-$NR$32+1)*($NS$32-42+1)/$NU$32,$NN$32/$NT$32)),0)</f>
        <v/>
      </c>
      <c r="AU32" s="228">
        <f>IF(AND(43&gt;=$NR$32,43&lt;=$NS$32),IF($NP$32="Single_Point",IF(43=$NR$32,$NN$32,0),IF($NP$32="Bell_Curve",$NN$32*(43-$NR$32+1)*($NS$32-43+1)/$NU$32,$NN$32/$NT$32)),0)</f>
        <v/>
      </c>
      <c r="AV32" s="228">
        <f>IF(AND(44&gt;=$NR$32,44&lt;=$NS$32),IF($NP$32="Single_Point",IF(44=$NR$32,$NN$32,0),IF($NP$32="Bell_Curve",$NN$32*(44-$NR$32+1)*($NS$32-44+1)/$NU$32,$NN$32/$NT$32)),0)</f>
        <v/>
      </c>
      <c r="AW32" s="228">
        <f>IF(AND(45&gt;=$NR$32,45&lt;=$NS$32),IF($NP$32="Single_Point",IF(45=$NR$32,$NN$32,0),IF($NP$32="Bell_Curve",$NN$32*(45-$NR$32+1)*($NS$32-45+1)/$NU$32,$NN$32/$NT$32)),0)</f>
        <v/>
      </c>
      <c r="AX32" s="228">
        <f>IF(AND(46&gt;=$NR$32,46&lt;=$NS$32),IF($NP$32="Single_Point",IF(46=$NR$32,$NN$32,0),IF($NP$32="Bell_Curve",$NN$32*(46-$NR$32+1)*($NS$32-46+1)/$NU$32,$NN$32/$NT$32)),0)</f>
        <v/>
      </c>
      <c r="AY32" s="228">
        <f>IF(AND(47&gt;=$NR$32,47&lt;=$NS$32),IF($NP$32="Single_Point",IF(47=$NR$32,$NN$32,0),IF($NP$32="Bell_Curve",$NN$32*(47-$NR$32+1)*($NS$32-47+1)/$NU$32,$NN$32/$NT$32)),0)</f>
        <v/>
      </c>
      <c r="AZ32" s="228">
        <f>IF(AND(48&gt;=$NR$32,48&lt;=$NS$32),IF($NP$32="Single_Point",IF(48=$NR$32,$NN$32,0),IF($NP$32="Bell_Curve",$NN$32*(48-$NR$32+1)*($NS$32-48+1)/$NU$32,$NN$32/$NT$32)),0)</f>
        <v/>
      </c>
      <c r="BA32" s="228">
        <f>IF(AND(49&gt;=$NR$32,49&lt;=$NS$32),IF($NP$32="Single_Point",IF(49=$NR$32,$NN$32,0),IF($NP$32="Bell_Curve",$NN$32*(49-$NR$32+1)*($NS$32-49+1)/$NU$32,$NN$32/$NT$32)),0)</f>
        <v/>
      </c>
      <c r="BB32" s="228">
        <f>IF(AND(50&gt;=$NR$32,50&lt;=$NS$32),IF($NP$32="Single_Point",IF(50=$NR$32,$NN$32,0),IF($NP$32="Bell_Curve",$NN$32*(50-$NR$32+1)*($NS$32-50+1)/$NU$32,$NN$32/$NT$32)),0)</f>
        <v/>
      </c>
      <c r="BC32" s="228">
        <f>IF(AND(51&gt;=$NR$32,51&lt;=$NS$32),IF($NP$32="Single_Point",IF(51=$NR$32,$NN$32,0),IF($NP$32="Bell_Curve",$NN$32*(51-$NR$32+1)*($NS$32-51+1)/$NU$32,$NN$32/$NT$32)),0)</f>
        <v/>
      </c>
      <c r="BD32" s="228">
        <f>IF(AND(52&gt;=$NR$32,52&lt;=$NS$32),IF($NP$32="Single_Point",IF(52=$NR$32,$NN$32,0),IF($NP$32="Bell_Curve",$NN$32*(52-$NR$32+1)*($NS$32-52+1)/$NU$32,$NN$32/$NT$32)),0)</f>
        <v/>
      </c>
      <c r="BE32" s="228">
        <f>IF(AND(53&gt;=$NR$32,53&lt;=$NS$32),IF($NP$32="Single_Point",IF(53=$NR$32,$NN$32,0),IF($NP$32="Bell_Curve",$NN$32*(53-$NR$32+1)*($NS$32-53+1)/$NU$32,$NN$32/$NT$32)),0)</f>
        <v/>
      </c>
      <c r="BF32" s="228">
        <f>IF(AND(54&gt;=$NR$32,54&lt;=$NS$32),IF($NP$32="Single_Point",IF(54=$NR$32,$NN$32,0),IF($NP$32="Bell_Curve",$NN$32*(54-$NR$32+1)*($NS$32-54+1)/$NU$32,$NN$32/$NT$32)),0)</f>
        <v/>
      </c>
      <c r="BG32" s="228">
        <f>IF(AND(55&gt;=$NR$32,55&lt;=$NS$32),IF($NP$32="Single_Point",IF(55=$NR$32,$NN$32,0),IF($NP$32="Bell_Curve",$NN$32*(55-$NR$32+1)*($NS$32-55+1)/$NU$32,$NN$32/$NT$32)),0)</f>
        <v/>
      </c>
      <c r="BH32" s="228">
        <f>IF(AND(56&gt;=$NR$32,56&lt;=$NS$32),IF($NP$32="Single_Point",IF(56=$NR$32,$NN$32,0),IF($NP$32="Bell_Curve",$NN$32*(56-$NR$32+1)*($NS$32-56+1)/$NU$32,$NN$32/$NT$32)),0)</f>
        <v/>
      </c>
      <c r="BI32" s="228">
        <f>IF(AND(57&gt;=$NR$32,57&lt;=$NS$32),IF($NP$32="Single_Point",IF(57=$NR$32,$NN$32,0),IF($NP$32="Bell_Curve",$NN$32*(57-$NR$32+1)*($NS$32-57+1)/$NU$32,$NN$32/$NT$32)),0)</f>
        <v/>
      </c>
      <c r="BJ32" s="228">
        <f>IF(AND(58&gt;=$NR$32,58&lt;=$NS$32),IF($NP$32="Single_Point",IF(58=$NR$32,$NN$32,0),IF($NP$32="Bell_Curve",$NN$32*(58-$NR$32+1)*($NS$32-58+1)/$NU$32,$NN$32/$NT$32)),0)</f>
        <v/>
      </c>
      <c r="BK32" s="228">
        <f>IF(AND(59&gt;=$NR$32,59&lt;=$NS$32),IF($NP$32="Single_Point",IF(59=$NR$32,$NN$32,0),IF($NP$32="Bell_Curve",$NN$32*(59-$NR$32+1)*($NS$32-59+1)/$NU$32,$NN$32/$NT$32)),0)</f>
        <v/>
      </c>
      <c r="BL32" s="228">
        <f>IF(AND(60&gt;=$NR$32,60&lt;=$NS$32),IF($NP$32="Single_Point",IF(60=$NR$32,$NN$32,0),IF($NP$32="Bell_Curve",$NN$32*(60-$NR$32+1)*($NS$32-60+1)/$NU$32,$NN$32/$NT$32)),0)</f>
        <v/>
      </c>
      <c r="BM32" s="228">
        <f>IF(AND(61&gt;=$NR$32,61&lt;=$NS$32),IF($NP$32="Single_Point",IF(61=$NR$32,$NN$32,0),IF($NP$32="Bell_Curve",$NN$32*(61-$NR$32+1)*($NS$32-61+1)/$NU$32,$NN$32/$NT$32)),0)</f>
        <v/>
      </c>
      <c r="BN32" s="228">
        <f>IF(AND(62&gt;=$NR$32,62&lt;=$NS$32),IF($NP$32="Single_Point",IF(62=$NR$32,$NN$32,0),IF($NP$32="Bell_Curve",$NN$32*(62-$NR$32+1)*($NS$32-62+1)/$NU$32,$NN$32/$NT$32)),0)</f>
        <v/>
      </c>
      <c r="BO32" s="228">
        <f>IF(AND(63&gt;=$NR$32,63&lt;=$NS$32),IF($NP$32="Single_Point",IF(63=$NR$32,$NN$32,0),IF($NP$32="Bell_Curve",$NN$32*(63-$NR$32+1)*($NS$32-63+1)/$NU$32,$NN$32/$NT$32)),0)</f>
        <v/>
      </c>
      <c r="BP32" s="228">
        <f>IF(AND(64&gt;=$NR$32,64&lt;=$NS$32),IF($NP$32="Single_Point",IF(64=$NR$32,$NN$32,0),IF($NP$32="Bell_Curve",$NN$32*(64-$NR$32+1)*($NS$32-64+1)/$NU$32,$NN$32/$NT$32)),0)</f>
        <v/>
      </c>
      <c r="BQ32" s="228">
        <f>IF(AND(65&gt;=$NR$32,65&lt;=$NS$32),IF($NP$32="Single_Point",IF(65=$NR$32,$NN$32,0),IF($NP$32="Bell_Curve",$NN$32*(65-$NR$32+1)*($NS$32-65+1)/$NU$32,$NN$32/$NT$32)),0)</f>
        <v/>
      </c>
      <c r="BR32" s="228">
        <f>IF(AND(66&gt;=$NR$32,66&lt;=$NS$32),IF($NP$32="Single_Point",IF(66=$NR$32,$NN$32,0),IF($NP$32="Bell_Curve",$NN$32*(66-$NR$32+1)*($NS$32-66+1)/$NU$32,$NN$32/$NT$32)),0)</f>
        <v/>
      </c>
      <c r="BS32" s="228">
        <f>IF(AND(67&gt;=$NR$32,67&lt;=$NS$32),IF($NP$32="Single_Point",IF(67=$NR$32,$NN$32,0),IF($NP$32="Bell_Curve",$NN$32*(67-$NR$32+1)*($NS$32-67+1)/$NU$32,$NN$32/$NT$32)),0)</f>
        <v/>
      </c>
      <c r="BT32" s="228">
        <f>IF(AND(68&gt;=$NR$32,68&lt;=$NS$32),IF($NP$32="Single_Point",IF(68=$NR$32,$NN$32,0),IF($NP$32="Bell_Curve",$NN$32*(68-$NR$32+1)*($NS$32-68+1)/$NU$32,$NN$32/$NT$32)),0)</f>
        <v/>
      </c>
      <c r="BU32" s="228">
        <f>IF(AND(69&gt;=$NR$32,69&lt;=$NS$32),IF($NP$32="Single_Point",IF(69=$NR$32,$NN$32,0),IF($NP$32="Bell_Curve",$NN$32*(69-$NR$32+1)*($NS$32-69+1)/$NU$32,$NN$32/$NT$32)),0)</f>
        <v/>
      </c>
      <c r="BV32" s="228">
        <f>IF(AND(70&gt;=$NR$32,70&lt;=$NS$32),IF($NP$32="Single_Point",IF(70=$NR$32,$NN$32,0),IF($NP$32="Bell_Curve",$NN$32*(70-$NR$32+1)*($NS$32-70+1)/$NU$32,$NN$32/$NT$32)),0)</f>
        <v/>
      </c>
      <c r="BW32" s="228">
        <f>IF(AND(71&gt;=$NR$32,71&lt;=$NS$32),IF($NP$32="Single_Point",IF(71=$NR$32,$NN$32,0),IF($NP$32="Bell_Curve",$NN$32*(71-$NR$32+1)*($NS$32-71+1)/$NU$32,$NN$32/$NT$32)),0)</f>
        <v/>
      </c>
      <c r="BX32" s="228">
        <f>IF(AND(72&gt;=$NR$32,72&lt;=$NS$32),IF($NP$32="Single_Point",IF(72=$NR$32,$NN$32,0),IF($NP$32="Bell_Curve",$NN$32*(72-$NR$32+1)*($NS$32-72+1)/$NU$32,$NN$32/$NT$32)),0)</f>
        <v/>
      </c>
      <c r="BY32" s="228">
        <f>IF(AND(73&gt;=$NR$32,73&lt;=$NS$32),IF($NP$32="Single_Point",IF(73=$NR$32,$NN$32,0),IF($NP$32="Bell_Curve",$NN$32*(73-$NR$32+1)*($NS$32-73+1)/$NU$32,$NN$32/$NT$32)),0)</f>
        <v/>
      </c>
      <c r="BZ32" s="228">
        <f>IF(AND(74&gt;=$NR$32,74&lt;=$NS$32),IF($NP$32="Single_Point",IF(74=$NR$32,$NN$32,0),IF($NP$32="Bell_Curve",$NN$32*(74-$NR$32+1)*($NS$32-74+1)/$NU$32,$NN$32/$NT$32)),0)</f>
        <v/>
      </c>
      <c r="CA32" s="228">
        <f>IF(AND(75&gt;=$NR$32,75&lt;=$NS$32),IF($NP$32="Single_Point",IF(75=$NR$32,$NN$32,0),IF($NP$32="Bell_Curve",$NN$32*(75-$NR$32+1)*($NS$32-75+1)/$NU$32,$NN$32/$NT$32)),0)</f>
        <v/>
      </c>
      <c r="CB32" s="228">
        <f>IF(AND(76&gt;=$NR$32,76&lt;=$NS$32),IF($NP$32="Single_Point",IF(76=$NR$32,$NN$32,0),IF($NP$32="Bell_Curve",$NN$32*(76-$NR$32+1)*($NS$32-76+1)/$NU$32,$NN$32/$NT$32)),0)</f>
        <v/>
      </c>
      <c r="CC32" s="228">
        <f>IF(AND(77&gt;=$NR$32,77&lt;=$NS$32),IF($NP$32="Single_Point",IF(77=$NR$32,$NN$32,0),IF($NP$32="Bell_Curve",$NN$32*(77-$NR$32+1)*($NS$32-77+1)/$NU$32,$NN$32/$NT$32)),0)</f>
        <v/>
      </c>
      <c r="CD32" s="228">
        <f>IF(AND(78&gt;=$NR$32,78&lt;=$NS$32),IF($NP$32="Single_Point",IF(78=$NR$32,$NN$32,0),IF($NP$32="Bell_Curve",$NN$32*(78-$NR$32+1)*($NS$32-78+1)/$NU$32,$NN$32/$NT$32)),0)</f>
        <v/>
      </c>
      <c r="CE32" s="228">
        <f>IF(AND(79&gt;=$NR$32,79&lt;=$NS$32),IF($NP$32="Single_Point",IF(79=$NR$32,$NN$32,0),IF($NP$32="Bell_Curve",$NN$32*(79-$NR$32+1)*($NS$32-79+1)/$NU$32,$NN$32/$NT$32)),0)</f>
        <v/>
      </c>
      <c r="CF32" s="228">
        <f>IF(AND(80&gt;=$NR$32,80&lt;=$NS$32),IF($NP$32="Single_Point",IF(80=$NR$32,$NN$32,0),IF($NP$32="Bell_Curve",$NN$32*(80-$NR$32+1)*($NS$32-80+1)/$NU$32,$NN$32/$NT$32)),0)</f>
        <v/>
      </c>
      <c r="CG32" s="228">
        <f>IF(AND(81&gt;=$NR$32,81&lt;=$NS$32),IF($NP$32="Single_Point",IF(81=$NR$32,$NN$32,0),IF($NP$32="Bell_Curve",$NN$32*(81-$NR$32+1)*($NS$32-81+1)/$NU$32,$NN$32/$NT$32)),0)</f>
        <v/>
      </c>
      <c r="CH32" s="228">
        <f>IF(AND(82&gt;=$NR$32,82&lt;=$NS$32),IF($NP$32="Single_Point",IF(82=$NR$32,$NN$32,0),IF($NP$32="Bell_Curve",$NN$32*(82-$NR$32+1)*($NS$32-82+1)/$NU$32,$NN$32/$NT$32)),0)</f>
        <v/>
      </c>
      <c r="CI32" s="228">
        <f>IF(AND(83&gt;=$NR$32,83&lt;=$NS$32),IF($NP$32="Single_Point",IF(83=$NR$32,$NN$32,0),IF($NP$32="Bell_Curve",$NN$32*(83-$NR$32+1)*($NS$32-83+1)/$NU$32,$NN$32/$NT$32)),0)</f>
        <v/>
      </c>
      <c r="CJ32" s="228">
        <f>IF(AND(84&gt;=$NR$32,84&lt;=$NS$32),IF($NP$32="Single_Point",IF(84=$NR$32,$NN$32,0),IF($NP$32="Bell_Curve",$NN$32*(84-$NR$32+1)*($NS$32-84+1)/$NU$32,$NN$32/$NT$32)),0)</f>
        <v/>
      </c>
      <c r="CK32" s="228">
        <f>IF(AND(85&gt;=$NR$32,85&lt;=$NS$32),IF($NP$32="Single_Point",IF(85=$NR$32,$NN$32,0),IF($NP$32="Bell_Curve",$NN$32*(85-$NR$32+1)*($NS$32-85+1)/$NU$32,$NN$32/$NT$32)),0)</f>
        <v/>
      </c>
      <c r="CL32" s="228">
        <f>IF(AND(86&gt;=$NR$32,86&lt;=$NS$32),IF($NP$32="Single_Point",IF(86=$NR$32,$NN$32,0),IF($NP$32="Bell_Curve",$NN$32*(86-$NR$32+1)*($NS$32-86+1)/$NU$32,$NN$32/$NT$32)),0)</f>
        <v/>
      </c>
      <c r="CM32" s="228">
        <f>IF(AND(87&gt;=$NR$32,87&lt;=$NS$32),IF($NP$32="Single_Point",IF(87=$NR$32,$NN$32,0),IF($NP$32="Bell_Curve",$NN$32*(87-$NR$32+1)*($NS$32-87+1)/$NU$32,$NN$32/$NT$32)),0)</f>
        <v/>
      </c>
      <c r="CN32" s="228">
        <f>IF(AND(88&gt;=$NR$32,88&lt;=$NS$32),IF($NP$32="Single_Point",IF(88=$NR$32,$NN$32,0),IF($NP$32="Bell_Curve",$NN$32*(88-$NR$32+1)*($NS$32-88+1)/$NU$32,$NN$32/$NT$32)),0)</f>
        <v/>
      </c>
      <c r="CO32" s="228">
        <f>IF(AND(89&gt;=$NR$32,89&lt;=$NS$32),IF($NP$32="Single_Point",IF(89=$NR$32,$NN$32,0),IF($NP$32="Bell_Curve",$NN$32*(89-$NR$32+1)*($NS$32-89+1)/$NU$32,$NN$32/$NT$32)),0)</f>
        <v/>
      </c>
      <c r="CP32" s="228">
        <f>IF(AND(90&gt;=$NR$32,90&lt;=$NS$32),IF($NP$32="Single_Point",IF(90=$NR$32,$NN$32,0),IF($NP$32="Bell_Curve",$NN$32*(90-$NR$32+1)*($NS$32-90+1)/$NU$32,$NN$32/$NT$32)),0)</f>
        <v/>
      </c>
      <c r="CQ32" s="228">
        <f>IF(AND(91&gt;=$NR$32,91&lt;=$NS$32),IF($NP$32="Single_Point",IF(91=$NR$32,$NN$32,0),IF($NP$32="Bell_Curve",$NN$32*(91-$NR$32+1)*($NS$32-91+1)/$NU$32,$NN$32/$NT$32)),0)</f>
        <v/>
      </c>
      <c r="CR32" s="228">
        <f>IF(AND(92&gt;=$NR$32,92&lt;=$NS$32),IF($NP$32="Single_Point",IF(92=$NR$32,$NN$32,0),IF($NP$32="Bell_Curve",$NN$32*(92-$NR$32+1)*($NS$32-92+1)/$NU$32,$NN$32/$NT$32)),0)</f>
        <v/>
      </c>
      <c r="CS32" s="228">
        <f>IF(AND(93&gt;=$NR$32,93&lt;=$NS$32),IF($NP$32="Single_Point",IF(93=$NR$32,$NN$32,0),IF($NP$32="Bell_Curve",$NN$32*(93-$NR$32+1)*($NS$32-93+1)/$NU$32,$NN$32/$NT$32)),0)</f>
        <v/>
      </c>
      <c r="CT32" s="228">
        <f>IF(AND(94&gt;=$NR$32,94&lt;=$NS$32),IF($NP$32="Single_Point",IF(94=$NR$32,$NN$32,0),IF($NP$32="Bell_Curve",$NN$32*(94-$NR$32+1)*($NS$32-94+1)/$NU$32,$NN$32/$NT$32)),0)</f>
        <v/>
      </c>
      <c r="CU32" s="228">
        <f>IF(AND(95&gt;=$NR$32,95&lt;=$NS$32),IF($NP$32="Single_Point",IF(95=$NR$32,$NN$32,0),IF($NP$32="Bell_Curve",$NN$32*(95-$NR$32+1)*($NS$32-95+1)/$NU$32,$NN$32/$NT$32)),0)</f>
        <v/>
      </c>
      <c r="CV32" s="228">
        <f>IF(AND(96&gt;=$NR$32,96&lt;=$NS$32),IF($NP$32="Single_Point",IF(96=$NR$32,$NN$32,0),IF($NP$32="Bell_Curve",$NN$32*(96-$NR$32+1)*($NS$32-96+1)/$NU$32,$NN$32/$NT$32)),0)</f>
        <v/>
      </c>
      <c r="CW32" s="228">
        <f>IF(AND(97&gt;=$NR$32,97&lt;=$NS$32),IF($NP$32="Single_Point",IF(97=$NR$32,$NN$32,0),IF($NP$32="Bell_Curve",$NN$32*(97-$NR$32+1)*($NS$32-97+1)/$NU$32,$NN$32/$NT$32)),0)</f>
        <v/>
      </c>
      <c r="CX32" s="228">
        <f>IF(AND(98&gt;=$NR$32,98&lt;=$NS$32),IF($NP$32="Single_Point",IF(98=$NR$32,$NN$32,0),IF($NP$32="Bell_Curve",$NN$32*(98-$NR$32+1)*($NS$32-98+1)/$NU$32,$NN$32/$NT$32)),0)</f>
        <v/>
      </c>
      <c r="CY32" s="228">
        <f>IF(AND(99&gt;=$NR$32,99&lt;=$NS$32),IF($NP$32="Single_Point",IF(99=$NR$32,$NN$32,0),IF($NP$32="Bell_Curve",$NN$32*(99-$NR$32+1)*($NS$32-99+1)/$NU$32,$NN$32/$NT$32)),0)</f>
        <v/>
      </c>
      <c r="CZ32" s="228">
        <f>IF(AND(100&gt;=$NR$32,100&lt;=$NS$32),IF($NP$32="Single_Point",IF(100=$NR$32,$NN$32,0),IF($NP$32="Bell_Curve",$NN$32*(100-$NR$32+1)*($NS$32-100+1)/$NU$32,$NN$32/$NT$32)),0)</f>
        <v/>
      </c>
      <c r="DA32" s="228">
        <f>IF(AND(101&gt;=$NR$32,101&lt;=$NS$32),IF($NP$32="Single_Point",IF(101=$NR$32,$NN$32,0),IF($NP$32="Bell_Curve",$NN$32*(101-$NR$32+1)*($NS$32-101+1)/$NU$32,$NN$32/$NT$32)),0)</f>
        <v/>
      </c>
      <c r="DB32" s="228">
        <f>IF(AND(102&gt;=$NR$32,102&lt;=$NS$32),IF($NP$32="Single_Point",IF(102=$NR$32,$NN$32,0),IF($NP$32="Bell_Curve",$NN$32*(102-$NR$32+1)*($NS$32-102+1)/$NU$32,$NN$32/$NT$32)),0)</f>
        <v/>
      </c>
      <c r="DC32" s="228">
        <f>IF(AND(103&gt;=$NR$32,103&lt;=$NS$32),IF($NP$32="Single_Point",IF(103=$NR$32,$NN$32,0),IF($NP$32="Bell_Curve",$NN$32*(103-$NR$32+1)*($NS$32-103+1)/$NU$32,$NN$32/$NT$32)),0)</f>
        <v/>
      </c>
      <c r="DD32" s="228">
        <f>IF(AND(104&gt;=$NR$32,104&lt;=$NS$32),IF($NP$32="Single_Point",IF(104=$NR$32,$NN$32,0),IF($NP$32="Bell_Curve",$NN$32*(104-$NR$32+1)*($NS$32-104+1)/$NU$32,$NN$32/$NT$32)),0)</f>
        <v/>
      </c>
      <c r="DE32" s="228">
        <f>IF(AND(105&gt;=$NR$32,105&lt;=$NS$32),IF($NP$32="Single_Point",IF(105=$NR$32,$NN$32,0),IF($NP$32="Bell_Curve",$NN$32*(105-$NR$32+1)*($NS$32-105+1)/$NU$32,$NN$32/$NT$32)),0)</f>
        <v/>
      </c>
      <c r="DF32" s="228">
        <f>IF(AND(106&gt;=$NR$32,106&lt;=$NS$32),IF($NP$32="Single_Point",IF(106=$NR$32,$NN$32,0),IF($NP$32="Bell_Curve",$NN$32*(106-$NR$32+1)*($NS$32-106+1)/$NU$32,$NN$32/$NT$32)),0)</f>
        <v/>
      </c>
      <c r="DG32" s="228">
        <f>IF(AND(107&gt;=$NR$32,107&lt;=$NS$32),IF($NP$32="Single_Point",IF(107=$NR$32,$NN$32,0),IF($NP$32="Bell_Curve",$NN$32*(107-$NR$32+1)*($NS$32-107+1)/$NU$32,$NN$32/$NT$32)),0)</f>
        <v/>
      </c>
      <c r="DH32" s="228">
        <f>IF(AND(108&gt;=$NR$32,108&lt;=$NS$32),IF($NP$32="Single_Point",IF(108=$NR$32,$NN$32,0),IF($NP$32="Bell_Curve",$NN$32*(108-$NR$32+1)*($NS$32-108+1)/$NU$32,$NN$32/$NT$32)),0)</f>
        <v/>
      </c>
      <c r="DI32" s="228">
        <f>IF(AND(109&gt;=$NR$32,109&lt;=$NS$32),IF($NP$32="Single_Point",IF(109=$NR$32,$NN$32,0),IF($NP$32="Bell_Curve",$NN$32*(109-$NR$32+1)*($NS$32-109+1)/$NU$32,$NN$32/$NT$32)),0)</f>
        <v/>
      </c>
      <c r="DJ32" s="228">
        <f>IF(AND(110&gt;=$NR$32,110&lt;=$NS$32),IF($NP$32="Single_Point",IF(110=$NR$32,$NN$32,0),IF($NP$32="Bell_Curve",$NN$32*(110-$NR$32+1)*($NS$32-110+1)/$NU$32,$NN$32/$NT$32)),0)</f>
        <v/>
      </c>
      <c r="DK32" s="228">
        <f>IF(AND(111&gt;=$NR$32,111&lt;=$NS$32),IF($NP$32="Single_Point",IF(111=$NR$32,$NN$32,0),IF($NP$32="Bell_Curve",$NN$32*(111-$NR$32+1)*($NS$32-111+1)/$NU$32,$NN$32/$NT$32)),0)</f>
        <v/>
      </c>
      <c r="DL32" s="228">
        <f>IF(AND(112&gt;=$NR$32,112&lt;=$NS$32),IF($NP$32="Single_Point",IF(112=$NR$32,$NN$32,0),IF($NP$32="Bell_Curve",$NN$32*(112-$NR$32+1)*($NS$32-112+1)/$NU$32,$NN$32/$NT$32)),0)</f>
        <v/>
      </c>
      <c r="DM32" s="228">
        <f>IF(AND(113&gt;=$NR$32,113&lt;=$NS$32),IF($NP$32="Single_Point",IF(113=$NR$32,$NN$32,0),IF($NP$32="Bell_Curve",$NN$32*(113-$NR$32+1)*($NS$32-113+1)/$NU$32,$NN$32/$NT$32)),0)</f>
        <v/>
      </c>
      <c r="DN32" s="228">
        <f>IF(AND(114&gt;=$NR$32,114&lt;=$NS$32),IF($NP$32="Single_Point",IF(114=$NR$32,$NN$32,0),IF($NP$32="Bell_Curve",$NN$32*(114-$NR$32+1)*($NS$32-114+1)/$NU$32,$NN$32/$NT$32)),0)</f>
        <v/>
      </c>
      <c r="DO32" s="228">
        <f>IF(AND(115&gt;=$NR$32,115&lt;=$NS$32),IF($NP$32="Single_Point",IF(115=$NR$32,$NN$32,0),IF($NP$32="Bell_Curve",$NN$32*(115-$NR$32+1)*($NS$32-115+1)/$NU$32,$NN$32/$NT$32)),0)</f>
        <v/>
      </c>
      <c r="DP32" s="228">
        <f>IF(AND(116&gt;=$NR$32,116&lt;=$NS$32),IF($NP$32="Single_Point",IF(116=$NR$32,$NN$32,0),IF($NP$32="Bell_Curve",$NN$32*(116-$NR$32+1)*($NS$32-116+1)/$NU$32,$NN$32/$NT$32)),0)</f>
        <v/>
      </c>
      <c r="DQ32" s="228">
        <f>IF(AND(117&gt;=$NR$32,117&lt;=$NS$32),IF($NP$32="Single_Point",IF(117=$NR$32,$NN$32,0),IF($NP$32="Bell_Curve",$NN$32*(117-$NR$32+1)*($NS$32-117+1)/$NU$32,$NN$32/$NT$32)),0)</f>
        <v/>
      </c>
      <c r="DR32" s="228">
        <f>IF(AND(118&gt;=$NR$32,118&lt;=$NS$32),IF($NP$32="Single_Point",IF(118=$NR$32,$NN$32,0),IF($NP$32="Bell_Curve",$NN$32*(118-$NR$32+1)*($NS$32-118+1)/$NU$32,$NN$32/$NT$32)),0)</f>
        <v/>
      </c>
      <c r="DS32" s="228">
        <f>IF(AND(119&gt;=$NR$32,119&lt;=$NS$32),IF($NP$32="Single_Point",IF(119=$NR$32,$NN$32,0),IF($NP$32="Bell_Curve",$NN$32*(119-$NR$32+1)*($NS$32-119+1)/$NU$32,$NN$32/$NT$32)),0)</f>
        <v/>
      </c>
      <c r="DT32" s="228">
        <f>IF(AND(120&gt;=$NR$32,120&lt;=$NS$32),IF($NP$32="Single_Point",IF(120=$NR$32,$NN$32,0),IF($NP$32="Bell_Curve",$NN$32*(120-$NR$32+1)*($NS$32-120+1)/$NU$32,$NN$32/$NT$32)),0)</f>
        <v/>
      </c>
      <c r="DU32" s="228">
        <f>IF(AND(121&gt;=$NR$32,121&lt;=$NS$32),IF($NP$32="Single_Point",IF(121=$NR$32,$NN$32,0),IF($NP$32="Bell_Curve",$NN$32*(121-$NR$32+1)*($NS$32-121+1)/$NU$32,$NN$32/$NT$32)),0)</f>
        <v/>
      </c>
      <c r="DV32" s="228">
        <f>IF(AND(122&gt;=$NR$32,122&lt;=$NS$32),IF($NP$32="Single_Point",IF(122=$NR$32,$NN$32,0),IF($NP$32="Bell_Curve",$NN$32*(122-$NR$32+1)*($NS$32-122+1)/$NU$32,$NN$32/$NT$32)),0)</f>
        <v/>
      </c>
      <c r="DW32" s="228">
        <f>IF(AND(123&gt;=$NR$32,123&lt;=$NS$32),IF($NP$32="Single_Point",IF(123=$NR$32,$NN$32,0),IF($NP$32="Bell_Curve",$NN$32*(123-$NR$32+1)*($NS$32-123+1)/$NU$32,$NN$32/$NT$32)),0)</f>
        <v/>
      </c>
      <c r="DX32" s="228">
        <f>IF(AND(124&gt;=$NR$32,124&lt;=$NS$32),IF($NP$32="Single_Point",IF(124=$NR$32,$NN$32,0),IF($NP$32="Bell_Curve",$NN$32*(124-$NR$32+1)*($NS$32-124+1)/$NU$32,$NN$32/$NT$32)),0)</f>
        <v/>
      </c>
      <c r="DY32" s="228">
        <f>IF(AND(125&gt;=$NR$32,125&lt;=$NS$32),IF($NP$32="Single_Point",IF(125=$NR$32,$NN$32,0),IF($NP$32="Bell_Curve",$NN$32*(125-$NR$32+1)*($NS$32-125+1)/$NU$32,$NN$32/$NT$32)),0)</f>
        <v/>
      </c>
      <c r="DZ32" s="228">
        <f>IF(AND(126&gt;=$NR$32,126&lt;=$NS$32),IF($NP$32="Single_Point",IF(126=$NR$32,$NN$32,0),IF($NP$32="Bell_Curve",$NN$32*(126-$NR$32+1)*($NS$32-126+1)/$NU$32,$NN$32/$NT$32)),0)</f>
        <v/>
      </c>
      <c r="EA32" s="228">
        <f>IF(AND(127&gt;=$NR$32,127&lt;=$NS$32),IF($NP$32="Single_Point",IF(127=$NR$32,$NN$32,0),IF($NP$32="Bell_Curve",$NN$32*(127-$NR$32+1)*($NS$32-127+1)/$NU$32,$NN$32/$NT$32)),0)</f>
        <v/>
      </c>
      <c r="EB32" s="228">
        <f>IF(AND(128&gt;=$NR$32,128&lt;=$NS$32),IF($NP$32="Single_Point",IF(128=$NR$32,$NN$32,0),IF($NP$32="Bell_Curve",$NN$32*(128-$NR$32+1)*($NS$32-128+1)/$NU$32,$NN$32/$NT$32)),0)</f>
        <v/>
      </c>
      <c r="EC32" s="228">
        <f>IF(AND(129&gt;=$NR$32,129&lt;=$NS$32),IF($NP$32="Single_Point",IF(129=$NR$32,$NN$32,0),IF($NP$32="Bell_Curve",$NN$32*(129-$NR$32+1)*($NS$32-129+1)/$NU$32,$NN$32/$NT$32)),0)</f>
        <v/>
      </c>
      <c r="ED32" s="228">
        <f>IF(AND(130&gt;=$NR$32,130&lt;=$NS$32),IF($NP$32="Single_Point",IF(130=$NR$32,$NN$32,0),IF($NP$32="Bell_Curve",$NN$32*(130-$NR$32+1)*($NS$32-130+1)/$NU$32,$NN$32/$NT$32)),0)</f>
        <v/>
      </c>
      <c r="EE32" s="228">
        <f>IF(AND(131&gt;=$NR$32,131&lt;=$NS$32),IF($NP$32="Single_Point",IF(131=$NR$32,$NN$32,0),IF($NP$32="Bell_Curve",$NN$32*(131-$NR$32+1)*($NS$32-131+1)/$NU$32,$NN$32/$NT$32)),0)</f>
        <v/>
      </c>
      <c r="EF32" s="228">
        <f>IF(AND(132&gt;=$NR$32,132&lt;=$NS$32),IF($NP$32="Single_Point",IF(132=$NR$32,$NN$32,0),IF($NP$32="Bell_Curve",$NN$32*(132-$NR$32+1)*($NS$32-132+1)/$NU$32,$NN$32/$NT$32)),0)</f>
        <v/>
      </c>
      <c r="EG32" s="228">
        <f>IF(AND(133&gt;=$NR$32,133&lt;=$NS$32),IF($NP$32="Single_Point",IF(133=$NR$32,$NN$32,0),IF($NP$32="Bell_Curve",$NN$32*(133-$NR$32+1)*($NS$32-133+1)/$NU$32,$NN$32/$NT$32)),0)</f>
        <v/>
      </c>
      <c r="EH32" s="228">
        <f>IF(AND(134&gt;=$NR$32,134&lt;=$NS$32),IF($NP$32="Single_Point",IF(134=$NR$32,$NN$32,0),IF($NP$32="Bell_Curve",$NN$32*(134-$NR$32+1)*($NS$32-134+1)/$NU$32,$NN$32/$NT$32)),0)</f>
        <v/>
      </c>
      <c r="EI32" s="228">
        <f>IF(AND(135&gt;=$NR$32,135&lt;=$NS$32),IF($NP$32="Single_Point",IF(135=$NR$32,$NN$32,0),IF($NP$32="Bell_Curve",$NN$32*(135-$NR$32+1)*($NS$32-135+1)/$NU$32,$NN$32/$NT$32)),0)</f>
        <v/>
      </c>
      <c r="EJ32" s="228">
        <f>IF(AND(136&gt;=$NR$32,136&lt;=$NS$32),IF($NP$32="Single_Point",IF(136=$NR$32,$NN$32,0),IF($NP$32="Bell_Curve",$NN$32*(136-$NR$32+1)*($NS$32-136+1)/$NU$32,$NN$32/$NT$32)),0)</f>
        <v/>
      </c>
      <c r="EK32" s="228">
        <f>IF(AND(137&gt;=$NR$32,137&lt;=$NS$32),IF($NP$32="Single_Point",IF(137=$NR$32,$NN$32,0),IF($NP$32="Bell_Curve",$NN$32*(137-$NR$32+1)*($NS$32-137+1)/$NU$32,$NN$32/$NT$32)),0)</f>
        <v/>
      </c>
      <c r="EL32" s="228">
        <f>IF(AND(138&gt;=$NR$32,138&lt;=$NS$32),IF($NP$32="Single_Point",IF(138=$NR$32,$NN$32,0),IF($NP$32="Bell_Curve",$NN$32*(138-$NR$32+1)*($NS$32-138+1)/$NU$32,$NN$32/$NT$32)),0)</f>
        <v/>
      </c>
      <c r="EM32" s="228">
        <f>IF(AND(139&gt;=$NR$32,139&lt;=$NS$32),IF($NP$32="Single_Point",IF(139=$NR$32,$NN$32,0),IF($NP$32="Bell_Curve",$NN$32*(139-$NR$32+1)*($NS$32-139+1)/$NU$32,$NN$32/$NT$32)),0)</f>
        <v/>
      </c>
      <c r="EN32" s="228">
        <f>IF(AND(140&gt;=$NR$32,140&lt;=$NS$32),IF($NP$32="Single_Point",IF(140=$NR$32,$NN$32,0),IF($NP$32="Bell_Curve",$NN$32*(140-$NR$32+1)*($NS$32-140+1)/$NU$32,$NN$32/$NT$32)),0)</f>
        <v/>
      </c>
      <c r="EO32" s="228">
        <f>IF(AND(141&gt;=$NR$32,141&lt;=$NS$32),IF($NP$32="Single_Point",IF(141=$NR$32,$NN$32,0),IF($NP$32="Bell_Curve",$NN$32*(141-$NR$32+1)*($NS$32-141+1)/$NU$32,$NN$32/$NT$32)),0)</f>
        <v/>
      </c>
      <c r="EP32" s="228">
        <f>IF(AND(142&gt;=$NR$32,142&lt;=$NS$32),IF($NP$32="Single_Point",IF(142=$NR$32,$NN$32,0),IF($NP$32="Bell_Curve",$NN$32*(142-$NR$32+1)*($NS$32-142+1)/$NU$32,$NN$32/$NT$32)),0)</f>
        <v/>
      </c>
      <c r="EQ32" s="228">
        <f>IF(AND(143&gt;=$NR$32,143&lt;=$NS$32),IF($NP$32="Single_Point",IF(143=$NR$32,$NN$32,0),IF($NP$32="Bell_Curve",$NN$32*(143-$NR$32+1)*($NS$32-143+1)/$NU$32,$NN$32/$NT$32)),0)</f>
        <v/>
      </c>
      <c r="ER32" s="228">
        <f>IF(AND(144&gt;=$NR$32,144&lt;=$NS$32),IF($NP$32="Single_Point",IF(144=$NR$32,$NN$32,0),IF($NP$32="Bell_Curve",$NN$32*(144-$NR$32+1)*($NS$32-144+1)/$NU$32,$NN$32/$NT$32)),0)</f>
        <v/>
      </c>
      <c r="ES32" s="228">
        <f>IF(AND(145&gt;=$NR$32,145&lt;=$NS$32),IF($NP$32="Single_Point",IF(145=$NR$32,$NN$32,0),IF($NP$32="Bell_Curve",$NN$32*(145-$NR$32+1)*($NS$32-145+1)/$NU$32,$NN$32/$NT$32)),0)</f>
        <v/>
      </c>
      <c r="ET32" s="228">
        <f>IF(AND(146&gt;=$NR$32,146&lt;=$NS$32),IF($NP$32="Single_Point",IF(146=$NR$32,$NN$32,0),IF($NP$32="Bell_Curve",$NN$32*(146-$NR$32+1)*($NS$32-146+1)/$NU$32,$NN$32/$NT$32)),0)</f>
        <v/>
      </c>
      <c r="EU32" s="228">
        <f>IF(AND(147&gt;=$NR$32,147&lt;=$NS$32),IF($NP$32="Single_Point",IF(147=$NR$32,$NN$32,0),IF($NP$32="Bell_Curve",$NN$32*(147-$NR$32+1)*($NS$32-147+1)/$NU$32,$NN$32/$NT$32)),0)</f>
        <v/>
      </c>
      <c r="EV32" s="228">
        <f>IF(AND(148&gt;=$NR$32,148&lt;=$NS$32),IF($NP$32="Single_Point",IF(148=$NR$32,$NN$32,0),IF($NP$32="Bell_Curve",$NN$32*(148-$NR$32+1)*($NS$32-148+1)/$NU$32,$NN$32/$NT$32)),0)</f>
        <v/>
      </c>
      <c r="EW32" s="228">
        <f>IF(AND(149&gt;=$NR$32,149&lt;=$NS$32),IF($NP$32="Single_Point",IF(149=$NR$32,$NN$32,0),IF($NP$32="Bell_Curve",$NN$32*(149-$NR$32+1)*($NS$32-149+1)/$NU$32,$NN$32/$NT$32)),0)</f>
        <v/>
      </c>
      <c r="EX32" s="228">
        <f>IF(AND(150&gt;=$NR$32,150&lt;=$NS$32),IF($NP$32="Single_Point",IF(150=$NR$32,$NN$32,0),IF($NP$32="Bell_Curve",$NN$32*(150-$NR$32+1)*($NS$32-150+1)/$NU$32,$NN$32/$NT$32)),0)</f>
        <v/>
      </c>
      <c r="EY32" s="228">
        <f>IF(AND(151&gt;=$NR$32,151&lt;=$NS$32),IF($NP$32="Single_Point",IF(151=$NR$32,$NN$32,0),IF($NP$32="Bell_Curve",$NN$32*(151-$NR$32+1)*($NS$32-151+1)/$NU$32,$NN$32/$NT$32)),0)</f>
        <v/>
      </c>
      <c r="EZ32" s="228">
        <f>IF(AND(152&gt;=$NR$32,152&lt;=$NS$32),IF($NP$32="Single_Point",IF(152=$NR$32,$NN$32,0),IF($NP$32="Bell_Curve",$NN$32*(152-$NR$32+1)*($NS$32-152+1)/$NU$32,$NN$32/$NT$32)),0)</f>
        <v/>
      </c>
      <c r="FA32" s="228">
        <f>IF(AND(153&gt;=$NR$32,153&lt;=$NS$32),IF($NP$32="Single_Point",IF(153=$NR$32,$NN$32,0),IF($NP$32="Bell_Curve",$NN$32*(153-$NR$32+1)*($NS$32-153+1)/$NU$32,$NN$32/$NT$32)),0)</f>
        <v/>
      </c>
      <c r="FB32" s="228">
        <f>IF(AND(154&gt;=$NR$32,154&lt;=$NS$32),IF($NP$32="Single_Point",IF(154=$NR$32,$NN$32,0),IF($NP$32="Bell_Curve",$NN$32*(154-$NR$32+1)*($NS$32-154+1)/$NU$32,$NN$32/$NT$32)),0)</f>
        <v/>
      </c>
      <c r="FC32" s="228">
        <f>IF(AND(155&gt;=$NR$32,155&lt;=$NS$32),IF($NP$32="Single_Point",IF(155=$NR$32,$NN$32,0),IF($NP$32="Bell_Curve",$NN$32*(155-$NR$32+1)*($NS$32-155+1)/$NU$32,$NN$32/$NT$32)),0)</f>
        <v/>
      </c>
      <c r="FD32" s="228">
        <f>IF(AND(156&gt;=$NR$32,156&lt;=$NS$32),IF($NP$32="Single_Point",IF(156=$NR$32,$NN$32,0),IF($NP$32="Bell_Curve",$NN$32*(156-$NR$32+1)*($NS$32-156+1)/$NU$32,$NN$32/$NT$32)),0)</f>
        <v/>
      </c>
      <c r="FE32" s="228">
        <f>IF(AND(157&gt;=$NR$32,157&lt;=$NS$32),IF($NP$32="Single_Point",IF(157=$NR$32,$NN$32,0),IF($NP$32="Bell_Curve",$NN$32*(157-$NR$32+1)*($NS$32-157+1)/$NU$32,$NN$32/$NT$32)),0)</f>
        <v/>
      </c>
      <c r="FF32" s="228">
        <f>IF(AND(158&gt;=$NR$32,158&lt;=$NS$32),IF($NP$32="Single_Point",IF(158=$NR$32,$NN$32,0),IF($NP$32="Bell_Curve",$NN$32*(158-$NR$32+1)*($NS$32-158+1)/$NU$32,$NN$32/$NT$32)),0)</f>
        <v/>
      </c>
      <c r="FG32" s="228">
        <f>IF(AND(159&gt;=$NR$32,159&lt;=$NS$32),IF($NP$32="Single_Point",IF(159=$NR$32,$NN$32,0),IF($NP$32="Bell_Curve",$NN$32*(159-$NR$32+1)*($NS$32-159+1)/$NU$32,$NN$32/$NT$32)),0)</f>
        <v/>
      </c>
      <c r="FH32" s="228">
        <f>IF(AND(160&gt;=$NR$32,160&lt;=$NS$32),IF($NP$32="Single_Point",IF(160=$NR$32,$NN$32,0),IF($NP$32="Bell_Curve",$NN$32*(160-$NR$32+1)*($NS$32-160+1)/$NU$32,$NN$32/$NT$32)),0)</f>
        <v/>
      </c>
      <c r="FI32" s="228">
        <f>IF(AND(161&gt;=$NR$32,161&lt;=$NS$32),IF($NP$32="Single_Point",IF(161=$NR$32,$NN$32,0),IF($NP$32="Bell_Curve",$NN$32*(161-$NR$32+1)*($NS$32-161+1)/$NU$32,$NN$32/$NT$32)),0)</f>
        <v/>
      </c>
      <c r="FJ32" s="228">
        <f>IF(AND(162&gt;=$NR$32,162&lt;=$NS$32),IF($NP$32="Single_Point",IF(162=$NR$32,$NN$32,0),IF($NP$32="Bell_Curve",$NN$32*(162-$NR$32+1)*($NS$32-162+1)/$NU$32,$NN$32/$NT$32)),0)</f>
        <v/>
      </c>
      <c r="FK32" s="228">
        <f>IF(AND(163&gt;=$NR$32,163&lt;=$NS$32),IF($NP$32="Single_Point",IF(163=$NR$32,$NN$32,0),IF($NP$32="Bell_Curve",$NN$32*(163-$NR$32+1)*($NS$32-163+1)/$NU$32,$NN$32/$NT$32)),0)</f>
        <v/>
      </c>
      <c r="FL32" s="228">
        <f>IF(AND(164&gt;=$NR$32,164&lt;=$NS$32),IF($NP$32="Single_Point",IF(164=$NR$32,$NN$32,0),IF($NP$32="Bell_Curve",$NN$32*(164-$NR$32+1)*($NS$32-164+1)/$NU$32,$NN$32/$NT$32)),0)</f>
        <v/>
      </c>
      <c r="FM32" s="228">
        <f>IF(AND(165&gt;=$NR$32,165&lt;=$NS$32),IF($NP$32="Single_Point",IF(165=$NR$32,$NN$32,0),IF($NP$32="Bell_Curve",$NN$32*(165-$NR$32+1)*($NS$32-165+1)/$NU$32,$NN$32/$NT$32)),0)</f>
        <v/>
      </c>
      <c r="FN32" s="228">
        <f>IF(AND(166&gt;=$NR$32,166&lt;=$NS$32),IF($NP$32="Single_Point",IF(166=$NR$32,$NN$32,0),IF($NP$32="Bell_Curve",$NN$32*(166-$NR$32+1)*($NS$32-166+1)/$NU$32,$NN$32/$NT$32)),0)</f>
        <v/>
      </c>
      <c r="FO32" s="228">
        <f>IF(AND(167&gt;=$NR$32,167&lt;=$NS$32),IF($NP$32="Single_Point",IF(167=$NR$32,$NN$32,0),IF($NP$32="Bell_Curve",$NN$32*(167-$NR$32+1)*($NS$32-167+1)/$NU$32,$NN$32/$NT$32)),0)</f>
        <v/>
      </c>
      <c r="FP32" s="228">
        <f>IF(AND(168&gt;=$NR$32,168&lt;=$NS$32),IF($NP$32="Single_Point",IF(168=$NR$32,$NN$32,0),IF($NP$32="Bell_Curve",$NN$32*(168-$NR$32+1)*($NS$32-168+1)/$NU$32,$NN$32/$NT$32)),0)</f>
        <v/>
      </c>
      <c r="FQ32" s="228">
        <f>IF(AND(169&gt;=$NR$32,169&lt;=$NS$32),IF($NP$32="Single_Point",IF(169=$NR$32,$NN$32,0),IF($NP$32="Bell_Curve",$NN$32*(169-$NR$32+1)*($NS$32-169+1)/$NU$32,$NN$32/$NT$32)),0)</f>
        <v/>
      </c>
      <c r="FR32" s="228">
        <f>IF(AND(170&gt;=$NR$32,170&lt;=$NS$32),IF($NP$32="Single_Point",IF(170=$NR$32,$NN$32,0),IF($NP$32="Bell_Curve",$NN$32*(170-$NR$32+1)*($NS$32-170+1)/$NU$32,$NN$32/$NT$32)),0)</f>
        <v/>
      </c>
      <c r="FS32" s="228">
        <f>IF(AND(171&gt;=$NR$32,171&lt;=$NS$32),IF($NP$32="Single_Point",IF(171=$NR$32,$NN$32,0),IF($NP$32="Bell_Curve",$NN$32*(171-$NR$32+1)*($NS$32-171+1)/$NU$32,$NN$32/$NT$32)),0)</f>
        <v/>
      </c>
      <c r="FT32" s="228">
        <f>IF(AND(172&gt;=$NR$32,172&lt;=$NS$32),IF($NP$32="Single_Point",IF(172=$NR$32,$NN$32,0),IF($NP$32="Bell_Curve",$NN$32*(172-$NR$32+1)*($NS$32-172+1)/$NU$32,$NN$32/$NT$32)),0)</f>
        <v/>
      </c>
      <c r="FU32" s="228">
        <f>IF(AND(173&gt;=$NR$32,173&lt;=$NS$32),IF($NP$32="Single_Point",IF(173=$NR$32,$NN$32,0),IF($NP$32="Bell_Curve",$NN$32*(173-$NR$32+1)*($NS$32-173+1)/$NU$32,$NN$32/$NT$32)),0)</f>
        <v/>
      </c>
      <c r="FV32" s="228">
        <f>IF(AND(174&gt;=$NR$32,174&lt;=$NS$32),IF($NP$32="Single_Point",IF(174=$NR$32,$NN$32,0),IF($NP$32="Bell_Curve",$NN$32*(174-$NR$32+1)*($NS$32-174+1)/$NU$32,$NN$32/$NT$32)),0)</f>
        <v/>
      </c>
      <c r="FW32" s="228">
        <f>IF(AND(175&gt;=$NR$32,175&lt;=$NS$32),IF($NP$32="Single_Point",IF(175=$NR$32,$NN$32,0),IF($NP$32="Bell_Curve",$NN$32*(175-$NR$32+1)*($NS$32-175+1)/$NU$32,$NN$32/$NT$32)),0)</f>
        <v/>
      </c>
      <c r="FX32" s="228">
        <f>IF(AND(176&gt;=$NR$32,176&lt;=$NS$32),IF($NP$32="Single_Point",IF(176=$NR$32,$NN$32,0),IF($NP$32="Bell_Curve",$NN$32*(176-$NR$32+1)*($NS$32-176+1)/$NU$32,$NN$32/$NT$32)),0)</f>
        <v/>
      </c>
      <c r="FY32" s="228">
        <f>IF(AND(177&gt;=$NR$32,177&lt;=$NS$32),IF($NP$32="Single_Point",IF(177=$NR$32,$NN$32,0),IF($NP$32="Bell_Curve",$NN$32*(177-$NR$32+1)*($NS$32-177+1)/$NU$32,$NN$32/$NT$32)),0)</f>
        <v/>
      </c>
      <c r="FZ32" s="228">
        <f>IF(AND(178&gt;=$NR$32,178&lt;=$NS$32),IF($NP$32="Single_Point",IF(178=$NR$32,$NN$32,0),IF($NP$32="Bell_Curve",$NN$32*(178-$NR$32+1)*($NS$32-178+1)/$NU$32,$NN$32/$NT$32)),0)</f>
        <v/>
      </c>
      <c r="GA32" s="228">
        <f>IF(AND(179&gt;=$NR$32,179&lt;=$NS$32),IF($NP$32="Single_Point",IF(179=$NR$32,$NN$32,0),IF($NP$32="Bell_Curve",$NN$32*(179-$NR$32+1)*($NS$32-179+1)/$NU$32,$NN$32/$NT$32)),0)</f>
        <v/>
      </c>
      <c r="GB32" s="228">
        <f>IF(AND(180&gt;=$NR$32,180&lt;=$NS$32),IF($NP$32="Single_Point",IF(180=$NR$32,$NN$32,0),IF($NP$32="Bell_Curve",$NN$32*(180-$NR$32+1)*($NS$32-180+1)/$NU$32,$NN$32/$NT$32)),0)</f>
        <v/>
      </c>
      <c r="GC32" s="228">
        <f>IF(AND(181&gt;=$NR$32,181&lt;=$NS$32),IF($NP$32="Single_Point",IF(181=$NR$32,$NN$32,0),IF($NP$32="Bell_Curve",$NN$32*(181-$NR$32+1)*($NS$32-181+1)/$NU$32,$NN$32/$NT$32)),0)</f>
        <v/>
      </c>
      <c r="GD32" s="228">
        <f>IF(AND(182&gt;=$NR$32,182&lt;=$NS$32),IF($NP$32="Single_Point",IF(182=$NR$32,$NN$32,0),IF($NP$32="Bell_Curve",$NN$32*(182-$NR$32+1)*($NS$32-182+1)/$NU$32,$NN$32/$NT$32)),0)</f>
        <v/>
      </c>
      <c r="GE32" s="228">
        <f>IF(AND(183&gt;=$NR$32,183&lt;=$NS$32),IF($NP$32="Single_Point",IF(183=$NR$32,$NN$32,0),IF($NP$32="Bell_Curve",$NN$32*(183-$NR$32+1)*($NS$32-183+1)/$NU$32,$NN$32/$NT$32)),0)</f>
        <v/>
      </c>
      <c r="GF32" s="228">
        <f>IF(AND(184&gt;=$NR$32,184&lt;=$NS$32),IF($NP$32="Single_Point",IF(184=$NR$32,$NN$32,0),IF($NP$32="Bell_Curve",$NN$32*(184-$NR$32+1)*($NS$32-184+1)/$NU$32,$NN$32/$NT$32)),0)</f>
        <v/>
      </c>
      <c r="GG32" s="228">
        <f>IF(AND(185&gt;=$NR$32,185&lt;=$NS$32),IF($NP$32="Single_Point",IF(185=$NR$32,$NN$32,0),IF($NP$32="Bell_Curve",$NN$32*(185-$NR$32+1)*($NS$32-185+1)/$NU$32,$NN$32/$NT$32)),0)</f>
        <v/>
      </c>
      <c r="GH32" s="228">
        <f>IF(AND(186&gt;=$NR$32,186&lt;=$NS$32),IF($NP$32="Single_Point",IF(186=$NR$32,$NN$32,0),IF($NP$32="Bell_Curve",$NN$32*(186-$NR$32+1)*($NS$32-186+1)/$NU$32,$NN$32/$NT$32)),0)</f>
        <v/>
      </c>
      <c r="GI32" s="228">
        <f>IF(AND(187&gt;=$NR$32,187&lt;=$NS$32),IF($NP$32="Single_Point",IF(187=$NR$32,$NN$32,0),IF($NP$32="Bell_Curve",$NN$32*(187-$NR$32+1)*($NS$32-187+1)/$NU$32,$NN$32/$NT$32)),0)</f>
        <v/>
      </c>
      <c r="GJ32" s="228">
        <f>IF(AND(188&gt;=$NR$32,188&lt;=$NS$32),IF($NP$32="Single_Point",IF(188=$NR$32,$NN$32,0),IF($NP$32="Bell_Curve",$NN$32*(188-$NR$32+1)*($NS$32-188+1)/$NU$32,$NN$32/$NT$32)),0)</f>
        <v/>
      </c>
      <c r="GK32" s="228">
        <f>IF(AND(189&gt;=$NR$32,189&lt;=$NS$32),IF($NP$32="Single_Point",IF(189=$NR$32,$NN$32,0),IF($NP$32="Bell_Curve",$NN$32*(189-$NR$32+1)*($NS$32-189+1)/$NU$32,$NN$32/$NT$32)),0)</f>
        <v/>
      </c>
      <c r="GL32" s="228">
        <f>IF(AND(190&gt;=$NR$32,190&lt;=$NS$32),IF($NP$32="Single_Point",IF(190=$NR$32,$NN$32,0),IF($NP$32="Bell_Curve",$NN$32*(190-$NR$32+1)*($NS$32-190+1)/$NU$32,$NN$32/$NT$32)),0)</f>
        <v/>
      </c>
      <c r="GM32" s="228">
        <f>IF(AND(191&gt;=$NR$32,191&lt;=$NS$32),IF($NP$32="Single_Point",IF(191=$NR$32,$NN$32,0),IF($NP$32="Bell_Curve",$NN$32*(191-$NR$32+1)*($NS$32-191+1)/$NU$32,$NN$32/$NT$32)),0)</f>
        <v/>
      </c>
      <c r="GN32" s="228">
        <f>IF(AND(192&gt;=$NR$32,192&lt;=$NS$32),IF($NP$32="Single_Point",IF(192=$NR$32,$NN$32,0),IF($NP$32="Bell_Curve",$NN$32*(192-$NR$32+1)*($NS$32-192+1)/$NU$32,$NN$32/$NT$32)),0)</f>
        <v/>
      </c>
      <c r="GO32" s="228">
        <f>IF(AND(193&gt;=$NR$32,193&lt;=$NS$32),IF($NP$32="Single_Point",IF(193=$NR$32,$NN$32,0),IF($NP$32="Bell_Curve",$NN$32*(193-$NR$32+1)*($NS$32-193+1)/$NU$32,$NN$32/$NT$32)),0)</f>
        <v/>
      </c>
      <c r="GP32" s="228">
        <f>IF(AND(194&gt;=$NR$32,194&lt;=$NS$32),IF($NP$32="Single_Point",IF(194=$NR$32,$NN$32,0),IF($NP$32="Bell_Curve",$NN$32*(194-$NR$32+1)*($NS$32-194+1)/$NU$32,$NN$32/$NT$32)),0)</f>
        <v/>
      </c>
      <c r="GQ32" s="228">
        <f>IF(AND(195&gt;=$NR$32,195&lt;=$NS$32),IF($NP$32="Single_Point",IF(195=$NR$32,$NN$32,0),IF($NP$32="Bell_Curve",$NN$32*(195-$NR$32+1)*($NS$32-195+1)/$NU$32,$NN$32/$NT$32)),0)</f>
        <v/>
      </c>
      <c r="GR32" s="228">
        <f>IF(AND(196&gt;=$NR$32,196&lt;=$NS$32),IF($NP$32="Single_Point",IF(196=$NR$32,$NN$32,0),IF($NP$32="Bell_Curve",$NN$32*(196-$NR$32+1)*($NS$32-196+1)/$NU$32,$NN$32/$NT$32)),0)</f>
        <v/>
      </c>
      <c r="GS32" s="228">
        <f>IF(AND(197&gt;=$NR$32,197&lt;=$NS$32),IF($NP$32="Single_Point",IF(197=$NR$32,$NN$32,0),IF($NP$32="Bell_Curve",$NN$32*(197-$NR$32+1)*($NS$32-197+1)/$NU$32,$NN$32/$NT$32)),0)</f>
        <v/>
      </c>
      <c r="GT32" s="228">
        <f>IF(AND(198&gt;=$NR$32,198&lt;=$NS$32),IF($NP$32="Single_Point",IF(198=$NR$32,$NN$32,0),IF($NP$32="Bell_Curve",$NN$32*(198-$NR$32+1)*($NS$32-198+1)/$NU$32,$NN$32/$NT$32)),0)</f>
        <v/>
      </c>
      <c r="GU32" s="228">
        <f>IF(AND(199&gt;=$NR$32,199&lt;=$NS$32),IF($NP$32="Single_Point",IF(199=$NR$32,$NN$32,0),IF($NP$32="Bell_Curve",$NN$32*(199-$NR$32+1)*($NS$32-199+1)/$NU$32,$NN$32/$NT$32)),0)</f>
        <v/>
      </c>
      <c r="GV32" s="228">
        <f>IF(AND(200&gt;=$NR$32,200&lt;=$NS$32),IF($NP$32="Single_Point",IF(200=$NR$32,$NN$32,0),IF($NP$32="Bell_Curve",$NN$32*(200-$NR$32+1)*($NS$32-200+1)/$NU$32,$NN$32/$NT$32)),0)</f>
        <v/>
      </c>
      <c r="GW32" s="228">
        <f>IF(AND(201&gt;=$NR$32,201&lt;=$NS$32),IF($NP$32="Single_Point",IF(201=$NR$32,$NN$32,0),IF($NP$32="Bell_Curve",$NN$32*(201-$NR$32+1)*($NS$32-201+1)/$NU$32,$NN$32/$NT$32)),0)</f>
        <v/>
      </c>
      <c r="GX32" s="228">
        <f>IF(AND(202&gt;=$NR$32,202&lt;=$NS$32),IF($NP$32="Single_Point",IF(202=$NR$32,$NN$32,0),IF($NP$32="Bell_Curve",$NN$32*(202-$NR$32+1)*($NS$32-202+1)/$NU$32,$NN$32/$NT$32)),0)</f>
        <v/>
      </c>
      <c r="GY32" s="228">
        <f>IF(AND(203&gt;=$NR$32,203&lt;=$NS$32),IF($NP$32="Single_Point",IF(203=$NR$32,$NN$32,0),IF($NP$32="Bell_Curve",$NN$32*(203-$NR$32+1)*($NS$32-203+1)/$NU$32,$NN$32/$NT$32)),0)</f>
        <v/>
      </c>
      <c r="GZ32" s="228">
        <f>IF(AND(204&gt;=$NR$32,204&lt;=$NS$32),IF($NP$32="Single_Point",IF(204=$NR$32,$NN$32,0),IF($NP$32="Bell_Curve",$NN$32*(204-$NR$32+1)*($NS$32-204+1)/$NU$32,$NN$32/$NT$32)),0)</f>
        <v/>
      </c>
      <c r="HA32" s="228">
        <f>IF(AND(205&gt;=$NR$32,205&lt;=$NS$32),IF($NP$32="Single_Point",IF(205=$NR$32,$NN$32,0),IF($NP$32="Bell_Curve",$NN$32*(205-$NR$32+1)*($NS$32-205+1)/$NU$32,$NN$32/$NT$32)),0)</f>
        <v/>
      </c>
      <c r="HB32" s="228">
        <f>IF(AND(206&gt;=$NR$32,206&lt;=$NS$32),IF($NP$32="Single_Point",IF(206=$NR$32,$NN$32,0),IF($NP$32="Bell_Curve",$NN$32*(206-$NR$32+1)*($NS$32-206+1)/$NU$32,$NN$32/$NT$32)),0)</f>
        <v/>
      </c>
      <c r="HC32" s="228">
        <f>IF(AND(207&gt;=$NR$32,207&lt;=$NS$32),IF($NP$32="Single_Point",IF(207=$NR$32,$NN$32,0),IF($NP$32="Bell_Curve",$NN$32*(207-$NR$32+1)*($NS$32-207+1)/$NU$32,$NN$32/$NT$32)),0)</f>
        <v/>
      </c>
      <c r="HD32" s="228">
        <f>IF(AND(208&gt;=$NR$32,208&lt;=$NS$32),IF($NP$32="Single_Point",IF(208=$NR$32,$NN$32,0),IF($NP$32="Bell_Curve",$NN$32*(208-$NR$32+1)*($NS$32-208+1)/$NU$32,$NN$32/$NT$32)),0)</f>
        <v/>
      </c>
      <c r="HE32" s="228">
        <f>IF(AND(209&gt;=$NR$32,209&lt;=$NS$32),IF($NP$32="Single_Point",IF(209=$NR$32,$NN$32,0),IF($NP$32="Bell_Curve",$NN$32*(209-$NR$32+1)*($NS$32-209+1)/$NU$32,$NN$32/$NT$32)),0)</f>
        <v/>
      </c>
      <c r="HF32" s="228">
        <f>IF(AND(210&gt;=$NR$32,210&lt;=$NS$32),IF($NP$32="Single_Point",IF(210=$NR$32,$NN$32,0),IF($NP$32="Bell_Curve",$NN$32*(210-$NR$32+1)*($NS$32-210+1)/$NU$32,$NN$32/$NT$32)),0)</f>
        <v/>
      </c>
      <c r="HG32" s="228">
        <f>IF(AND(211&gt;=$NR$32,211&lt;=$NS$32),IF($NP$32="Single_Point",IF(211=$NR$32,$NN$32,0),IF($NP$32="Bell_Curve",$NN$32*(211-$NR$32+1)*($NS$32-211+1)/$NU$32,$NN$32/$NT$32)),0)</f>
        <v/>
      </c>
      <c r="HH32" s="228">
        <f>IF(AND(212&gt;=$NR$32,212&lt;=$NS$32),IF($NP$32="Single_Point",IF(212=$NR$32,$NN$32,0),IF($NP$32="Bell_Curve",$NN$32*(212-$NR$32+1)*($NS$32-212+1)/$NU$32,$NN$32/$NT$32)),0)</f>
        <v/>
      </c>
      <c r="HI32" s="228">
        <f>IF(AND(213&gt;=$NR$32,213&lt;=$NS$32),IF($NP$32="Single_Point",IF(213=$NR$32,$NN$32,0),IF($NP$32="Bell_Curve",$NN$32*(213-$NR$32+1)*($NS$32-213+1)/$NU$32,$NN$32/$NT$32)),0)</f>
        <v/>
      </c>
      <c r="HJ32" s="228">
        <f>IF(AND(214&gt;=$NR$32,214&lt;=$NS$32),IF($NP$32="Single_Point",IF(214=$NR$32,$NN$32,0),IF($NP$32="Bell_Curve",$NN$32*(214-$NR$32+1)*($NS$32-214+1)/$NU$32,$NN$32/$NT$32)),0)</f>
        <v/>
      </c>
      <c r="HK32" s="228">
        <f>IF(AND(215&gt;=$NR$32,215&lt;=$NS$32),IF($NP$32="Single_Point",IF(215=$NR$32,$NN$32,0),IF($NP$32="Bell_Curve",$NN$32*(215-$NR$32+1)*($NS$32-215+1)/$NU$32,$NN$32/$NT$32)),0)</f>
        <v/>
      </c>
      <c r="HL32" s="228">
        <f>IF(AND(216&gt;=$NR$32,216&lt;=$NS$32),IF($NP$32="Single_Point",IF(216=$NR$32,$NN$32,0),IF($NP$32="Bell_Curve",$NN$32*(216-$NR$32+1)*($NS$32-216+1)/$NU$32,$NN$32/$NT$32)),0)</f>
        <v/>
      </c>
      <c r="HM32" s="228">
        <f>IF(AND(217&gt;=$NR$32,217&lt;=$NS$32),IF($NP$32="Single_Point",IF(217=$NR$32,$NN$32,0),IF($NP$32="Bell_Curve",$NN$32*(217-$NR$32+1)*($NS$32-217+1)/$NU$32,$NN$32/$NT$32)),0)</f>
        <v/>
      </c>
      <c r="HN32" s="228">
        <f>IF(AND(218&gt;=$NR$32,218&lt;=$NS$32),IF($NP$32="Single_Point",IF(218=$NR$32,$NN$32,0),IF($NP$32="Bell_Curve",$NN$32*(218-$NR$32+1)*($NS$32-218+1)/$NU$32,$NN$32/$NT$32)),0)</f>
        <v/>
      </c>
      <c r="HO32" s="228">
        <f>IF(AND(219&gt;=$NR$32,219&lt;=$NS$32),IF($NP$32="Single_Point",IF(219=$NR$32,$NN$32,0),IF($NP$32="Bell_Curve",$NN$32*(219-$NR$32+1)*($NS$32-219+1)/$NU$32,$NN$32/$NT$32)),0)</f>
        <v/>
      </c>
      <c r="HP32" s="228">
        <f>IF(AND(220&gt;=$NR$32,220&lt;=$NS$32),IF($NP$32="Single_Point",IF(220=$NR$32,$NN$32,0),IF($NP$32="Bell_Curve",$NN$32*(220-$NR$32+1)*($NS$32-220+1)/$NU$32,$NN$32/$NT$32)),0)</f>
        <v/>
      </c>
      <c r="HQ32" s="228">
        <f>IF(AND(221&gt;=$NR$32,221&lt;=$NS$32),IF($NP$32="Single_Point",IF(221=$NR$32,$NN$32,0),IF($NP$32="Bell_Curve",$NN$32*(221-$NR$32+1)*($NS$32-221+1)/$NU$32,$NN$32/$NT$32)),0)</f>
        <v/>
      </c>
      <c r="HR32" s="228">
        <f>IF(AND(222&gt;=$NR$32,222&lt;=$NS$32),IF($NP$32="Single_Point",IF(222=$NR$32,$NN$32,0),IF($NP$32="Bell_Curve",$NN$32*(222-$NR$32+1)*($NS$32-222+1)/$NU$32,$NN$32/$NT$32)),0)</f>
        <v/>
      </c>
      <c r="HS32" s="228">
        <f>IF(AND(223&gt;=$NR$32,223&lt;=$NS$32),IF($NP$32="Single_Point",IF(223=$NR$32,$NN$32,0),IF($NP$32="Bell_Curve",$NN$32*(223-$NR$32+1)*($NS$32-223+1)/$NU$32,$NN$32/$NT$32)),0)</f>
        <v/>
      </c>
      <c r="HT32" s="228">
        <f>IF(AND(224&gt;=$NR$32,224&lt;=$NS$32),IF($NP$32="Single_Point",IF(224=$NR$32,$NN$32,0),IF($NP$32="Bell_Curve",$NN$32*(224-$NR$32+1)*($NS$32-224+1)/$NU$32,$NN$32/$NT$32)),0)</f>
        <v/>
      </c>
      <c r="HU32" s="228">
        <f>IF(AND(225&gt;=$NR$32,225&lt;=$NS$32),IF($NP$32="Single_Point",IF(225=$NR$32,$NN$32,0),IF($NP$32="Bell_Curve",$NN$32*(225-$NR$32+1)*($NS$32-225+1)/$NU$32,$NN$32/$NT$32)),0)</f>
        <v/>
      </c>
      <c r="HV32" s="228">
        <f>IF(AND(226&gt;=$NR$32,226&lt;=$NS$32),IF($NP$32="Single_Point",IF(226=$NR$32,$NN$32,0),IF($NP$32="Bell_Curve",$NN$32*(226-$NR$32+1)*($NS$32-226+1)/$NU$32,$NN$32/$NT$32)),0)</f>
        <v/>
      </c>
      <c r="HW32" s="228">
        <f>IF(AND(227&gt;=$NR$32,227&lt;=$NS$32),IF($NP$32="Single_Point",IF(227=$NR$32,$NN$32,0),IF($NP$32="Bell_Curve",$NN$32*(227-$NR$32+1)*($NS$32-227+1)/$NU$32,$NN$32/$NT$32)),0)</f>
        <v/>
      </c>
      <c r="HX32" s="228">
        <f>IF(AND(228&gt;=$NR$32,228&lt;=$NS$32),IF($NP$32="Single_Point",IF(228=$NR$32,$NN$32,0),IF($NP$32="Bell_Curve",$NN$32*(228-$NR$32+1)*($NS$32-228+1)/$NU$32,$NN$32/$NT$32)),0)</f>
        <v/>
      </c>
      <c r="HY32" s="228">
        <f>IF(AND(229&gt;=$NR$32,229&lt;=$NS$32),IF($NP$32="Single_Point",IF(229=$NR$32,$NN$32,0),IF($NP$32="Bell_Curve",$NN$32*(229-$NR$32+1)*($NS$32-229+1)/$NU$32,$NN$32/$NT$32)),0)</f>
        <v/>
      </c>
      <c r="HZ32" s="228">
        <f>IF(AND(230&gt;=$NR$32,230&lt;=$NS$32),IF($NP$32="Single_Point",IF(230=$NR$32,$NN$32,0),IF($NP$32="Bell_Curve",$NN$32*(230-$NR$32+1)*($NS$32-230+1)/$NU$32,$NN$32/$NT$32)),0)</f>
        <v/>
      </c>
      <c r="IA32" s="228">
        <f>IF(AND(231&gt;=$NR$32,231&lt;=$NS$32),IF($NP$32="Single_Point",IF(231=$NR$32,$NN$32,0),IF($NP$32="Bell_Curve",$NN$32*(231-$NR$32+1)*($NS$32-231+1)/$NU$32,$NN$32/$NT$32)),0)</f>
        <v/>
      </c>
      <c r="IB32" s="228">
        <f>IF(AND(232&gt;=$NR$32,232&lt;=$NS$32),IF($NP$32="Single_Point",IF(232=$NR$32,$NN$32,0),IF($NP$32="Bell_Curve",$NN$32*(232-$NR$32+1)*($NS$32-232+1)/$NU$32,$NN$32/$NT$32)),0)</f>
        <v/>
      </c>
      <c r="IC32" s="228">
        <f>IF(AND(233&gt;=$NR$32,233&lt;=$NS$32),IF($NP$32="Single_Point",IF(233=$NR$32,$NN$32,0),IF($NP$32="Bell_Curve",$NN$32*(233-$NR$32+1)*($NS$32-233+1)/$NU$32,$NN$32/$NT$32)),0)</f>
        <v/>
      </c>
      <c r="ID32" s="228">
        <f>IF(AND(234&gt;=$NR$32,234&lt;=$NS$32),IF($NP$32="Single_Point",IF(234=$NR$32,$NN$32,0),IF($NP$32="Bell_Curve",$NN$32*(234-$NR$32+1)*($NS$32-234+1)/$NU$32,$NN$32/$NT$32)),0)</f>
        <v/>
      </c>
      <c r="IE32" s="228">
        <f>IF(AND(235&gt;=$NR$32,235&lt;=$NS$32),IF($NP$32="Single_Point",IF(235=$NR$32,$NN$32,0),IF($NP$32="Bell_Curve",$NN$32*(235-$NR$32+1)*($NS$32-235+1)/$NU$32,$NN$32/$NT$32)),0)</f>
        <v/>
      </c>
      <c r="IF32" s="228">
        <f>IF(AND(236&gt;=$NR$32,236&lt;=$NS$32),IF($NP$32="Single_Point",IF(236=$NR$32,$NN$32,0),IF($NP$32="Bell_Curve",$NN$32*(236-$NR$32+1)*($NS$32-236+1)/$NU$32,$NN$32/$NT$32)),0)</f>
        <v/>
      </c>
      <c r="IG32" s="228">
        <f>IF(AND(237&gt;=$NR$32,237&lt;=$NS$32),IF($NP$32="Single_Point",IF(237=$NR$32,$NN$32,0),IF($NP$32="Bell_Curve",$NN$32*(237-$NR$32+1)*($NS$32-237+1)/$NU$32,$NN$32/$NT$32)),0)</f>
        <v/>
      </c>
      <c r="IH32" s="228">
        <f>IF(AND(238&gt;=$NR$32,238&lt;=$NS$32),IF($NP$32="Single_Point",IF(238=$NR$32,$NN$32,0),IF($NP$32="Bell_Curve",$NN$32*(238-$NR$32+1)*($NS$32-238+1)/$NU$32,$NN$32/$NT$32)),0)</f>
        <v/>
      </c>
      <c r="II32" s="228">
        <f>IF(AND(239&gt;=$NR$32,239&lt;=$NS$32),IF($NP$32="Single_Point",IF(239=$NR$32,$NN$32,0),IF($NP$32="Bell_Curve",$NN$32*(239-$NR$32+1)*($NS$32-239+1)/$NU$32,$NN$32/$NT$32)),0)</f>
        <v/>
      </c>
      <c r="IJ32" s="228">
        <f>IF(AND(240&gt;=$NR$32,240&lt;=$NS$32),IF($NP$32="Single_Point",IF(240=$NR$32,$NN$32,0),IF($NP$32="Bell_Curve",$NN$32*(240-$NR$32+1)*($NS$32-240+1)/$NU$32,$NN$32/$NT$32)),0)</f>
        <v/>
      </c>
      <c r="IK32" s="228">
        <f>IF(AND(241&gt;=$NR$32,241&lt;=$NS$32),IF($NP$32="Single_Point",IF(241=$NR$32,$NN$32,0),IF($NP$32="Bell_Curve",$NN$32*(241-$NR$32+1)*($NS$32-241+1)/$NU$32,$NN$32/$NT$32)),0)</f>
        <v/>
      </c>
      <c r="IL32" s="228">
        <f>IF(AND(242&gt;=$NR$32,242&lt;=$NS$32),IF($NP$32="Single_Point",IF(242=$NR$32,$NN$32,0),IF($NP$32="Bell_Curve",$NN$32*(242-$NR$32+1)*($NS$32-242+1)/$NU$32,$NN$32/$NT$32)),0)</f>
        <v/>
      </c>
      <c r="IM32" s="228">
        <f>IF(AND(243&gt;=$NR$32,243&lt;=$NS$32),IF($NP$32="Single_Point",IF(243=$NR$32,$NN$32,0),IF($NP$32="Bell_Curve",$NN$32*(243-$NR$32+1)*($NS$32-243+1)/$NU$32,$NN$32/$NT$32)),0)</f>
        <v/>
      </c>
      <c r="IN32" s="228">
        <f>IF(AND(244&gt;=$NR$32,244&lt;=$NS$32),IF($NP$32="Single_Point",IF(244=$NR$32,$NN$32,0),IF($NP$32="Bell_Curve",$NN$32*(244-$NR$32+1)*($NS$32-244+1)/$NU$32,$NN$32/$NT$32)),0)</f>
        <v/>
      </c>
      <c r="IO32" s="228">
        <f>IF(AND(245&gt;=$NR$32,245&lt;=$NS$32),IF($NP$32="Single_Point",IF(245=$NR$32,$NN$32,0),IF($NP$32="Bell_Curve",$NN$32*(245-$NR$32+1)*($NS$32-245+1)/$NU$32,$NN$32/$NT$32)),0)</f>
        <v/>
      </c>
      <c r="IP32" s="228">
        <f>IF(AND(246&gt;=$NR$32,246&lt;=$NS$32),IF($NP$32="Single_Point",IF(246=$NR$32,$NN$32,0),IF($NP$32="Bell_Curve",$NN$32*(246-$NR$32+1)*($NS$32-246+1)/$NU$32,$NN$32/$NT$32)),0)</f>
        <v/>
      </c>
      <c r="IQ32" s="228">
        <f>IF(AND(247&gt;=$NR$32,247&lt;=$NS$32),IF($NP$32="Single_Point",IF(247=$NR$32,$NN$32,0),IF($NP$32="Bell_Curve",$NN$32*(247-$NR$32+1)*($NS$32-247+1)/$NU$32,$NN$32/$NT$32)),0)</f>
        <v/>
      </c>
      <c r="IR32" s="228">
        <f>IF(AND(248&gt;=$NR$32,248&lt;=$NS$32),IF($NP$32="Single_Point",IF(248=$NR$32,$NN$32,0),IF($NP$32="Bell_Curve",$NN$32*(248-$NR$32+1)*($NS$32-248+1)/$NU$32,$NN$32/$NT$32)),0)</f>
        <v/>
      </c>
      <c r="IS32" s="228">
        <f>IF(AND(249&gt;=$NR$32,249&lt;=$NS$32),IF($NP$32="Single_Point",IF(249=$NR$32,$NN$32,0),IF($NP$32="Bell_Curve",$NN$32*(249-$NR$32+1)*($NS$32-249+1)/$NU$32,$NN$32/$NT$32)),0)</f>
        <v/>
      </c>
      <c r="IT32" s="228">
        <f>IF(AND(250&gt;=$NR$32,250&lt;=$NS$32),IF($NP$32="Single_Point",IF(250=$NR$32,$NN$32,0),IF($NP$32="Bell_Curve",$NN$32*(250-$NR$32+1)*($NS$32-250+1)/$NU$32,$NN$32/$NT$32)),0)</f>
        <v/>
      </c>
      <c r="IU32" s="228">
        <f>IF(AND(251&gt;=$NR$32,251&lt;=$NS$32),IF($NP$32="Single_Point",IF(251=$NR$32,$NN$32,0),IF($NP$32="Bell_Curve",$NN$32*(251-$NR$32+1)*($NS$32-251+1)/$NU$32,$NN$32/$NT$32)),0)</f>
        <v/>
      </c>
      <c r="IV32" s="228">
        <f>IF(AND(252&gt;=$NR$32,252&lt;=$NS$32),IF($NP$32="Single_Point",IF(252=$NR$32,$NN$32,0),IF($NP$32="Bell_Curve",$NN$32*(252-$NR$32+1)*($NS$32-252+1)/$NU$32,$NN$32/$NT$32)),0)</f>
        <v/>
      </c>
      <c r="IW32" s="228">
        <f>IF(AND(253&gt;=$NR$32,253&lt;=$NS$32),IF($NP$32="Single_Point",IF(253=$NR$32,$NN$32,0),IF($NP$32="Bell_Curve",$NN$32*(253-$NR$32+1)*($NS$32-253+1)/$NU$32,$NN$32/$NT$32)),0)</f>
        <v/>
      </c>
      <c r="IX32" s="228">
        <f>IF(AND(254&gt;=$NR$32,254&lt;=$NS$32),IF($NP$32="Single_Point",IF(254=$NR$32,$NN$32,0),IF($NP$32="Bell_Curve",$NN$32*(254-$NR$32+1)*($NS$32-254+1)/$NU$32,$NN$32/$NT$32)),0)</f>
        <v/>
      </c>
      <c r="IY32" s="228">
        <f>IF(AND(255&gt;=$NR$32,255&lt;=$NS$32),IF($NP$32="Single_Point",IF(255=$NR$32,$NN$32,0),IF($NP$32="Bell_Curve",$NN$32*(255-$NR$32+1)*($NS$32-255+1)/$NU$32,$NN$32/$NT$32)),0)</f>
        <v/>
      </c>
      <c r="IZ32" s="228">
        <f>IF(AND(256&gt;=$NR$32,256&lt;=$NS$32),IF($NP$32="Single_Point",IF(256=$NR$32,$NN$32,0),IF($NP$32="Bell_Curve",$NN$32*(256-$NR$32+1)*($NS$32-256+1)/$NU$32,$NN$32/$NT$32)),0)</f>
        <v/>
      </c>
      <c r="JA32" s="228">
        <f>IF(AND(257&gt;=$NR$32,257&lt;=$NS$32),IF($NP$32="Single_Point",IF(257=$NR$32,$NN$32,0),IF($NP$32="Bell_Curve",$NN$32*(257-$NR$32+1)*($NS$32-257+1)/$NU$32,$NN$32/$NT$32)),0)</f>
        <v/>
      </c>
      <c r="JB32" s="228">
        <f>IF(AND(258&gt;=$NR$32,258&lt;=$NS$32),IF($NP$32="Single_Point",IF(258=$NR$32,$NN$32,0),IF($NP$32="Bell_Curve",$NN$32*(258-$NR$32+1)*($NS$32-258+1)/$NU$32,$NN$32/$NT$32)),0)</f>
        <v/>
      </c>
      <c r="JC32" s="228">
        <f>IF(AND(259&gt;=$NR$32,259&lt;=$NS$32),IF($NP$32="Single_Point",IF(259=$NR$32,$NN$32,0),IF($NP$32="Bell_Curve",$NN$32*(259-$NR$32+1)*($NS$32-259+1)/$NU$32,$NN$32/$NT$32)),0)</f>
        <v/>
      </c>
      <c r="JD32" s="228">
        <f>IF(AND(260&gt;=$NR$32,260&lt;=$NS$32),IF($NP$32="Single_Point",IF(260=$NR$32,$NN$32,0),IF($NP$32="Bell_Curve",$NN$32*(260-$NR$32+1)*($NS$32-260+1)/$NU$32,$NN$32/$NT$32)),0)</f>
        <v/>
      </c>
      <c r="JE32" s="228">
        <f>IF(AND(261&gt;=$NR$32,261&lt;=$NS$32),IF($NP$32="Single_Point",IF(261=$NR$32,$NN$32,0),IF($NP$32="Bell_Curve",$NN$32*(261-$NR$32+1)*($NS$32-261+1)/$NU$32,$NN$32/$NT$32)),0)</f>
        <v/>
      </c>
      <c r="JF32" s="228">
        <f>IF(AND(262&gt;=$NR$32,262&lt;=$NS$32),IF($NP$32="Single_Point",IF(262=$NR$32,$NN$32,0),IF($NP$32="Bell_Curve",$NN$32*(262-$NR$32+1)*($NS$32-262+1)/$NU$32,$NN$32/$NT$32)),0)</f>
        <v/>
      </c>
      <c r="JG32" s="228">
        <f>IF(AND(263&gt;=$NR$32,263&lt;=$NS$32),IF($NP$32="Single_Point",IF(263=$NR$32,$NN$32,0),IF($NP$32="Bell_Curve",$NN$32*(263-$NR$32+1)*($NS$32-263+1)/$NU$32,$NN$32/$NT$32)),0)</f>
        <v/>
      </c>
      <c r="JH32" s="228">
        <f>IF(AND(264&gt;=$NR$32,264&lt;=$NS$32),IF($NP$32="Single_Point",IF(264=$NR$32,$NN$32,0),IF($NP$32="Bell_Curve",$NN$32*(264-$NR$32+1)*($NS$32-264+1)/$NU$32,$NN$32/$NT$32)),0)</f>
        <v/>
      </c>
      <c r="JI32" s="228">
        <f>IF(AND(265&gt;=$NR$32,265&lt;=$NS$32),IF($NP$32="Single_Point",IF(265=$NR$32,$NN$32,0),IF($NP$32="Bell_Curve",$NN$32*(265-$NR$32+1)*($NS$32-265+1)/$NU$32,$NN$32/$NT$32)),0)</f>
        <v/>
      </c>
      <c r="JJ32" s="228">
        <f>IF(AND(266&gt;=$NR$32,266&lt;=$NS$32),IF($NP$32="Single_Point",IF(266=$NR$32,$NN$32,0),IF($NP$32="Bell_Curve",$NN$32*(266-$NR$32+1)*($NS$32-266+1)/$NU$32,$NN$32/$NT$32)),0)</f>
        <v/>
      </c>
      <c r="JK32" s="228">
        <f>IF(AND(267&gt;=$NR$32,267&lt;=$NS$32),IF($NP$32="Single_Point",IF(267=$NR$32,$NN$32,0),IF($NP$32="Bell_Curve",$NN$32*(267-$NR$32+1)*($NS$32-267+1)/$NU$32,$NN$32/$NT$32)),0)</f>
        <v/>
      </c>
      <c r="JL32" s="228">
        <f>IF(AND(268&gt;=$NR$32,268&lt;=$NS$32),IF($NP$32="Single_Point",IF(268=$NR$32,$NN$32,0),IF($NP$32="Bell_Curve",$NN$32*(268-$NR$32+1)*($NS$32-268+1)/$NU$32,$NN$32/$NT$32)),0)</f>
        <v/>
      </c>
      <c r="JM32" s="228">
        <f>IF(AND(269&gt;=$NR$32,269&lt;=$NS$32),IF($NP$32="Single_Point",IF(269=$NR$32,$NN$32,0),IF($NP$32="Bell_Curve",$NN$32*(269-$NR$32+1)*($NS$32-269+1)/$NU$32,$NN$32/$NT$32)),0)</f>
        <v/>
      </c>
      <c r="JN32" s="228">
        <f>IF(AND(270&gt;=$NR$32,270&lt;=$NS$32),IF($NP$32="Single_Point",IF(270=$NR$32,$NN$32,0),IF($NP$32="Bell_Curve",$NN$32*(270-$NR$32+1)*($NS$32-270+1)/$NU$32,$NN$32/$NT$32)),0)</f>
        <v/>
      </c>
      <c r="JO32" s="228">
        <f>IF(AND(271&gt;=$NR$32,271&lt;=$NS$32),IF($NP$32="Single_Point",IF(271=$NR$32,$NN$32,0),IF($NP$32="Bell_Curve",$NN$32*(271-$NR$32+1)*($NS$32-271+1)/$NU$32,$NN$32/$NT$32)),0)</f>
        <v/>
      </c>
      <c r="JP32" s="228">
        <f>IF(AND(272&gt;=$NR$32,272&lt;=$NS$32),IF($NP$32="Single_Point",IF(272=$NR$32,$NN$32,0),IF($NP$32="Bell_Curve",$NN$32*(272-$NR$32+1)*($NS$32-272+1)/$NU$32,$NN$32/$NT$32)),0)</f>
        <v/>
      </c>
      <c r="JQ32" s="228">
        <f>IF(AND(273&gt;=$NR$32,273&lt;=$NS$32),IF($NP$32="Single_Point",IF(273=$NR$32,$NN$32,0),IF($NP$32="Bell_Curve",$NN$32*(273-$NR$32+1)*($NS$32-273+1)/$NU$32,$NN$32/$NT$32)),0)</f>
        <v/>
      </c>
      <c r="JR32" s="228">
        <f>IF(AND(274&gt;=$NR$32,274&lt;=$NS$32),IF($NP$32="Single_Point",IF(274=$NR$32,$NN$32,0),IF($NP$32="Bell_Curve",$NN$32*(274-$NR$32+1)*($NS$32-274+1)/$NU$32,$NN$32/$NT$32)),0)</f>
        <v/>
      </c>
      <c r="JS32" s="228">
        <f>IF(AND(275&gt;=$NR$32,275&lt;=$NS$32),IF($NP$32="Single_Point",IF(275=$NR$32,$NN$32,0),IF($NP$32="Bell_Curve",$NN$32*(275-$NR$32+1)*($NS$32-275+1)/$NU$32,$NN$32/$NT$32)),0)</f>
        <v/>
      </c>
      <c r="JT32" s="228">
        <f>IF(AND(276&gt;=$NR$32,276&lt;=$NS$32),IF($NP$32="Single_Point",IF(276=$NR$32,$NN$32,0),IF($NP$32="Bell_Curve",$NN$32*(276-$NR$32+1)*($NS$32-276+1)/$NU$32,$NN$32/$NT$32)),0)</f>
        <v/>
      </c>
      <c r="JU32" s="228">
        <f>IF(AND(277&gt;=$NR$32,277&lt;=$NS$32),IF($NP$32="Single_Point",IF(277=$NR$32,$NN$32,0),IF($NP$32="Bell_Curve",$NN$32*(277-$NR$32+1)*($NS$32-277+1)/$NU$32,$NN$32/$NT$32)),0)</f>
        <v/>
      </c>
      <c r="JV32" s="228">
        <f>IF(AND(278&gt;=$NR$32,278&lt;=$NS$32),IF($NP$32="Single_Point",IF(278=$NR$32,$NN$32,0),IF($NP$32="Bell_Curve",$NN$32*(278-$NR$32+1)*($NS$32-278+1)/$NU$32,$NN$32/$NT$32)),0)</f>
        <v/>
      </c>
      <c r="JW32" s="228">
        <f>IF(AND(279&gt;=$NR$32,279&lt;=$NS$32),IF($NP$32="Single_Point",IF(279=$NR$32,$NN$32,0),IF($NP$32="Bell_Curve",$NN$32*(279-$NR$32+1)*($NS$32-279+1)/$NU$32,$NN$32/$NT$32)),0)</f>
        <v/>
      </c>
      <c r="JX32" s="228">
        <f>IF(AND(280&gt;=$NR$32,280&lt;=$NS$32),IF($NP$32="Single_Point",IF(280=$NR$32,$NN$32,0),IF($NP$32="Bell_Curve",$NN$32*(280-$NR$32+1)*($NS$32-280+1)/$NU$32,$NN$32/$NT$32)),0)</f>
        <v/>
      </c>
      <c r="JY32" s="228">
        <f>IF(AND(281&gt;=$NR$32,281&lt;=$NS$32),IF($NP$32="Single_Point",IF(281=$NR$32,$NN$32,0),IF($NP$32="Bell_Curve",$NN$32*(281-$NR$32+1)*($NS$32-281+1)/$NU$32,$NN$32/$NT$32)),0)</f>
        <v/>
      </c>
      <c r="JZ32" s="228">
        <f>IF(AND(282&gt;=$NR$32,282&lt;=$NS$32),IF($NP$32="Single_Point",IF(282=$NR$32,$NN$32,0),IF($NP$32="Bell_Curve",$NN$32*(282-$NR$32+1)*($NS$32-282+1)/$NU$32,$NN$32/$NT$32)),0)</f>
        <v/>
      </c>
      <c r="KA32" s="228">
        <f>IF(AND(283&gt;=$NR$32,283&lt;=$NS$32),IF($NP$32="Single_Point",IF(283=$NR$32,$NN$32,0),IF($NP$32="Bell_Curve",$NN$32*(283-$NR$32+1)*($NS$32-283+1)/$NU$32,$NN$32/$NT$32)),0)</f>
        <v/>
      </c>
      <c r="KB32" s="228">
        <f>IF(AND(284&gt;=$NR$32,284&lt;=$NS$32),IF($NP$32="Single_Point",IF(284=$NR$32,$NN$32,0),IF($NP$32="Bell_Curve",$NN$32*(284-$NR$32+1)*($NS$32-284+1)/$NU$32,$NN$32/$NT$32)),0)</f>
        <v/>
      </c>
      <c r="KC32" s="228">
        <f>IF(AND(285&gt;=$NR$32,285&lt;=$NS$32),IF($NP$32="Single_Point",IF(285=$NR$32,$NN$32,0),IF($NP$32="Bell_Curve",$NN$32*(285-$NR$32+1)*($NS$32-285+1)/$NU$32,$NN$32/$NT$32)),0)</f>
        <v/>
      </c>
      <c r="KD32" s="228">
        <f>IF(AND(286&gt;=$NR$32,286&lt;=$NS$32),IF($NP$32="Single_Point",IF(286=$NR$32,$NN$32,0),IF($NP$32="Bell_Curve",$NN$32*(286-$NR$32+1)*($NS$32-286+1)/$NU$32,$NN$32/$NT$32)),0)</f>
        <v/>
      </c>
      <c r="KE32" s="228">
        <f>IF(AND(287&gt;=$NR$32,287&lt;=$NS$32),IF($NP$32="Single_Point",IF(287=$NR$32,$NN$32,0),IF($NP$32="Bell_Curve",$NN$32*(287-$NR$32+1)*($NS$32-287+1)/$NU$32,$NN$32/$NT$32)),0)</f>
        <v/>
      </c>
      <c r="KF32" s="228">
        <f>IF(AND(288&gt;=$NR$32,288&lt;=$NS$32),IF($NP$32="Single_Point",IF(288=$NR$32,$NN$32,0),IF($NP$32="Bell_Curve",$NN$32*(288-$NR$32+1)*($NS$32-288+1)/$NU$32,$NN$32/$NT$32)),0)</f>
        <v/>
      </c>
      <c r="KG32" s="228">
        <f>IF(AND(289&gt;=$NR$32,289&lt;=$NS$32),IF($NP$32="Single_Point",IF(289=$NR$32,$NN$32,0),IF($NP$32="Bell_Curve",$NN$32*(289-$NR$32+1)*($NS$32-289+1)/$NU$32,$NN$32/$NT$32)),0)</f>
        <v/>
      </c>
      <c r="KH32" s="228">
        <f>IF(AND(290&gt;=$NR$32,290&lt;=$NS$32),IF($NP$32="Single_Point",IF(290=$NR$32,$NN$32,0),IF($NP$32="Bell_Curve",$NN$32*(290-$NR$32+1)*($NS$32-290+1)/$NU$32,$NN$32/$NT$32)),0)</f>
        <v/>
      </c>
      <c r="KI32" s="228">
        <f>IF(AND(291&gt;=$NR$32,291&lt;=$NS$32),IF($NP$32="Single_Point",IF(291=$NR$32,$NN$32,0),IF($NP$32="Bell_Curve",$NN$32*(291-$NR$32+1)*($NS$32-291+1)/$NU$32,$NN$32/$NT$32)),0)</f>
        <v/>
      </c>
      <c r="KJ32" s="228">
        <f>IF(AND(292&gt;=$NR$32,292&lt;=$NS$32),IF($NP$32="Single_Point",IF(292=$NR$32,$NN$32,0),IF($NP$32="Bell_Curve",$NN$32*(292-$NR$32+1)*($NS$32-292+1)/$NU$32,$NN$32/$NT$32)),0)</f>
        <v/>
      </c>
      <c r="KK32" s="228">
        <f>IF(AND(293&gt;=$NR$32,293&lt;=$NS$32),IF($NP$32="Single_Point",IF(293=$NR$32,$NN$32,0),IF($NP$32="Bell_Curve",$NN$32*(293-$NR$32+1)*($NS$32-293+1)/$NU$32,$NN$32/$NT$32)),0)</f>
        <v/>
      </c>
      <c r="KL32" s="228">
        <f>IF(AND(294&gt;=$NR$32,294&lt;=$NS$32),IF($NP$32="Single_Point",IF(294=$NR$32,$NN$32,0),IF($NP$32="Bell_Curve",$NN$32*(294-$NR$32+1)*($NS$32-294+1)/$NU$32,$NN$32/$NT$32)),0)</f>
        <v/>
      </c>
      <c r="KM32" s="228">
        <f>IF(AND(295&gt;=$NR$32,295&lt;=$NS$32),IF($NP$32="Single_Point",IF(295=$NR$32,$NN$32,0),IF($NP$32="Bell_Curve",$NN$32*(295-$NR$32+1)*($NS$32-295+1)/$NU$32,$NN$32/$NT$32)),0)</f>
        <v/>
      </c>
      <c r="KN32" s="228">
        <f>IF(AND(296&gt;=$NR$32,296&lt;=$NS$32),IF($NP$32="Single_Point",IF(296=$NR$32,$NN$32,0),IF($NP$32="Bell_Curve",$NN$32*(296-$NR$32+1)*($NS$32-296+1)/$NU$32,$NN$32/$NT$32)),0)</f>
        <v/>
      </c>
      <c r="KO32" s="228">
        <f>IF(AND(297&gt;=$NR$32,297&lt;=$NS$32),IF($NP$32="Single_Point",IF(297=$NR$32,$NN$32,0),IF($NP$32="Bell_Curve",$NN$32*(297-$NR$32+1)*($NS$32-297+1)/$NU$32,$NN$32/$NT$32)),0)</f>
        <v/>
      </c>
      <c r="KP32" s="228">
        <f>IF(AND(298&gt;=$NR$32,298&lt;=$NS$32),IF($NP$32="Single_Point",IF(298=$NR$32,$NN$32,0),IF($NP$32="Bell_Curve",$NN$32*(298-$NR$32+1)*($NS$32-298+1)/$NU$32,$NN$32/$NT$32)),0)</f>
        <v/>
      </c>
      <c r="KQ32" s="228">
        <f>IF(AND(299&gt;=$NR$32,299&lt;=$NS$32),IF($NP$32="Single_Point",IF(299=$NR$32,$NN$32,0),IF($NP$32="Bell_Curve",$NN$32*(299-$NR$32+1)*($NS$32-299+1)/$NU$32,$NN$32/$NT$32)),0)</f>
        <v/>
      </c>
      <c r="KR32" s="228">
        <f>IF(AND(300&gt;=$NR$32,300&lt;=$NS$32),IF($NP$32="Single_Point",IF(300=$NR$32,$NN$32,0),IF($NP$32="Bell_Curve",$NN$32*(300-$NR$32+1)*($NS$32-300+1)/$NU$32,$NN$32/$NT$32)),0)</f>
        <v/>
      </c>
      <c r="KS32" s="228">
        <f>IF(AND(301&gt;=$NR$32,301&lt;=$NS$32),IF($NP$32="Single_Point",IF(301=$NR$32,$NN$32,0),IF($NP$32="Bell_Curve",$NN$32*(301-$NR$32+1)*($NS$32-301+1)/$NU$32,$NN$32/$NT$32)),0)</f>
        <v/>
      </c>
      <c r="KT32" s="228">
        <f>IF(AND(302&gt;=$NR$32,302&lt;=$NS$32),IF($NP$32="Single_Point",IF(302=$NR$32,$NN$32,0),IF($NP$32="Bell_Curve",$NN$32*(302-$NR$32+1)*($NS$32-302+1)/$NU$32,$NN$32/$NT$32)),0)</f>
        <v/>
      </c>
      <c r="KU32" s="228">
        <f>IF(AND(303&gt;=$NR$32,303&lt;=$NS$32),IF($NP$32="Single_Point",IF(303=$NR$32,$NN$32,0),IF($NP$32="Bell_Curve",$NN$32*(303-$NR$32+1)*($NS$32-303+1)/$NU$32,$NN$32/$NT$32)),0)</f>
        <v/>
      </c>
      <c r="KV32" s="228">
        <f>IF(AND(304&gt;=$NR$32,304&lt;=$NS$32),IF($NP$32="Single_Point",IF(304=$NR$32,$NN$32,0),IF($NP$32="Bell_Curve",$NN$32*(304-$NR$32+1)*($NS$32-304+1)/$NU$32,$NN$32/$NT$32)),0)</f>
        <v/>
      </c>
      <c r="KW32" s="228">
        <f>IF(AND(305&gt;=$NR$32,305&lt;=$NS$32),IF($NP$32="Single_Point",IF(305=$NR$32,$NN$32,0),IF($NP$32="Bell_Curve",$NN$32*(305-$NR$32+1)*($NS$32-305+1)/$NU$32,$NN$32/$NT$32)),0)</f>
        <v/>
      </c>
      <c r="KX32" s="228">
        <f>IF(AND(306&gt;=$NR$32,306&lt;=$NS$32),IF($NP$32="Single_Point",IF(306=$NR$32,$NN$32,0),IF($NP$32="Bell_Curve",$NN$32*(306-$NR$32+1)*($NS$32-306+1)/$NU$32,$NN$32/$NT$32)),0)</f>
        <v/>
      </c>
      <c r="KY32" s="228">
        <f>IF(AND(307&gt;=$NR$32,307&lt;=$NS$32),IF($NP$32="Single_Point",IF(307=$NR$32,$NN$32,0),IF($NP$32="Bell_Curve",$NN$32*(307-$NR$32+1)*($NS$32-307+1)/$NU$32,$NN$32/$NT$32)),0)</f>
        <v/>
      </c>
      <c r="KZ32" s="228">
        <f>IF(AND(308&gt;=$NR$32,308&lt;=$NS$32),IF($NP$32="Single_Point",IF(308=$NR$32,$NN$32,0),IF($NP$32="Bell_Curve",$NN$32*(308-$NR$32+1)*($NS$32-308+1)/$NU$32,$NN$32/$NT$32)),0)</f>
        <v/>
      </c>
      <c r="LA32" s="228">
        <f>IF(AND(309&gt;=$NR$32,309&lt;=$NS$32),IF($NP$32="Single_Point",IF(309=$NR$32,$NN$32,0),IF($NP$32="Bell_Curve",$NN$32*(309-$NR$32+1)*($NS$32-309+1)/$NU$32,$NN$32/$NT$32)),0)</f>
        <v/>
      </c>
      <c r="LB32" s="228">
        <f>IF(AND(310&gt;=$NR$32,310&lt;=$NS$32),IF($NP$32="Single_Point",IF(310=$NR$32,$NN$32,0),IF($NP$32="Bell_Curve",$NN$32*(310-$NR$32+1)*($NS$32-310+1)/$NU$32,$NN$32/$NT$32)),0)</f>
        <v/>
      </c>
      <c r="LC32" s="228">
        <f>IF(AND(311&gt;=$NR$32,311&lt;=$NS$32),IF($NP$32="Single_Point",IF(311=$NR$32,$NN$32,0),IF($NP$32="Bell_Curve",$NN$32*(311-$NR$32+1)*($NS$32-311+1)/$NU$32,$NN$32/$NT$32)),0)</f>
        <v/>
      </c>
      <c r="LD32" s="228">
        <f>IF(AND(312&gt;=$NR$32,312&lt;=$NS$32),IF($NP$32="Single_Point",IF(312=$NR$32,$NN$32,0),IF($NP$32="Bell_Curve",$NN$32*(312-$NR$32+1)*($NS$32-312+1)/$NU$32,$NN$32/$NT$32)),0)</f>
        <v/>
      </c>
      <c r="LE32" s="228">
        <f>IF(AND(313&gt;=$NR$32,313&lt;=$NS$32),IF($NP$32="Single_Point",IF(313=$NR$32,$NN$32,0),IF($NP$32="Bell_Curve",$NN$32*(313-$NR$32+1)*($NS$32-313+1)/$NU$32,$NN$32/$NT$32)),0)</f>
        <v/>
      </c>
      <c r="LF32" s="228">
        <f>IF(AND(314&gt;=$NR$32,314&lt;=$NS$32),IF($NP$32="Single_Point",IF(314=$NR$32,$NN$32,0),IF($NP$32="Bell_Curve",$NN$32*(314-$NR$32+1)*($NS$32-314+1)/$NU$32,$NN$32/$NT$32)),0)</f>
        <v/>
      </c>
      <c r="LG32" s="228">
        <f>IF(AND(315&gt;=$NR$32,315&lt;=$NS$32),IF($NP$32="Single_Point",IF(315=$NR$32,$NN$32,0),IF($NP$32="Bell_Curve",$NN$32*(315-$NR$32+1)*($NS$32-315+1)/$NU$32,$NN$32/$NT$32)),0)</f>
        <v/>
      </c>
      <c r="LH32" s="228">
        <f>IF(AND(316&gt;=$NR$32,316&lt;=$NS$32),IF($NP$32="Single_Point",IF(316=$NR$32,$NN$32,0),IF($NP$32="Bell_Curve",$NN$32*(316-$NR$32+1)*($NS$32-316+1)/$NU$32,$NN$32/$NT$32)),0)</f>
        <v/>
      </c>
      <c r="LI32" s="228">
        <f>IF(AND(317&gt;=$NR$32,317&lt;=$NS$32),IF($NP$32="Single_Point",IF(317=$NR$32,$NN$32,0),IF($NP$32="Bell_Curve",$NN$32*(317-$NR$32+1)*($NS$32-317+1)/$NU$32,$NN$32/$NT$32)),0)</f>
        <v/>
      </c>
      <c r="LJ32" s="228">
        <f>IF(AND(318&gt;=$NR$32,318&lt;=$NS$32),IF($NP$32="Single_Point",IF(318=$NR$32,$NN$32,0),IF($NP$32="Bell_Curve",$NN$32*(318-$NR$32+1)*($NS$32-318+1)/$NU$32,$NN$32/$NT$32)),0)</f>
        <v/>
      </c>
      <c r="LK32" s="228">
        <f>IF(AND(319&gt;=$NR$32,319&lt;=$NS$32),IF($NP$32="Single_Point",IF(319=$NR$32,$NN$32,0),IF($NP$32="Bell_Curve",$NN$32*(319-$NR$32+1)*($NS$32-319+1)/$NU$32,$NN$32/$NT$32)),0)</f>
        <v/>
      </c>
      <c r="LL32" s="228">
        <f>IF(AND(320&gt;=$NR$32,320&lt;=$NS$32),IF($NP$32="Single_Point",IF(320=$NR$32,$NN$32,0),IF($NP$32="Bell_Curve",$NN$32*(320-$NR$32+1)*($NS$32-320+1)/$NU$32,$NN$32/$NT$32)),0)</f>
        <v/>
      </c>
      <c r="LM32" s="228">
        <f>IF(AND(321&gt;=$NR$32,321&lt;=$NS$32),IF($NP$32="Single_Point",IF(321=$NR$32,$NN$32,0),IF($NP$32="Bell_Curve",$NN$32*(321-$NR$32+1)*($NS$32-321+1)/$NU$32,$NN$32/$NT$32)),0)</f>
        <v/>
      </c>
      <c r="LN32" s="228">
        <f>IF(AND(322&gt;=$NR$32,322&lt;=$NS$32),IF($NP$32="Single_Point",IF(322=$NR$32,$NN$32,0),IF($NP$32="Bell_Curve",$NN$32*(322-$NR$32+1)*($NS$32-322+1)/$NU$32,$NN$32/$NT$32)),0)</f>
        <v/>
      </c>
      <c r="LO32" s="228">
        <f>IF(AND(323&gt;=$NR$32,323&lt;=$NS$32),IF($NP$32="Single_Point",IF(323=$NR$32,$NN$32,0),IF($NP$32="Bell_Curve",$NN$32*(323-$NR$32+1)*($NS$32-323+1)/$NU$32,$NN$32/$NT$32)),0)</f>
        <v/>
      </c>
      <c r="LP32" s="228">
        <f>IF(AND(324&gt;=$NR$32,324&lt;=$NS$32),IF($NP$32="Single_Point",IF(324=$NR$32,$NN$32,0),IF($NP$32="Bell_Curve",$NN$32*(324-$NR$32+1)*($NS$32-324+1)/$NU$32,$NN$32/$NT$32)),0)</f>
        <v/>
      </c>
      <c r="LQ32" s="228">
        <f>IF(AND(325&gt;=$NR$32,325&lt;=$NS$32),IF($NP$32="Single_Point",IF(325=$NR$32,$NN$32,0),IF($NP$32="Bell_Curve",$NN$32*(325-$NR$32+1)*($NS$32-325+1)/$NU$32,$NN$32/$NT$32)),0)</f>
        <v/>
      </c>
      <c r="LR32" s="228">
        <f>IF(AND(326&gt;=$NR$32,326&lt;=$NS$32),IF($NP$32="Single_Point",IF(326=$NR$32,$NN$32,0),IF($NP$32="Bell_Curve",$NN$32*(326-$NR$32+1)*($NS$32-326+1)/$NU$32,$NN$32/$NT$32)),0)</f>
        <v/>
      </c>
      <c r="LS32" s="228">
        <f>IF(AND(327&gt;=$NR$32,327&lt;=$NS$32),IF($NP$32="Single_Point",IF(327=$NR$32,$NN$32,0),IF($NP$32="Bell_Curve",$NN$32*(327-$NR$32+1)*($NS$32-327+1)/$NU$32,$NN$32/$NT$32)),0)</f>
        <v/>
      </c>
      <c r="LT32" s="228">
        <f>IF(AND(328&gt;=$NR$32,328&lt;=$NS$32),IF($NP$32="Single_Point",IF(328=$NR$32,$NN$32,0),IF($NP$32="Bell_Curve",$NN$32*(328-$NR$32+1)*($NS$32-328+1)/$NU$32,$NN$32/$NT$32)),0)</f>
        <v/>
      </c>
      <c r="LU32" s="228">
        <f>IF(AND(329&gt;=$NR$32,329&lt;=$NS$32),IF($NP$32="Single_Point",IF(329=$NR$32,$NN$32,0),IF($NP$32="Bell_Curve",$NN$32*(329-$NR$32+1)*($NS$32-329+1)/$NU$32,$NN$32/$NT$32)),0)</f>
        <v/>
      </c>
      <c r="LV32" s="228">
        <f>IF(AND(330&gt;=$NR$32,330&lt;=$NS$32),IF($NP$32="Single_Point",IF(330=$NR$32,$NN$32,0),IF($NP$32="Bell_Curve",$NN$32*(330-$NR$32+1)*($NS$32-330+1)/$NU$32,$NN$32/$NT$32)),0)</f>
        <v/>
      </c>
      <c r="LW32" s="228">
        <f>IF(AND(331&gt;=$NR$32,331&lt;=$NS$32),IF($NP$32="Single_Point",IF(331=$NR$32,$NN$32,0),IF($NP$32="Bell_Curve",$NN$32*(331-$NR$32+1)*($NS$32-331+1)/$NU$32,$NN$32/$NT$32)),0)</f>
        <v/>
      </c>
      <c r="LX32" s="228">
        <f>IF(AND(332&gt;=$NR$32,332&lt;=$NS$32),IF($NP$32="Single_Point",IF(332=$NR$32,$NN$32,0),IF($NP$32="Bell_Curve",$NN$32*(332-$NR$32+1)*($NS$32-332+1)/$NU$32,$NN$32/$NT$32)),0)</f>
        <v/>
      </c>
      <c r="LY32" s="228">
        <f>IF(AND(333&gt;=$NR$32,333&lt;=$NS$32),IF($NP$32="Single_Point",IF(333=$NR$32,$NN$32,0),IF($NP$32="Bell_Curve",$NN$32*(333-$NR$32+1)*($NS$32-333+1)/$NU$32,$NN$32/$NT$32)),0)</f>
        <v/>
      </c>
      <c r="LZ32" s="228">
        <f>IF(AND(334&gt;=$NR$32,334&lt;=$NS$32),IF($NP$32="Single_Point",IF(334=$NR$32,$NN$32,0),IF($NP$32="Bell_Curve",$NN$32*(334-$NR$32+1)*($NS$32-334+1)/$NU$32,$NN$32/$NT$32)),0)</f>
        <v/>
      </c>
      <c r="MA32" s="228">
        <f>IF(AND(335&gt;=$NR$32,335&lt;=$NS$32),IF($NP$32="Single_Point",IF(335=$NR$32,$NN$32,0),IF($NP$32="Bell_Curve",$NN$32*(335-$NR$32+1)*($NS$32-335+1)/$NU$32,$NN$32/$NT$32)),0)</f>
        <v/>
      </c>
      <c r="MB32" s="228">
        <f>IF(AND(336&gt;=$NR$32,336&lt;=$NS$32),IF($NP$32="Single_Point",IF(336=$NR$32,$NN$32,0),IF($NP$32="Bell_Curve",$NN$32*(336-$NR$32+1)*($NS$32-336+1)/$NU$32,$NN$32/$NT$32)),0)</f>
        <v/>
      </c>
      <c r="MC32" s="228">
        <f>IF(AND(337&gt;=$NR$32,337&lt;=$NS$32),IF($NP$32="Single_Point",IF(337=$NR$32,$NN$32,0),IF($NP$32="Bell_Curve",$NN$32*(337-$NR$32+1)*($NS$32-337+1)/$NU$32,$NN$32/$NT$32)),0)</f>
        <v/>
      </c>
      <c r="MD32" s="228">
        <f>IF(AND(338&gt;=$NR$32,338&lt;=$NS$32),IF($NP$32="Single_Point",IF(338=$NR$32,$NN$32,0),IF($NP$32="Bell_Curve",$NN$32*(338-$NR$32+1)*($NS$32-338+1)/$NU$32,$NN$32/$NT$32)),0)</f>
        <v/>
      </c>
      <c r="ME32" s="228">
        <f>IF(AND(339&gt;=$NR$32,339&lt;=$NS$32),IF($NP$32="Single_Point",IF(339=$NR$32,$NN$32,0),IF($NP$32="Bell_Curve",$NN$32*(339-$NR$32+1)*($NS$32-339+1)/$NU$32,$NN$32/$NT$32)),0)</f>
        <v/>
      </c>
      <c r="MF32" s="228">
        <f>IF(AND(340&gt;=$NR$32,340&lt;=$NS$32),IF($NP$32="Single_Point",IF(340=$NR$32,$NN$32,0),IF($NP$32="Bell_Curve",$NN$32*(340-$NR$32+1)*($NS$32-340+1)/$NU$32,$NN$32/$NT$32)),0)</f>
        <v/>
      </c>
      <c r="MG32" s="228">
        <f>IF(AND(341&gt;=$NR$32,341&lt;=$NS$32),IF($NP$32="Single_Point",IF(341=$NR$32,$NN$32,0),IF($NP$32="Bell_Curve",$NN$32*(341-$NR$32+1)*($NS$32-341+1)/$NU$32,$NN$32/$NT$32)),0)</f>
        <v/>
      </c>
      <c r="MH32" s="228">
        <f>IF(AND(342&gt;=$NR$32,342&lt;=$NS$32),IF($NP$32="Single_Point",IF(342=$NR$32,$NN$32,0),IF($NP$32="Bell_Curve",$NN$32*(342-$NR$32+1)*($NS$32-342+1)/$NU$32,$NN$32/$NT$32)),0)</f>
        <v/>
      </c>
      <c r="MI32" s="228">
        <f>IF(AND(343&gt;=$NR$32,343&lt;=$NS$32),IF($NP$32="Single_Point",IF(343=$NR$32,$NN$32,0),IF($NP$32="Bell_Curve",$NN$32*(343-$NR$32+1)*($NS$32-343+1)/$NU$32,$NN$32/$NT$32)),0)</f>
        <v/>
      </c>
      <c r="MJ32" s="228">
        <f>IF(AND(344&gt;=$NR$32,344&lt;=$NS$32),IF($NP$32="Single_Point",IF(344=$NR$32,$NN$32,0),IF($NP$32="Bell_Curve",$NN$32*(344-$NR$32+1)*($NS$32-344+1)/$NU$32,$NN$32/$NT$32)),0)</f>
        <v/>
      </c>
      <c r="MK32" s="228">
        <f>IF(AND(345&gt;=$NR$32,345&lt;=$NS$32),IF($NP$32="Single_Point",IF(345=$NR$32,$NN$32,0),IF($NP$32="Bell_Curve",$NN$32*(345-$NR$32+1)*($NS$32-345+1)/$NU$32,$NN$32/$NT$32)),0)</f>
        <v/>
      </c>
      <c r="ML32" s="228">
        <f>IF(AND(346&gt;=$NR$32,346&lt;=$NS$32),IF($NP$32="Single_Point",IF(346=$NR$32,$NN$32,0),IF($NP$32="Bell_Curve",$NN$32*(346-$NR$32+1)*($NS$32-346+1)/$NU$32,$NN$32/$NT$32)),0)</f>
        <v/>
      </c>
      <c r="MM32" s="228">
        <f>IF(AND(347&gt;=$NR$32,347&lt;=$NS$32),IF($NP$32="Single_Point",IF(347=$NR$32,$NN$32,0),IF($NP$32="Bell_Curve",$NN$32*(347-$NR$32+1)*($NS$32-347+1)/$NU$32,$NN$32/$NT$32)),0)</f>
        <v/>
      </c>
      <c r="MN32" s="228">
        <f>IF(AND(348&gt;=$NR$32,348&lt;=$NS$32),IF($NP$32="Single_Point",IF(348=$NR$32,$NN$32,0),IF($NP$32="Bell_Curve",$NN$32*(348-$NR$32+1)*($NS$32-348+1)/$NU$32,$NN$32/$NT$32)),0)</f>
        <v/>
      </c>
      <c r="MO32" s="228">
        <f>IF(AND(349&gt;=$NR$32,349&lt;=$NS$32),IF($NP$32="Single_Point",IF(349=$NR$32,$NN$32,0),IF($NP$32="Bell_Curve",$NN$32*(349-$NR$32+1)*($NS$32-349+1)/$NU$32,$NN$32/$NT$32)),0)</f>
        <v/>
      </c>
      <c r="MP32" s="228">
        <f>IF(AND(350&gt;=$NR$32,350&lt;=$NS$32),IF($NP$32="Single_Point",IF(350=$NR$32,$NN$32,0),IF($NP$32="Bell_Curve",$NN$32*(350-$NR$32+1)*($NS$32-350+1)/$NU$32,$NN$32/$NT$32)),0)</f>
        <v/>
      </c>
      <c r="MQ32" s="228">
        <f>IF(AND(351&gt;=$NR$32,351&lt;=$NS$32),IF($NP$32="Single_Point",IF(351=$NR$32,$NN$32,0),IF($NP$32="Bell_Curve",$NN$32*(351-$NR$32+1)*($NS$32-351+1)/$NU$32,$NN$32/$NT$32)),0)</f>
        <v/>
      </c>
      <c r="MR32" s="228">
        <f>IF(AND(352&gt;=$NR$32,352&lt;=$NS$32),IF($NP$32="Single_Point",IF(352=$NR$32,$NN$32,0),IF($NP$32="Bell_Curve",$NN$32*(352-$NR$32+1)*($NS$32-352+1)/$NU$32,$NN$32/$NT$32)),0)</f>
        <v/>
      </c>
      <c r="MS32" s="228">
        <f>IF(AND(353&gt;=$NR$32,353&lt;=$NS$32),IF($NP$32="Single_Point",IF(353=$NR$32,$NN$32,0),IF($NP$32="Bell_Curve",$NN$32*(353-$NR$32+1)*($NS$32-353+1)/$NU$32,$NN$32/$NT$32)),0)</f>
        <v/>
      </c>
      <c r="MT32" s="228">
        <f>IF(AND(354&gt;=$NR$32,354&lt;=$NS$32),IF($NP$32="Single_Point",IF(354=$NR$32,$NN$32,0),IF($NP$32="Bell_Curve",$NN$32*(354-$NR$32+1)*($NS$32-354+1)/$NU$32,$NN$32/$NT$32)),0)</f>
        <v/>
      </c>
      <c r="MU32" s="228">
        <f>IF(AND(355&gt;=$NR$32,355&lt;=$NS$32),IF($NP$32="Single_Point",IF(355=$NR$32,$NN$32,0),IF($NP$32="Bell_Curve",$NN$32*(355-$NR$32+1)*($NS$32-355+1)/$NU$32,$NN$32/$NT$32)),0)</f>
        <v/>
      </c>
      <c r="MV32" s="228">
        <f>IF(AND(356&gt;=$NR$32,356&lt;=$NS$32),IF($NP$32="Single_Point",IF(356=$NR$32,$NN$32,0),IF($NP$32="Bell_Curve",$NN$32*(356-$NR$32+1)*($NS$32-356+1)/$NU$32,$NN$32/$NT$32)),0)</f>
        <v/>
      </c>
      <c r="MW32" s="228">
        <f>IF(AND(357&gt;=$NR$32,357&lt;=$NS$32),IF($NP$32="Single_Point",IF(357=$NR$32,$NN$32,0),IF($NP$32="Bell_Curve",$NN$32*(357-$NR$32+1)*($NS$32-357+1)/$NU$32,$NN$32/$NT$32)),0)</f>
        <v/>
      </c>
      <c r="MX32" s="228">
        <f>IF(AND(358&gt;=$NR$32,358&lt;=$NS$32),IF($NP$32="Single_Point",IF(358=$NR$32,$NN$32,0),IF($NP$32="Bell_Curve",$NN$32*(358-$NR$32+1)*($NS$32-358+1)/$NU$32,$NN$32/$NT$32)),0)</f>
        <v/>
      </c>
      <c r="MY32" s="228">
        <f>IF(AND(359&gt;=$NR$32,359&lt;=$NS$32),IF($NP$32="Single_Point",IF(359=$NR$32,$NN$32,0),IF($NP$32="Bell_Curve",$NN$32*(359-$NR$32+1)*($NS$32-359+1)/$NU$32,$NN$32/$NT$32)),0)</f>
        <v/>
      </c>
      <c r="MZ32" s="228">
        <f>IF(AND(360&gt;=$NR$32,360&lt;=$NS$32),IF($NP$32="Single_Point",IF(360=$NR$32,$NN$32,0),IF($NP$32="Bell_Curve",$NN$32*(360-$NR$32+1)*($NS$32-360+1)/$NU$32,$NN$32/$NT$32)),0)</f>
        <v/>
      </c>
      <c r="NA32" s="228">
        <f>IF(AND(361&gt;=$NR$32,361&lt;=$NS$32),IF($NP$32="Single_Point",IF(361=$NR$32,$NN$32,0),IF($NP$32="Bell_Curve",$NN$32*(361-$NR$32+1)*($NS$32-361+1)/$NU$32,$NN$32/$NT$32)),0)</f>
        <v/>
      </c>
      <c r="NB32" s="228">
        <f>IF(AND(362&gt;=$NR$32,362&lt;=$NS$32),IF($NP$32="Single_Point",IF(362=$NR$32,$NN$32,0),IF($NP$32="Bell_Curve",$NN$32*(362-$NR$32+1)*($NS$32-362+1)/$NU$32,$NN$32/$NT$32)),0)</f>
        <v/>
      </c>
      <c r="NC32" s="228">
        <f>IF(AND(363&gt;=$NR$32,363&lt;=$NS$32),IF($NP$32="Single_Point",IF(363=$NR$32,$NN$32,0),IF($NP$32="Bell_Curve",$NN$32*(363-$NR$32+1)*($NS$32-363+1)/$NU$32,$NN$32/$NT$32)),0)</f>
        <v/>
      </c>
      <c r="ND32" s="228">
        <f>IF(AND(364&gt;=$NR$32,364&lt;=$NS$32),IF($NP$32="Single_Point",IF(364=$NR$32,$NN$32,0),IF($NP$32="Bell_Curve",$NN$32*(364-$NR$32+1)*($NS$32-364+1)/$NU$32,$NN$32/$NT$32)),0)</f>
        <v/>
      </c>
      <c r="NE32" s="228">
        <f>IF(AND(365&gt;=$NR$32,365&lt;=$NS$32),IF($NP$32="Single_Point",IF(365=$NR$32,$NN$32,0),IF($NP$32="Bell_Curve",$NN$32*(365-$NR$32+1)*($NS$32-365+1)/$NU$32,$NN$32/$NT$32)),0)</f>
        <v/>
      </c>
      <c r="NF32" s="228">
        <f>IF(AND(366&gt;=$NR$32,366&lt;=$NS$32),IF($NP$32="Single_Point",IF(366=$NR$32,$NN$32,0),IF($NP$32="Bell_Curve",$NN$32*(366-$NR$32+1)*($NS$32-366+1)/$NU$32,$NN$32/$NT$32)),0)</f>
        <v/>
      </c>
      <c r="NG32" s="228">
        <f>IF(AND(367&gt;=$NR$32,367&lt;=$NS$32),IF($NP$32="Single_Point",IF(367=$NR$32,$NN$32,0),IF($NP$32="Bell_Curve",$NN$32*(367-$NR$32+1)*($NS$32-367+1)/$NU$32,$NN$32/$NT$32)),0)</f>
        <v/>
      </c>
      <c r="NH32" s="228">
        <f>IF(AND(368&gt;=$NR$32,368&lt;=$NS$32),IF($NP$32="Single_Point",IF(368=$NR$32,$NN$32,0),IF($NP$32="Bell_Curve",$NN$32*(368-$NR$32+1)*($NS$32-368+1)/$NU$32,$NN$32/$NT$32)),0)</f>
        <v/>
      </c>
      <c r="NI32" s="228">
        <f>IF(AND(369&gt;=$NR$32,369&lt;=$NS$32),IF($NP$32="Single_Point",IF(369=$NR$32,$NN$32,0),IF($NP$32="Bell_Curve",$NN$32*(369-$NR$32+1)*($NS$32-369+1)/$NU$32,$NN$32/$NT$32)),0)</f>
        <v/>
      </c>
      <c r="NJ32" s="228">
        <f>IF(AND(370&gt;=$NR$32,370&lt;=$NS$32),IF($NP$32="Single_Point",IF(370=$NR$32,$NN$32,0),IF($NP$32="Bell_Curve",$NN$32*(370-$NR$32+1)*($NS$32-370+1)/$NU$32,$NN$32/$NT$32)),0)</f>
        <v/>
      </c>
      <c r="NK32" s="228">
        <f>IF(AND(371&gt;=$NR$32,371&lt;=$NS$32),IF($NP$32="Single_Point",IF(371=$NR$32,$NN$32,0),IF($NP$32="Bell_Curve",$NN$32*(371-$NR$32+1)*($NS$32-371+1)/$NU$32,$NN$32/$NT$32)),0)</f>
        <v/>
      </c>
      <c r="NL32" s="247">
        <f>IF(AND(372&gt;=$NR$32,372&lt;=$NS$32),IF($NP$32="Single_Point",IF(372=$NR$32,$NN$32,0),IF($NP$32="Bell_Curve",$NN$32*(372-$NR$32+1)*($NS$32-372+1)/$NU$32,$NN$32/$NT$32)),0)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52" t="n"/>
      <c r="D33" s="249" t="n"/>
      <c r="E33" s="249" t="n"/>
      <c r="F33" s="249" t="n"/>
      <c r="G33" s="249" t="n"/>
      <c r="H33" s="249" t="n"/>
      <c r="I33" s="249" t="n"/>
      <c r="J33" s="249" t="n"/>
      <c r="K33" s="249" t="n"/>
      <c r="L33" s="249" t="n"/>
      <c r="M33" s="249" t="n"/>
      <c r="N33" s="249" t="n"/>
      <c r="O33" s="249" t="n"/>
      <c r="P33" s="249" t="n"/>
      <c r="Q33" s="249" t="n"/>
      <c r="R33" s="249" t="n"/>
      <c r="S33" s="249" t="n"/>
      <c r="T33" s="249" t="n"/>
      <c r="U33" s="249" t="n"/>
      <c r="V33" s="249" t="n"/>
      <c r="W33" s="249" t="n"/>
      <c r="X33" s="249" t="n"/>
      <c r="Y33" s="249" t="n"/>
      <c r="Z33" s="249" t="n"/>
      <c r="AA33" s="249" t="n"/>
      <c r="AB33" s="249" t="n"/>
      <c r="AC33" s="249" t="n"/>
      <c r="AD33" s="249" t="n"/>
      <c r="AE33" s="249" t="n"/>
      <c r="AF33" s="249" t="n"/>
      <c r="AG33" s="249" t="n"/>
      <c r="AH33" s="249" t="n"/>
      <c r="AI33" s="249" t="n"/>
      <c r="AJ33" s="249" t="n"/>
      <c r="AK33" s="249" t="n"/>
      <c r="AL33" s="249" t="n"/>
      <c r="AM33" s="249" t="n"/>
      <c r="AN33" s="249" t="n"/>
      <c r="AO33" s="249" t="n"/>
      <c r="AP33" s="249" t="n"/>
      <c r="AQ33" s="249" t="n"/>
      <c r="AR33" s="249" t="n"/>
      <c r="AS33" s="249" t="n"/>
      <c r="AT33" s="249" t="n"/>
      <c r="AU33" s="249" t="n"/>
      <c r="AV33" s="249" t="n"/>
      <c r="AW33" s="249" t="n"/>
      <c r="AX33" s="249" t="n"/>
      <c r="AY33" s="249" t="n"/>
      <c r="AZ33" s="249" t="n"/>
      <c r="BA33" s="249" t="n"/>
      <c r="BB33" s="249" t="n"/>
      <c r="BC33" s="249" t="n"/>
      <c r="BD33" s="249" t="n"/>
      <c r="BE33" s="249" t="n"/>
      <c r="BF33" s="249" t="n"/>
      <c r="BG33" s="249" t="n"/>
      <c r="BH33" s="249" t="n"/>
      <c r="BI33" s="249" t="n"/>
      <c r="BJ33" s="249" t="n"/>
      <c r="BK33" s="249" t="n"/>
      <c r="BL33" s="249" t="n"/>
      <c r="BM33" s="249" t="n"/>
      <c r="BN33" s="249" t="n"/>
      <c r="BO33" s="249" t="n"/>
      <c r="BP33" s="249" t="n"/>
      <c r="BQ33" s="249" t="n"/>
      <c r="BR33" s="249" t="n"/>
      <c r="BS33" s="249" t="n"/>
      <c r="BT33" s="249" t="n"/>
      <c r="BU33" s="249" t="n"/>
      <c r="BV33" s="249" t="n"/>
      <c r="BW33" s="249" t="n"/>
      <c r="BX33" s="249" t="n"/>
      <c r="BY33" s="249" t="n"/>
      <c r="BZ33" s="249" t="n"/>
      <c r="CA33" s="249" t="n"/>
      <c r="CB33" s="249" t="n"/>
      <c r="CC33" s="249" t="n"/>
      <c r="CD33" s="249" t="n"/>
      <c r="CE33" s="249" t="n"/>
      <c r="CF33" s="249" t="n"/>
      <c r="CG33" s="249" t="n"/>
      <c r="CH33" s="249" t="n"/>
      <c r="CI33" s="249" t="n"/>
      <c r="CJ33" s="249" t="n"/>
      <c r="CK33" s="249" t="n"/>
      <c r="CL33" s="249" t="n"/>
      <c r="CM33" s="249" t="n"/>
      <c r="CN33" s="249" t="n"/>
      <c r="CO33" s="249" t="n"/>
      <c r="CP33" s="249" t="n"/>
      <c r="CQ33" s="249" t="n"/>
      <c r="CR33" s="249" t="n"/>
      <c r="CS33" s="249" t="n"/>
      <c r="CT33" s="249" t="n"/>
      <c r="CU33" s="249" t="n"/>
      <c r="CV33" s="249" t="n"/>
      <c r="CW33" s="249" t="n"/>
      <c r="CX33" s="249" t="n"/>
      <c r="CY33" s="249" t="n"/>
      <c r="CZ33" s="249" t="n"/>
      <c r="DA33" s="249" t="n"/>
      <c r="DB33" s="249" t="n"/>
      <c r="DC33" s="249" t="n"/>
      <c r="DD33" s="249" t="n"/>
      <c r="DE33" s="249" t="n"/>
      <c r="DF33" s="249" t="n"/>
      <c r="DG33" s="249" t="n"/>
      <c r="DH33" s="249" t="n"/>
      <c r="DI33" s="249" t="n"/>
      <c r="DJ33" s="249" t="n"/>
      <c r="DK33" s="249" t="n"/>
      <c r="DL33" s="249" t="n"/>
      <c r="DM33" s="249" t="n"/>
      <c r="DN33" s="249" t="n"/>
      <c r="DO33" s="249" t="n"/>
      <c r="DP33" s="249" t="n"/>
      <c r="DQ33" s="249" t="n"/>
      <c r="DR33" s="249" t="n"/>
      <c r="DS33" s="249" t="n"/>
      <c r="DT33" s="249" t="n"/>
      <c r="DU33" s="249" t="n"/>
      <c r="DV33" s="249" t="n"/>
      <c r="DW33" s="249" t="n"/>
      <c r="DX33" s="249" t="n"/>
      <c r="DY33" s="249" t="n"/>
      <c r="DZ33" s="249" t="n"/>
      <c r="EA33" s="249" t="n"/>
      <c r="EB33" s="249" t="n"/>
      <c r="EC33" s="249" t="n"/>
      <c r="ED33" s="249" t="n"/>
      <c r="EE33" s="249" t="n"/>
      <c r="EF33" s="249" t="n"/>
      <c r="EG33" s="249" t="n"/>
      <c r="EH33" s="249" t="n"/>
      <c r="EI33" s="249" t="n"/>
      <c r="EJ33" s="249" t="n"/>
      <c r="EK33" s="249" t="n"/>
      <c r="EL33" s="249" t="n"/>
      <c r="EM33" s="249" t="n"/>
      <c r="EN33" s="249" t="n"/>
      <c r="EO33" s="249" t="n"/>
      <c r="EP33" s="249" t="n"/>
      <c r="EQ33" s="249" t="n"/>
      <c r="ER33" s="249" t="n"/>
      <c r="ES33" s="249" t="n"/>
      <c r="ET33" s="249" t="n"/>
      <c r="EU33" s="249" t="n"/>
      <c r="EV33" s="249" t="n"/>
      <c r="EW33" s="249" t="n"/>
      <c r="EX33" s="249" t="n"/>
      <c r="EY33" s="249" t="n"/>
      <c r="EZ33" s="249" t="n"/>
      <c r="FA33" s="249" t="n"/>
      <c r="FB33" s="249" t="n"/>
      <c r="FC33" s="249" t="n"/>
      <c r="FD33" s="249" t="n"/>
      <c r="FE33" s="249" t="n"/>
      <c r="FF33" s="249" t="n"/>
      <c r="FG33" s="249" t="n"/>
      <c r="FH33" s="249" t="n"/>
      <c r="FI33" s="249" t="n"/>
      <c r="FJ33" s="249" t="n"/>
      <c r="FK33" s="249" t="n"/>
      <c r="FL33" s="249" t="n"/>
      <c r="FM33" s="249" t="n"/>
      <c r="FN33" s="249" t="n"/>
      <c r="FO33" s="249" t="n"/>
      <c r="FP33" s="249" t="n"/>
      <c r="FQ33" s="249" t="n"/>
      <c r="FR33" s="249" t="n"/>
      <c r="FS33" s="249" t="n"/>
      <c r="FT33" s="249" t="n"/>
      <c r="FU33" s="249" t="n"/>
      <c r="FV33" s="249" t="n"/>
      <c r="FW33" s="249" t="n"/>
      <c r="FX33" s="249" t="n"/>
      <c r="FY33" s="249" t="n"/>
      <c r="FZ33" s="249" t="n"/>
      <c r="GA33" s="249" t="n"/>
      <c r="GB33" s="249" t="n"/>
      <c r="GC33" s="249" t="n"/>
      <c r="GD33" s="249" t="n"/>
      <c r="GE33" s="249" t="n"/>
      <c r="GF33" s="249" t="n"/>
      <c r="GG33" s="249" t="n"/>
      <c r="GH33" s="249" t="n"/>
      <c r="GI33" s="249" t="n"/>
      <c r="GJ33" s="249" t="n"/>
      <c r="GK33" s="249" t="n"/>
      <c r="GL33" s="249" t="n"/>
      <c r="GM33" s="249" t="n"/>
      <c r="GN33" s="249" t="n"/>
      <c r="GO33" s="249" t="n"/>
      <c r="GP33" s="249" t="n"/>
      <c r="GQ33" s="249" t="n"/>
      <c r="GR33" s="249" t="n"/>
      <c r="GS33" s="249" t="n"/>
      <c r="GT33" s="249" t="n"/>
      <c r="GU33" s="249" t="n"/>
      <c r="GV33" s="249" t="n"/>
      <c r="GW33" s="249" t="n"/>
      <c r="GX33" s="249" t="n"/>
      <c r="GY33" s="249" t="n"/>
      <c r="GZ33" s="249" t="n"/>
      <c r="HA33" s="249" t="n"/>
      <c r="HB33" s="249" t="n"/>
      <c r="HC33" s="249" t="n"/>
      <c r="HD33" s="249" t="n"/>
      <c r="HE33" s="249" t="n"/>
      <c r="HF33" s="249" t="n"/>
      <c r="HG33" s="249" t="n"/>
      <c r="HH33" s="249" t="n"/>
      <c r="HI33" s="249" t="n"/>
      <c r="HJ33" s="249" t="n"/>
      <c r="HK33" s="249" t="n"/>
      <c r="HL33" s="249" t="n"/>
      <c r="HM33" s="249" t="n"/>
      <c r="HN33" s="249" t="n"/>
      <c r="HO33" s="249" t="n"/>
      <c r="HP33" s="249" t="n"/>
      <c r="HQ33" s="249" t="n"/>
      <c r="HR33" s="249" t="n"/>
      <c r="HS33" s="249" t="n"/>
      <c r="HT33" s="249" t="n"/>
      <c r="HU33" s="249" t="n"/>
      <c r="HV33" s="249" t="n"/>
      <c r="HW33" s="249" t="n"/>
      <c r="HX33" s="249" t="n"/>
      <c r="HY33" s="249" t="n"/>
      <c r="HZ33" s="249" t="n"/>
      <c r="IA33" s="249" t="n"/>
      <c r="IB33" s="249" t="n"/>
      <c r="IC33" s="249" t="n"/>
      <c r="ID33" s="249" t="n"/>
      <c r="IE33" s="249" t="n"/>
      <c r="IF33" s="249" t="n"/>
      <c r="IG33" s="249" t="n"/>
      <c r="IH33" s="249" t="n"/>
      <c r="II33" s="249" t="n"/>
      <c r="IJ33" s="249" t="n"/>
      <c r="IK33" s="249" t="n"/>
      <c r="IL33" s="249" t="n"/>
      <c r="IM33" s="249" t="n"/>
      <c r="IN33" s="249" t="n"/>
      <c r="IO33" s="249" t="n"/>
      <c r="IP33" s="249" t="n"/>
      <c r="IQ33" s="249" t="n"/>
      <c r="IR33" s="249" t="n"/>
      <c r="IS33" s="249" t="n"/>
      <c r="IT33" s="249" t="n"/>
      <c r="IU33" s="249" t="n"/>
      <c r="IV33" s="249" t="n"/>
      <c r="IW33" s="249" t="n"/>
      <c r="IX33" s="249" t="n"/>
      <c r="IY33" s="249" t="n"/>
      <c r="IZ33" s="249" t="n"/>
      <c r="JA33" s="249" t="n"/>
      <c r="JB33" s="249" t="n"/>
      <c r="JC33" s="249" t="n"/>
      <c r="JD33" s="249" t="n"/>
      <c r="JE33" s="249" t="n"/>
      <c r="JF33" s="249" t="n"/>
      <c r="JG33" s="249" t="n"/>
      <c r="JH33" s="249" t="n"/>
      <c r="JI33" s="249" t="n"/>
      <c r="JJ33" s="249" t="n"/>
      <c r="JK33" s="249" t="n"/>
      <c r="JL33" s="249" t="n"/>
      <c r="JM33" s="249" t="n"/>
      <c r="JN33" s="249" t="n"/>
      <c r="JO33" s="249" t="n"/>
      <c r="JP33" s="249" t="n"/>
      <c r="JQ33" s="249" t="n"/>
      <c r="JR33" s="249" t="n"/>
      <c r="JS33" s="249" t="n"/>
      <c r="JT33" s="249" t="n"/>
      <c r="JU33" s="249" t="n"/>
      <c r="JV33" s="249" t="n"/>
      <c r="JW33" s="249" t="n"/>
      <c r="JX33" s="249" t="n"/>
      <c r="JY33" s="249" t="n"/>
      <c r="JZ33" s="249" t="n"/>
      <c r="KA33" s="249" t="n"/>
      <c r="KB33" s="249" t="n"/>
      <c r="KC33" s="249" t="n"/>
      <c r="KD33" s="249" t="n"/>
      <c r="KE33" s="249" t="n"/>
      <c r="KF33" s="249" t="n"/>
      <c r="KG33" s="249" t="n"/>
      <c r="KH33" s="249" t="n"/>
      <c r="KI33" s="249" t="n"/>
      <c r="KJ33" s="249" t="n"/>
      <c r="KK33" s="249" t="n"/>
      <c r="KL33" s="249" t="n"/>
      <c r="KM33" s="249" t="n"/>
      <c r="KN33" s="249" t="n"/>
      <c r="KO33" s="249" t="n"/>
      <c r="KP33" s="249" t="n"/>
      <c r="KQ33" s="249" t="n"/>
      <c r="KR33" s="249" t="n"/>
      <c r="KS33" s="249" t="n"/>
      <c r="KT33" s="249" t="n"/>
      <c r="KU33" s="249" t="n"/>
      <c r="KV33" s="249" t="n"/>
      <c r="KW33" s="249" t="n"/>
      <c r="KX33" s="249" t="n"/>
      <c r="KY33" s="249" t="n"/>
      <c r="KZ33" s="249" t="n"/>
      <c r="LA33" s="249" t="n"/>
      <c r="LB33" s="249" t="n"/>
      <c r="LC33" s="249" t="n"/>
      <c r="LD33" s="249" t="n"/>
      <c r="LE33" s="249" t="n"/>
      <c r="LF33" s="249" t="n"/>
      <c r="LG33" s="249" t="n"/>
      <c r="LH33" s="249" t="n"/>
      <c r="LI33" s="249" t="n"/>
      <c r="LJ33" s="249" t="n"/>
      <c r="LK33" s="249" t="n"/>
      <c r="LL33" s="249" t="n"/>
      <c r="LM33" s="249" t="n"/>
      <c r="LN33" s="249" t="n"/>
      <c r="LO33" s="249" t="n"/>
      <c r="LP33" s="249" t="n"/>
      <c r="LQ33" s="249" t="n"/>
      <c r="LR33" s="249" t="n"/>
      <c r="LS33" s="249" t="n"/>
      <c r="LT33" s="249" t="n"/>
      <c r="LU33" s="249" t="n"/>
      <c r="LV33" s="249" t="n"/>
      <c r="LW33" s="249" t="n"/>
      <c r="LX33" s="249" t="n"/>
      <c r="LY33" s="249" t="n"/>
      <c r="LZ33" s="249" t="n"/>
      <c r="MA33" s="249" t="n"/>
      <c r="MB33" s="249" t="n"/>
      <c r="MC33" s="249" t="n"/>
      <c r="MD33" s="249" t="n"/>
      <c r="ME33" s="249" t="n"/>
      <c r="MF33" s="249" t="n"/>
      <c r="MG33" s="249" t="n"/>
      <c r="MH33" s="249" t="n"/>
      <c r="MI33" s="249" t="n"/>
      <c r="MJ33" s="249" t="n"/>
      <c r="MK33" s="249" t="n"/>
      <c r="ML33" s="249" t="n"/>
      <c r="MM33" s="249" t="n"/>
      <c r="MN33" s="249" t="n"/>
      <c r="MO33" s="249" t="n"/>
      <c r="MP33" s="249" t="n"/>
      <c r="MQ33" s="249" t="n"/>
      <c r="MR33" s="249" t="n"/>
      <c r="MS33" s="249" t="n"/>
      <c r="MT33" s="249" t="n"/>
      <c r="MU33" s="249" t="n"/>
      <c r="MV33" s="249" t="n"/>
      <c r="MW33" s="249" t="n"/>
      <c r="MX33" s="249" t="n"/>
      <c r="MY33" s="249" t="n"/>
      <c r="MZ33" s="249" t="n"/>
      <c r="NA33" s="249" t="n"/>
      <c r="NB33" s="249" t="n"/>
      <c r="NC33" s="249" t="n"/>
      <c r="ND33" s="249" t="n"/>
      <c r="NE33" s="249" t="n"/>
      <c r="NF33" s="249" t="n"/>
      <c r="NG33" s="249" t="n"/>
      <c r="NH33" s="249" t="n"/>
      <c r="NI33" s="249" t="n"/>
      <c r="NJ33" s="249" t="n"/>
      <c r="NK33" s="249" t="n"/>
      <c r="NL33" s="250" t="n"/>
    </row>
    <row r="34">
      <c r="B34" s="50" t="inlineStr">
        <is>
          <t>Total Development Spend</t>
        </is>
      </c>
      <c r="D34" s="246">
        <f>SUM(E34:NL34)</f>
        <v/>
      </c>
      <c r="E34" s="251">
        <f>SUM(E6:E32)</f>
        <v/>
      </c>
      <c r="F34" s="251">
        <f>SUM(F6:F32)</f>
        <v/>
      </c>
      <c r="G34" s="251">
        <f>SUM(G6:G32)</f>
        <v/>
      </c>
      <c r="H34" s="251">
        <f>SUM(H6:H32)</f>
        <v/>
      </c>
      <c r="I34" s="251">
        <f>SUM(I6:I32)</f>
        <v/>
      </c>
      <c r="J34" s="251">
        <f>SUM(J6:J32)</f>
        <v/>
      </c>
      <c r="K34" s="251">
        <f>SUM(K6:K32)</f>
        <v/>
      </c>
      <c r="L34" s="251">
        <f>SUM(L6:L32)</f>
        <v/>
      </c>
      <c r="M34" s="251">
        <f>SUM(M6:M32)</f>
        <v/>
      </c>
      <c r="N34" s="251">
        <f>SUM(N6:N32)</f>
        <v/>
      </c>
      <c r="O34" s="251">
        <f>SUM(O6:O32)</f>
        <v/>
      </c>
      <c r="P34" s="251">
        <f>SUM(P6:P32)</f>
        <v/>
      </c>
      <c r="Q34" s="251">
        <f>SUM(Q6:Q32)</f>
        <v/>
      </c>
      <c r="R34" s="251">
        <f>SUM(R6:R32)</f>
        <v/>
      </c>
      <c r="S34" s="251">
        <f>SUM(S6:S32)</f>
        <v/>
      </c>
      <c r="T34" s="251">
        <f>SUM(T6:T32)</f>
        <v/>
      </c>
      <c r="U34" s="251">
        <f>SUM(U6:U32)</f>
        <v/>
      </c>
      <c r="V34" s="251">
        <f>SUM(V6:V32)</f>
        <v/>
      </c>
      <c r="W34" s="251">
        <f>SUM(W6:W32)</f>
        <v/>
      </c>
      <c r="X34" s="251">
        <f>SUM(X6:X32)</f>
        <v/>
      </c>
      <c r="Y34" s="251">
        <f>SUM(Y6:Y32)</f>
        <v/>
      </c>
      <c r="Z34" s="251">
        <f>SUM(Z6:Z32)</f>
        <v/>
      </c>
      <c r="AA34" s="251">
        <f>SUM(AA6:AA32)</f>
        <v/>
      </c>
      <c r="AB34" s="251">
        <f>SUM(AB6:AB32)</f>
        <v/>
      </c>
      <c r="AC34" s="251">
        <f>SUM(AC6:AC32)</f>
        <v/>
      </c>
      <c r="AD34" s="251">
        <f>SUM(AD6:AD32)</f>
        <v/>
      </c>
      <c r="AE34" s="251">
        <f>SUM(AE6:AE32)</f>
        <v/>
      </c>
      <c r="AF34" s="251">
        <f>SUM(AF6:AF32)</f>
        <v/>
      </c>
      <c r="AG34" s="251">
        <f>SUM(AG6:AG32)</f>
        <v/>
      </c>
      <c r="AH34" s="251">
        <f>SUM(AH6:AH32)</f>
        <v/>
      </c>
      <c r="AI34" s="251">
        <f>SUM(AI6:AI32)</f>
        <v/>
      </c>
      <c r="AJ34" s="251">
        <f>SUM(AJ6:AJ32)</f>
        <v/>
      </c>
      <c r="AK34" s="251">
        <f>SUM(AK6:AK32)</f>
        <v/>
      </c>
      <c r="AL34" s="251">
        <f>SUM(AL6:AL32)</f>
        <v/>
      </c>
      <c r="AM34" s="251">
        <f>SUM(AM6:AM32)</f>
        <v/>
      </c>
      <c r="AN34" s="251">
        <f>SUM(AN6:AN32)</f>
        <v/>
      </c>
      <c r="AO34" s="251">
        <f>SUM(AO6:AO32)</f>
        <v/>
      </c>
      <c r="AP34" s="251">
        <f>SUM(AP6:AP32)</f>
        <v/>
      </c>
      <c r="AQ34" s="251">
        <f>SUM(AQ6:AQ32)</f>
        <v/>
      </c>
      <c r="AR34" s="251">
        <f>SUM(AR6:AR32)</f>
        <v/>
      </c>
      <c r="AS34" s="251">
        <f>SUM(AS6:AS32)</f>
        <v/>
      </c>
      <c r="AT34" s="251">
        <f>SUM(AT6:AT32)</f>
        <v/>
      </c>
      <c r="AU34" s="251">
        <f>SUM(AU6:AU32)</f>
        <v/>
      </c>
      <c r="AV34" s="251">
        <f>SUM(AV6:AV32)</f>
        <v/>
      </c>
      <c r="AW34" s="251">
        <f>SUM(AW6:AW32)</f>
        <v/>
      </c>
      <c r="AX34" s="251">
        <f>SUM(AX6:AX32)</f>
        <v/>
      </c>
      <c r="AY34" s="251">
        <f>SUM(AY6:AY32)</f>
        <v/>
      </c>
      <c r="AZ34" s="251">
        <f>SUM(AZ6:AZ32)</f>
        <v/>
      </c>
      <c r="BA34" s="251">
        <f>SUM(BA6:BA32)</f>
        <v/>
      </c>
      <c r="BB34" s="251">
        <f>SUM(BB6:BB32)</f>
        <v/>
      </c>
      <c r="BC34" s="251">
        <f>SUM(BC6:BC32)</f>
        <v/>
      </c>
      <c r="BD34" s="251">
        <f>SUM(BD6:BD32)</f>
        <v/>
      </c>
      <c r="BE34" s="251">
        <f>SUM(BE6:BE32)</f>
        <v/>
      </c>
      <c r="BF34" s="251">
        <f>SUM(BF6:BF32)</f>
        <v/>
      </c>
      <c r="BG34" s="251">
        <f>SUM(BG6:BG32)</f>
        <v/>
      </c>
      <c r="BH34" s="251">
        <f>SUM(BH6:BH32)</f>
        <v/>
      </c>
      <c r="BI34" s="251">
        <f>SUM(BI6:BI32)</f>
        <v/>
      </c>
      <c r="BJ34" s="251">
        <f>SUM(BJ6:BJ32)</f>
        <v/>
      </c>
      <c r="BK34" s="251">
        <f>SUM(BK6:BK32)</f>
        <v/>
      </c>
      <c r="BL34" s="251">
        <f>SUM(BL6:BL32)</f>
        <v/>
      </c>
      <c r="BM34" s="251">
        <f>SUM(BM6:BM32)</f>
        <v/>
      </c>
      <c r="BN34" s="251">
        <f>SUM(BN6:BN32)</f>
        <v/>
      </c>
      <c r="BO34" s="251">
        <f>SUM(BO6:BO32)</f>
        <v/>
      </c>
      <c r="BP34" s="251">
        <f>SUM(BP6:BP32)</f>
        <v/>
      </c>
      <c r="BQ34" s="251">
        <f>SUM(BQ6:BQ32)</f>
        <v/>
      </c>
      <c r="BR34" s="251">
        <f>SUM(BR6:BR32)</f>
        <v/>
      </c>
      <c r="BS34" s="251">
        <f>SUM(BS6:BS32)</f>
        <v/>
      </c>
      <c r="BT34" s="251">
        <f>SUM(BT6:BT32)</f>
        <v/>
      </c>
      <c r="BU34" s="251">
        <f>SUM(BU6:BU32)</f>
        <v/>
      </c>
      <c r="BV34" s="251">
        <f>SUM(BV6:BV32)</f>
        <v/>
      </c>
      <c r="BW34" s="251">
        <f>SUM(BW6:BW32)</f>
        <v/>
      </c>
      <c r="BX34" s="251">
        <f>SUM(BX6:BX32)</f>
        <v/>
      </c>
      <c r="BY34" s="251">
        <f>SUM(BY6:BY32)</f>
        <v/>
      </c>
      <c r="BZ34" s="251">
        <f>SUM(BZ6:BZ32)</f>
        <v/>
      </c>
      <c r="CA34" s="251">
        <f>SUM(CA6:CA32)</f>
        <v/>
      </c>
      <c r="CB34" s="251">
        <f>SUM(CB6:CB32)</f>
        <v/>
      </c>
      <c r="CC34" s="251">
        <f>SUM(CC6:CC32)</f>
        <v/>
      </c>
      <c r="CD34" s="251">
        <f>SUM(CD6:CD32)</f>
        <v/>
      </c>
      <c r="CE34" s="251">
        <f>SUM(CE6:CE32)</f>
        <v/>
      </c>
      <c r="CF34" s="251">
        <f>SUM(CF6:CF32)</f>
        <v/>
      </c>
      <c r="CG34" s="251">
        <f>SUM(CG6:CG32)</f>
        <v/>
      </c>
      <c r="CH34" s="251">
        <f>SUM(CH6:CH32)</f>
        <v/>
      </c>
      <c r="CI34" s="251">
        <f>SUM(CI6:CI32)</f>
        <v/>
      </c>
      <c r="CJ34" s="251">
        <f>SUM(CJ6:CJ32)</f>
        <v/>
      </c>
      <c r="CK34" s="251">
        <f>SUM(CK6:CK32)</f>
        <v/>
      </c>
      <c r="CL34" s="251">
        <f>SUM(CL6:CL32)</f>
        <v/>
      </c>
      <c r="CM34" s="251">
        <f>SUM(CM6:CM32)</f>
        <v/>
      </c>
      <c r="CN34" s="251">
        <f>SUM(CN6:CN32)</f>
        <v/>
      </c>
      <c r="CO34" s="251">
        <f>SUM(CO6:CO32)</f>
        <v/>
      </c>
      <c r="CP34" s="251">
        <f>SUM(CP6:CP32)</f>
        <v/>
      </c>
      <c r="CQ34" s="251">
        <f>SUM(CQ6:CQ32)</f>
        <v/>
      </c>
      <c r="CR34" s="251">
        <f>SUM(CR6:CR32)</f>
        <v/>
      </c>
      <c r="CS34" s="251">
        <f>SUM(CS6:CS32)</f>
        <v/>
      </c>
      <c r="CT34" s="251">
        <f>SUM(CT6:CT32)</f>
        <v/>
      </c>
      <c r="CU34" s="251">
        <f>SUM(CU6:CU32)</f>
        <v/>
      </c>
      <c r="CV34" s="251">
        <f>SUM(CV6:CV32)</f>
        <v/>
      </c>
      <c r="CW34" s="251">
        <f>SUM(CW6:CW32)</f>
        <v/>
      </c>
      <c r="CX34" s="251">
        <f>SUM(CX6:CX32)</f>
        <v/>
      </c>
      <c r="CY34" s="251">
        <f>SUM(CY6:CY32)</f>
        <v/>
      </c>
      <c r="CZ34" s="251">
        <f>SUM(CZ6:CZ32)</f>
        <v/>
      </c>
      <c r="DA34" s="251">
        <f>SUM(DA6:DA32)</f>
        <v/>
      </c>
      <c r="DB34" s="251">
        <f>SUM(DB6:DB32)</f>
        <v/>
      </c>
      <c r="DC34" s="251">
        <f>SUM(DC6:DC32)</f>
        <v/>
      </c>
      <c r="DD34" s="251">
        <f>SUM(DD6:DD32)</f>
        <v/>
      </c>
      <c r="DE34" s="251">
        <f>SUM(DE6:DE32)</f>
        <v/>
      </c>
      <c r="DF34" s="251">
        <f>SUM(DF6:DF32)</f>
        <v/>
      </c>
      <c r="DG34" s="251">
        <f>SUM(DG6:DG32)</f>
        <v/>
      </c>
      <c r="DH34" s="251">
        <f>SUM(DH6:DH32)</f>
        <v/>
      </c>
      <c r="DI34" s="251">
        <f>SUM(DI6:DI32)</f>
        <v/>
      </c>
      <c r="DJ34" s="251">
        <f>SUM(DJ6:DJ32)</f>
        <v/>
      </c>
      <c r="DK34" s="251">
        <f>SUM(DK6:DK32)</f>
        <v/>
      </c>
      <c r="DL34" s="251">
        <f>SUM(DL6:DL32)</f>
        <v/>
      </c>
      <c r="DM34" s="251">
        <f>SUM(DM6:DM32)</f>
        <v/>
      </c>
      <c r="DN34" s="251">
        <f>SUM(DN6:DN32)</f>
        <v/>
      </c>
      <c r="DO34" s="251">
        <f>SUM(DO6:DO32)</f>
        <v/>
      </c>
      <c r="DP34" s="251">
        <f>SUM(DP6:DP32)</f>
        <v/>
      </c>
      <c r="DQ34" s="251">
        <f>SUM(DQ6:DQ32)</f>
        <v/>
      </c>
      <c r="DR34" s="251">
        <f>SUM(DR6:DR32)</f>
        <v/>
      </c>
      <c r="DS34" s="251">
        <f>SUM(DS6:DS32)</f>
        <v/>
      </c>
      <c r="DT34" s="251">
        <f>SUM(DT6:DT32)</f>
        <v/>
      </c>
      <c r="DU34" s="251">
        <f>SUM(DU6:DU32)</f>
        <v/>
      </c>
      <c r="DV34" s="251">
        <f>SUM(DV6:DV32)</f>
        <v/>
      </c>
      <c r="DW34" s="251">
        <f>SUM(DW6:DW32)</f>
        <v/>
      </c>
      <c r="DX34" s="251">
        <f>SUM(DX6:DX32)</f>
        <v/>
      </c>
      <c r="DY34" s="251">
        <f>SUM(DY6:DY32)</f>
        <v/>
      </c>
      <c r="DZ34" s="251">
        <f>SUM(DZ6:DZ32)</f>
        <v/>
      </c>
      <c r="EA34" s="251">
        <f>SUM(EA6:EA32)</f>
        <v/>
      </c>
      <c r="EB34" s="251">
        <f>SUM(EB6:EB32)</f>
        <v/>
      </c>
      <c r="EC34" s="251">
        <f>SUM(EC6:EC32)</f>
        <v/>
      </c>
      <c r="ED34" s="251">
        <f>SUM(ED6:ED32)</f>
        <v/>
      </c>
      <c r="EE34" s="251">
        <f>SUM(EE6:EE32)</f>
        <v/>
      </c>
      <c r="EF34" s="251">
        <f>SUM(EF6:EF32)</f>
        <v/>
      </c>
      <c r="EG34" s="251">
        <f>SUM(EG6:EG32)</f>
        <v/>
      </c>
      <c r="EH34" s="251">
        <f>SUM(EH6:EH32)</f>
        <v/>
      </c>
      <c r="EI34" s="251">
        <f>SUM(EI6:EI32)</f>
        <v/>
      </c>
      <c r="EJ34" s="251">
        <f>SUM(EJ6:EJ32)</f>
        <v/>
      </c>
      <c r="EK34" s="251">
        <f>SUM(EK6:EK32)</f>
        <v/>
      </c>
      <c r="EL34" s="251">
        <f>SUM(EL6:EL32)</f>
        <v/>
      </c>
      <c r="EM34" s="251">
        <f>SUM(EM6:EM32)</f>
        <v/>
      </c>
      <c r="EN34" s="251">
        <f>SUM(EN6:EN32)</f>
        <v/>
      </c>
      <c r="EO34" s="251">
        <f>SUM(EO6:EO32)</f>
        <v/>
      </c>
      <c r="EP34" s="251">
        <f>SUM(EP6:EP32)</f>
        <v/>
      </c>
      <c r="EQ34" s="251">
        <f>SUM(EQ6:EQ32)</f>
        <v/>
      </c>
      <c r="ER34" s="251">
        <f>SUM(ER6:ER32)</f>
        <v/>
      </c>
      <c r="ES34" s="251">
        <f>SUM(ES6:ES32)</f>
        <v/>
      </c>
      <c r="ET34" s="251">
        <f>SUM(ET6:ET32)</f>
        <v/>
      </c>
      <c r="EU34" s="251">
        <f>SUM(EU6:EU32)</f>
        <v/>
      </c>
      <c r="EV34" s="251">
        <f>SUM(EV6:EV32)</f>
        <v/>
      </c>
      <c r="EW34" s="251">
        <f>SUM(EW6:EW32)</f>
        <v/>
      </c>
      <c r="EX34" s="251">
        <f>SUM(EX6:EX32)</f>
        <v/>
      </c>
      <c r="EY34" s="251">
        <f>SUM(EY6:EY32)</f>
        <v/>
      </c>
      <c r="EZ34" s="251">
        <f>SUM(EZ6:EZ32)</f>
        <v/>
      </c>
      <c r="FA34" s="251">
        <f>SUM(FA6:FA32)</f>
        <v/>
      </c>
      <c r="FB34" s="251">
        <f>SUM(FB6:FB32)</f>
        <v/>
      </c>
      <c r="FC34" s="251">
        <f>SUM(FC6:FC32)</f>
        <v/>
      </c>
      <c r="FD34" s="251">
        <f>SUM(FD6:FD32)</f>
        <v/>
      </c>
      <c r="FE34" s="251">
        <f>SUM(FE6:FE32)</f>
        <v/>
      </c>
      <c r="FF34" s="251">
        <f>SUM(FF6:FF32)</f>
        <v/>
      </c>
      <c r="FG34" s="251">
        <f>SUM(FG6:FG32)</f>
        <v/>
      </c>
      <c r="FH34" s="251">
        <f>SUM(FH6:FH32)</f>
        <v/>
      </c>
      <c r="FI34" s="251">
        <f>SUM(FI6:FI32)</f>
        <v/>
      </c>
      <c r="FJ34" s="251">
        <f>SUM(FJ6:FJ32)</f>
        <v/>
      </c>
      <c r="FK34" s="251">
        <f>SUM(FK6:FK32)</f>
        <v/>
      </c>
      <c r="FL34" s="251">
        <f>SUM(FL6:FL32)</f>
        <v/>
      </c>
      <c r="FM34" s="251">
        <f>SUM(FM6:FM32)</f>
        <v/>
      </c>
      <c r="FN34" s="251">
        <f>SUM(FN6:FN32)</f>
        <v/>
      </c>
      <c r="FO34" s="251">
        <f>SUM(FO6:FO32)</f>
        <v/>
      </c>
      <c r="FP34" s="251">
        <f>SUM(FP6:FP32)</f>
        <v/>
      </c>
      <c r="FQ34" s="251">
        <f>SUM(FQ6:FQ32)</f>
        <v/>
      </c>
      <c r="FR34" s="251">
        <f>SUM(FR6:FR32)</f>
        <v/>
      </c>
      <c r="FS34" s="251">
        <f>SUM(FS6:FS32)</f>
        <v/>
      </c>
      <c r="FT34" s="251">
        <f>SUM(FT6:FT32)</f>
        <v/>
      </c>
      <c r="FU34" s="251">
        <f>SUM(FU6:FU32)</f>
        <v/>
      </c>
      <c r="FV34" s="251">
        <f>SUM(FV6:FV32)</f>
        <v/>
      </c>
      <c r="FW34" s="251">
        <f>SUM(FW6:FW32)</f>
        <v/>
      </c>
      <c r="FX34" s="251">
        <f>SUM(FX6:FX32)</f>
        <v/>
      </c>
      <c r="FY34" s="251">
        <f>SUM(FY6:FY32)</f>
        <v/>
      </c>
      <c r="FZ34" s="251">
        <f>SUM(FZ6:FZ32)</f>
        <v/>
      </c>
      <c r="GA34" s="251">
        <f>SUM(GA6:GA32)</f>
        <v/>
      </c>
      <c r="GB34" s="251">
        <f>SUM(GB6:GB32)</f>
        <v/>
      </c>
      <c r="GC34" s="251">
        <f>SUM(GC6:GC32)</f>
        <v/>
      </c>
      <c r="GD34" s="251">
        <f>SUM(GD6:GD32)</f>
        <v/>
      </c>
      <c r="GE34" s="251">
        <f>SUM(GE6:GE32)</f>
        <v/>
      </c>
      <c r="GF34" s="251">
        <f>SUM(GF6:GF32)</f>
        <v/>
      </c>
      <c r="GG34" s="251">
        <f>SUM(GG6:GG32)</f>
        <v/>
      </c>
      <c r="GH34" s="251">
        <f>SUM(GH6:GH32)</f>
        <v/>
      </c>
      <c r="GI34" s="251">
        <f>SUM(GI6:GI32)</f>
        <v/>
      </c>
      <c r="GJ34" s="251">
        <f>SUM(GJ6:GJ32)</f>
        <v/>
      </c>
      <c r="GK34" s="251">
        <f>SUM(GK6:GK32)</f>
        <v/>
      </c>
      <c r="GL34" s="251">
        <f>SUM(GL6:GL32)</f>
        <v/>
      </c>
      <c r="GM34" s="251">
        <f>SUM(GM6:GM32)</f>
        <v/>
      </c>
      <c r="GN34" s="251">
        <f>SUM(GN6:GN32)</f>
        <v/>
      </c>
      <c r="GO34" s="251">
        <f>SUM(GO6:GO32)</f>
        <v/>
      </c>
      <c r="GP34" s="251">
        <f>SUM(GP6:GP32)</f>
        <v/>
      </c>
      <c r="GQ34" s="251">
        <f>SUM(GQ6:GQ32)</f>
        <v/>
      </c>
      <c r="GR34" s="251">
        <f>SUM(GR6:GR32)</f>
        <v/>
      </c>
      <c r="GS34" s="251">
        <f>SUM(GS6:GS32)</f>
        <v/>
      </c>
      <c r="GT34" s="251">
        <f>SUM(GT6:GT32)</f>
        <v/>
      </c>
      <c r="GU34" s="251">
        <f>SUM(GU6:GU32)</f>
        <v/>
      </c>
      <c r="GV34" s="251">
        <f>SUM(GV6:GV32)</f>
        <v/>
      </c>
      <c r="GW34" s="251">
        <f>SUM(GW6:GW32)</f>
        <v/>
      </c>
      <c r="GX34" s="251">
        <f>SUM(GX6:GX32)</f>
        <v/>
      </c>
      <c r="GY34" s="251">
        <f>SUM(GY6:GY32)</f>
        <v/>
      </c>
      <c r="GZ34" s="251">
        <f>SUM(GZ6:GZ32)</f>
        <v/>
      </c>
      <c r="HA34" s="251">
        <f>SUM(HA6:HA32)</f>
        <v/>
      </c>
      <c r="HB34" s="251">
        <f>SUM(HB6:HB32)</f>
        <v/>
      </c>
      <c r="HC34" s="251">
        <f>SUM(HC6:HC32)</f>
        <v/>
      </c>
      <c r="HD34" s="251">
        <f>SUM(HD6:HD32)</f>
        <v/>
      </c>
      <c r="HE34" s="251">
        <f>SUM(HE6:HE32)</f>
        <v/>
      </c>
      <c r="HF34" s="251">
        <f>SUM(HF6:HF32)</f>
        <v/>
      </c>
      <c r="HG34" s="251">
        <f>SUM(HG6:HG32)</f>
        <v/>
      </c>
      <c r="HH34" s="251">
        <f>SUM(HH6:HH32)</f>
        <v/>
      </c>
      <c r="HI34" s="251">
        <f>SUM(HI6:HI32)</f>
        <v/>
      </c>
      <c r="HJ34" s="251">
        <f>SUM(HJ6:HJ32)</f>
        <v/>
      </c>
      <c r="HK34" s="251">
        <f>SUM(HK6:HK32)</f>
        <v/>
      </c>
      <c r="HL34" s="251">
        <f>SUM(HL6:HL32)</f>
        <v/>
      </c>
      <c r="HM34" s="251">
        <f>SUM(HM6:HM32)</f>
        <v/>
      </c>
      <c r="HN34" s="251">
        <f>SUM(HN6:HN32)</f>
        <v/>
      </c>
      <c r="HO34" s="251">
        <f>SUM(HO6:HO32)</f>
        <v/>
      </c>
      <c r="HP34" s="251">
        <f>SUM(HP6:HP32)</f>
        <v/>
      </c>
      <c r="HQ34" s="251">
        <f>SUM(HQ6:HQ32)</f>
        <v/>
      </c>
      <c r="HR34" s="251">
        <f>SUM(HR6:HR32)</f>
        <v/>
      </c>
      <c r="HS34" s="251">
        <f>SUM(HS6:HS32)</f>
        <v/>
      </c>
      <c r="HT34" s="251">
        <f>SUM(HT6:HT32)</f>
        <v/>
      </c>
      <c r="HU34" s="251">
        <f>SUM(HU6:HU32)</f>
        <v/>
      </c>
      <c r="HV34" s="251">
        <f>SUM(HV6:HV32)</f>
        <v/>
      </c>
      <c r="HW34" s="251">
        <f>SUM(HW6:HW32)</f>
        <v/>
      </c>
      <c r="HX34" s="251">
        <f>SUM(HX6:HX32)</f>
        <v/>
      </c>
      <c r="HY34" s="251">
        <f>SUM(HY6:HY32)</f>
        <v/>
      </c>
      <c r="HZ34" s="251">
        <f>SUM(HZ6:HZ32)</f>
        <v/>
      </c>
      <c r="IA34" s="251">
        <f>SUM(IA6:IA32)</f>
        <v/>
      </c>
      <c r="IB34" s="251">
        <f>SUM(IB6:IB32)</f>
        <v/>
      </c>
      <c r="IC34" s="251">
        <f>SUM(IC6:IC32)</f>
        <v/>
      </c>
      <c r="ID34" s="251">
        <f>SUM(ID6:ID32)</f>
        <v/>
      </c>
      <c r="IE34" s="251">
        <f>SUM(IE6:IE32)</f>
        <v/>
      </c>
      <c r="IF34" s="251">
        <f>SUM(IF6:IF32)</f>
        <v/>
      </c>
      <c r="IG34" s="251">
        <f>SUM(IG6:IG32)</f>
        <v/>
      </c>
      <c r="IH34" s="251">
        <f>SUM(IH6:IH32)</f>
        <v/>
      </c>
      <c r="II34" s="251">
        <f>SUM(II6:II32)</f>
        <v/>
      </c>
      <c r="IJ34" s="251">
        <f>SUM(IJ6:IJ32)</f>
        <v/>
      </c>
      <c r="IK34" s="251">
        <f>SUM(IK6:IK32)</f>
        <v/>
      </c>
      <c r="IL34" s="251">
        <f>SUM(IL6:IL32)</f>
        <v/>
      </c>
      <c r="IM34" s="251">
        <f>SUM(IM6:IM32)</f>
        <v/>
      </c>
      <c r="IN34" s="251">
        <f>SUM(IN6:IN32)</f>
        <v/>
      </c>
      <c r="IO34" s="251">
        <f>SUM(IO6:IO32)</f>
        <v/>
      </c>
      <c r="IP34" s="251">
        <f>SUM(IP6:IP32)</f>
        <v/>
      </c>
      <c r="IQ34" s="251">
        <f>SUM(IQ6:IQ32)</f>
        <v/>
      </c>
      <c r="IR34" s="251">
        <f>SUM(IR6:IR32)</f>
        <v/>
      </c>
      <c r="IS34" s="251">
        <f>SUM(IS6:IS32)</f>
        <v/>
      </c>
      <c r="IT34" s="251">
        <f>SUM(IT6:IT32)</f>
        <v/>
      </c>
      <c r="IU34" s="251">
        <f>SUM(IU6:IU32)</f>
        <v/>
      </c>
      <c r="IV34" s="251">
        <f>SUM(IV6:IV32)</f>
        <v/>
      </c>
      <c r="IW34" s="251">
        <f>SUM(IW6:IW32)</f>
        <v/>
      </c>
      <c r="IX34" s="251">
        <f>SUM(IX6:IX32)</f>
        <v/>
      </c>
      <c r="IY34" s="251">
        <f>SUM(IY6:IY32)</f>
        <v/>
      </c>
      <c r="IZ34" s="251">
        <f>SUM(IZ6:IZ32)</f>
        <v/>
      </c>
      <c r="JA34" s="251">
        <f>SUM(JA6:JA32)</f>
        <v/>
      </c>
      <c r="JB34" s="251">
        <f>SUM(JB6:JB32)</f>
        <v/>
      </c>
      <c r="JC34" s="251">
        <f>SUM(JC6:JC32)</f>
        <v/>
      </c>
      <c r="JD34" s="251">
        <f>SUM(JD6:JD32)</f>
        <v/>
      </c>
      <c r="JE34" s="251">
        <f>SUM(JE6:JE32)</f>
        <v/>
      </c>
      <c r="JF34" s="251">
        <f>SUM(JF6:JF32)</f>
        <v/>
      </c>
      <c r="JG34" s="251">
        <f>SUM(JG6:JG32)</f>
        <v/>
      </c>
      <c r="JH34" s="251">
        <f>SUM(JH6:JH32)</f>
        <v/>
      </c>
      <c r="JI34" s="251">
        <f>SUM(JI6:JI32)</f>
        <v/>
      </c>
      <c r="JJ34" s="251">
        <f>SUM(JJ6:JJ32)</f>
        <v/>
      </c>
      <c r="JK34" s="251">
        <f>SUM(JK6:JK32)</f>
        <v/>
      </c>
      <c r="JL34" s="251">
        <f>SUM(JL6:JL32)</f>
        <v/>
      </c>
      <c r="JM34" s="251">
        <f>SUM(JM6:JM32)</f>
        <v/>
      </c>
      <c r="JN34" s="251">
        <f>SUM(JN6:JN32)</f>
        <v/>
      </c>
      <c r="JO34" s="251">
        <f>SUM(JO6:JO32)</f>
        <v/>
      </c>
      <c r="JP34" s="251">
        <f>SUM(JP6:JP32)</f>
        <v/>
      </c>
      <c r="JQ34" s="251">
        <f>SUM(JQ6:JQ32)</f>
        <v/>
      </c>
      <c r="JR34" s="251">
        <f>SUM(JR6:JR32)</f>
        <v/>
      </c>
      <c r="JS34" s="251">
        <f>SUM(JS6:JS32)</f>
        <v/>
      </c>
      <c r="JT34" s="251">
        <f>SUM(JT6:JT32)</f>
        <v/>
      </c>
      <c r="JU34" s="251">
        <f>SUM(JU6:JU32)</f>
        <v/>
      </c>
      <c r="JV34" s="251">
        <f>SUM(JV6:JV32)</f>
        <v/>
      </c>
      <c r="JW34" s="251">
        <f>SUM(JW6:JW32)</f>
        <v/>
      </c>
      <c r="JX34" s="251">
        <f>SUM(JX6:JX32)</f>
        <v/>
      </c>
      <c r="JY34" s="251">
        <f>SUM(JY6:JY32)</f>
        <v/>
      </c>
      <c r="JZ34" s="251">
        <f>SUM(JZ6:JZ32)</f>
        <v/>
      </c>
      <c r="KA34" s="251">
        <f>SUM(KA6:KA32)</f>
        <v/>
      </c>
      <c r="KB34" s="251">
        <f>SUM(KB6:KB32)</f>
        <v/>
      </c>
      <c r="KC34" s="251">
        <f>SUM(KC6:KC32)</f>
        <v/>
      </c>
      <c r="KD34" s="251">
        <f>SUM(KD6:KD32)</f>
        <v/>
      </c>
      <c r="KE34" s="251">
        <f>SUM(KE6:KE32)</f>
        <v/>
      </c>
      <c r="KF34" s="251">
        <f>SUM(KF6:KF32)</f>
        <v/>
      </c>
      <c r="KG34" s="251">
        <f>SUM(KG6:KG32)</f>
        <v/>
      </c>
      <c r="KH34" s="251">
        <f>SUM(KH6:KH32)</f>
        <v/>
      </c>
      <c r="KI34" s="251">
        <f>SUM(KI6:KI32)</f>
        <v/>
      </c>
      <c r="KJ34" s="251">
        <f>SUM(KJ6:KJ32)</f>
        <v/>
      </c>
      <c r="KK34" s="251">
        <f>SUM(KK6:KK32)</f>
        <v/>
      </c>
      <c r="KL34" s="251">
        <f>SUM(KL6:KL32)</f>
        <v/>
      </c>
      <c r="KM34" s="251">
        <f>SUM(KM6:KM32)</f>
        <v/>
      </c>
      <c r="KN34" s="251">
        <f>SUM(KN6:KN32)</f>
        <v/>
      </c>
      <c r="KO34" s="251">
        <f>SUM(KO6:KO32)</f>
        <v/>
      </c>
      <c r="KP34" s="251">
        <f>SUM(KP6:KP32)</f>
        <v/>
      </c>
      <c r="KQ34" s="251">
        <f>SUM(KQ6:KQ32)</f>
        <v/>
      </c>
      <c r="KR34" s="251">
        <f>SUM(KR6:KR32)</f>
        <v/>
      </c>
      <c r="KS34" s="251">
        <f>SUM(KS6:KS32)</f>
        <v/>
      </c>
      <c r="KT34" s="251">
        <f>SUM(KT6:KT32)</f>
        <v/>
      </c>
      <c r="KU34" s="251">
        <f>SUM(KU6:KU32)</f>
        <v/>
      </c>
      <c r="KV34" s="251">
        <f>SUM(KV6:KV32)</f>
        <v/>
      </c>
      <c r="KW34" s="251">
        <f>SUM(KW6:KW32)</f>
        <v/>
      </c>
      <c r="KX34" s="251">
        <f>SUM(KX6:KX32)</f>
        <v/>
      </c>
      <c r="KY34" s="251">
        <f>SUM(KY6:KY32)</f>
        <v/>
      </c>
      <c r="KZ34" s="251">
        <f>SUM(KZ6:KZ32)</f>
        <v/>
      </c>
      <c r="LA34" s="251">
        <f>SUM(LA6:LA32)</f>
        <v/>
      </c>
      <c r="LB34" s="251">
        <f>SUM(LB6:LB32)</f>
        <v/>
      </c>
      <c r="LC34" s="251">
        <f>SUM(LC6:LC32)</f>
        <v/>
      </c>
      <c r="LD34" s="251">
        <f>SUM(LD6:LD32)</f>
        <v/>
      </c>
      <c r="LE34" s="251">
        <f>SUM(LE6:LE32)</f>
        <v/>
      </c>
      <c r="LF34" s="251">
        <f>SUM(LF6:LF32)</f>
        <v/>
      </c>
      <c r="LG34" s="251">
        <f>SUM(LG6:LG32)</f>
        <v/>
      </c>
      <c r="LH34" s="251">
        <f>SUM(LH6:LH32)</f>
        <v/>
      </c>
      <c r="LI34" s="251">
        <f>SUM(LI6:LI32)</f>
        <v/>
      </c>
      <c r="LJ34" s="251">
        <f>SUM(LJ6:LJ32)</f>
        <v/>
      </c>
      <c r="LK34" s="251">
        <f>SUM(LK6:LK32)</f>
        <v/>
      </c>
      <c r="LL34" s="251">
        <f>SUM(LL6:LL32)</f>
        <v/>
      </c>
      <c r="LM34" s="251">
        <f>SUM(LM6:LM32)</f>
        <v/>
      </c>
      <c r="LN34" s="251">
        <f>SUM(LN6:LN32)</f>
        <v/>
      </c>
      <c r="LO34" s="251">
        <f>SUM(LO6:LO32)</f>
        <v/>
      </c>
      <c r="LP34" s="251">
        <f>SUM(LP6:LP32)</f>
        <v/>
      </c>
      <c r="LQ34" s="251">
        <f>SUM(LQ6:LQ32)</f>
        <v/>
      </c>
      <c r="LR34" s="251">
        <f>SUM(LR6:LR32)</f>
        <v/>
      </c>
      <c r="LS34" s="251">
        <f>SUM(LS6:LS32)</f>
        <v/>
      </c>
      <c r="LT34" s="251">
        <f>SUM(LT6:LT32)</f>
        <v/>
      </c>
      <c r="LU34" s="251">
        <f>SUM(LU6:LU32)</f>
        <v/>
      </c>
      <c r="LV34" s="251">
        <f>SUM(LV6:LV32)</f>
        <v/>
      </c>
      <c r="LW34" s="251">
        <f>SUM(LW6:LW32)</f>
        <v/>
      </c>
      <c r="LX34" s="251">
        <f>SUM(LX6:LX32)</f>
        <v/>
      </c>
      <c r="LY34" s="251">
        <f>SUM(LY6:LY32)</f>
        <v/>
      </c>
      <c r="LZ34" s="251">
        <f>SUM(LZ6:LZ32)</f>
        <v/>
      </c>
      <c r="MA34" s="251">
        <f>SUM(MA6:MA32)</f>
        <v/>
      </c>
      <c r="MB34" s="251">
        <f>SUM(MB6:MB32)</f>
        <v/>
      </c>
      <c r="MC34" s="251">
        <f>SUM(MC6:MC32)</f>
        <v/>
      </c>
      <c r="MD34" s="251">
        <f>SUM(MD6:MD32)</f>
        <v/>
      </c>
      <c r="ME34" s="251">
        <f>SUM(ME6:ME32)</f>
        <v/>
      </c>
      <c r="MF34" s="251">
        <f>SUM(MF6:MF32)</f>
        <v/>
      </c>
      <c r="MG34" s="251">
        <f>SUM(MG6:MG32)</f>
        <v/>
      </c>
      <c r="MH34" s="251">
        <f>SUM(MH6:MH32)</f>
        <v/>
      </c>
      <c r="MI34" s="251">
        <f>SUM(MI6:MI32)</f>
        <v/>
      </c>
      <c r="MJ34" s="251">
        <f>SUM(MJ6:MJ32)</f>
        <v/>
      </c>
      <c r="MK34" s="251">
        <f>SUM(MK6:MK32)</f>
        <v/>
      </c>
      <c r="ML34" s="251">
        <f>SUM(ML6:ML32)</f>
        <v/>
      </c>
      <c r="MM34" s="251">
        <f>SUM(MM6:MM32)</f>
        <v/>
      </c>
      <c r="MN34" s="251">
        <f>SUM(MN6:MN32)</f>
        <v/>
      </c>
      <c r="MO34" s="251">
        <f>SUM(MO6:MO32)</f>
        <v/>
      </c>
      <c r="MP34" s="251">
        <f>SUM(MP6:MP32)</f>
        <v/>
      </c>
      <c r="MQ34" s="251">
        <f>SUM(MQ6:MQ32)</f>
        <v/>
      </c>
      <c r="MR34" s="251">
        <f>SUM(MR6:MR32)</f>
        <v/>
      </c>
      <c r="MS34" s="251">
        <f>SUM(MS6:MS32)</f>
        <v/>
      </c>
      <c r="MT34" s="251">
        <f>SUM(MT6:MT32)</f>
        <v/>
      </c>
      <c r="MU34" s="251">
        <f>SUM(MU6:MU32)</f>
        <v/>
      </c>
      <c r="MV34" s="251">
        <f>SUM(MV6:MV32)</f>
        <v/>
      </c>
      <c r="MW34" s="251">
        <f>SUM(MW6:MW32)</f>
        <v/>
      </c>
      <c r="MX34" s="251">
        <f>SUM(MX6:MX32)</f>
        <v/>
      </c>
      <c r="MY34" s="251">
        <f>SUM(MY6:MY32)</f>
        <v/>
      </c>
      <c r="MZ34" s="251">
        <f>SUM(MZ6:MZ32)</f>
        <v/>
      </c>
      <c r="NA34" s="251">
        <f>SUM(NA6:NA32)</f>
        <v/>
      </c>
      <c r="NB34" s="251">
        <f>SUM(NB6:NB32)</f>
        <v/>
      </c>
      <c r="NC34" s="251">
        <f>SUM(NC6:NC32)</f>
        <v/>
      </c>
      <c r="ND34" s="251">
        <f>SUM(ND6:ND32)</f>
        <v/>
      </c>
      <c r="NE34" s="251">
        <f>SUM(NE6:NE32)</f>
        <v/>
      </c>
      <c r="NF34" s="251">
        <f>SUM(NF6:NF32)</f>
        <v/>
      </c>
      <c r="NG34" s="251">
        <f>SUM(NG6:NG32)</f>
        <v/>
      </c>
      <c r="NH34" s="251">
        <f>SUM(NH6:NH32)</f>
        <v/>
      </c>
      <c r="NI34" s="251">
        <f>SUM(NI6:NI32)</f>
        <v/>
      </c>
      <c r="NJ34" s="251">
        <f>SUM(NJ6:NJ32)</f>
        <v/>
      </c>
      <c r="NK34" s="251">
        <f>SUM(NK6:NK32)</f>
        <v/>
      </c>
      <c r="NL34" s="252">
        <f>SUM(NL6:NL32)</f>
        <v/>
      </c>
    </row>
    <row r="35">
      <c r="B35" s="36" t="inlineStr">
        <is>
          <t>Sponsor Development Fee</t>
        </is>
      </c>
      <c r="D35" s="246">
        <f>SUM(E35:NL35)</f>
        <v/>
      </c>
      <c r="E35" s="228">
        <f>IF(AND(1&gt;=MS_Initial_Closing_Start,1&lt;=MS_Stabilization_Start),DevFee/(MS_Stabilization_Start-MS_Initial_Closing_Start+1),0)</f>
        <v/>
      </c>
      <c r="F35" s="228">
        <f>IF(AND(2&gt;=MS_Initial_Closing_Start,2&lt;=MS_Stabilization_Start),DevFee/(MS_Stabilization_Start-MS_Initial_Closing_Start+1),0)</f>
        <v/>
      </c>
      <c r="G35" s="228">
        <f>IF(AND(3&gt;=MS_Initial_Closing_Start,3&lt;=MS_Stabilization_Start),DevFee/(MS_Stabilization_Start-MS_Initial_Closing_Start+1),0)</f>
        <v/>
      </c>
      <c r="H35" s="228">
        <f>IF(AND(4&gt;=MS_Initial_Closing_Start,4&lt;=MS_Stabilization_Start),DevFee/(MS_Stabilization_Start-MS_Initial_Closing_Start+1),0)</f>
        <v/>
      </c>
      <c r="I35" s="228">
        <f>IF(AND(5&gt;=MS_Initial_Closing_Start,5&lt;=MS_Stabilization_Start),DevFee/(MS_Stabilization_Start-MS_Initial_Closing_Start+1),0)</f>
        <v/>
      </c>
      <c r="J35" s="228">
        <f>IF(AND(6&gt;=MS_Initial_Closing_Start,6&lt;=MS_Stabilization_Start),DevFee/(MS_Stabilization_Start-MS_Initial_Closing_Start+1),0)</f>
        <v/>
      </c>
      <c r="K35" s="228">
        <f>IF(AND(7&gt;=MS_Initial_Closing_Start,7&lt;=MS_Stabilization_Start),DevFee/(MS_Stabilization_Start-MS_Initial_Closing_Start+1),0)</f>
        <v/>
      </c>
      <c r="L35" s="228">
        <f>IF(AND(8&gt;=MS_Initial_Closing_Start,8&lt;=MS_Stabilization_Start),DevFee/(MS_Stabilization_Start-MS_Initial_Closing_Start+1),0)</f>
        <v/>
      </c>
      <c r="M35" s="228">
        <f>IF(AND(9&gt;=MS_Initial_Closing_Start,9&lt;=MS_Stabilization_Start),DevFee/(MS_Stabilization_Start-MS_Initial_Closing_Start+1),0)</f>
        <v/>
      </c>
      <c r="N35" s="228">
        <f>IF(AND(10&gt;=MS_Initial_Closing_Start,10&lt;=MS_Stabilization_Start),DevFee/(MS_Stabilization_Start-MS_Initial_Closing_Start+1),0)</f>
        <v/>
      </c>
      <c r="O35" s="228">
        <f>IF(AND(11&gt;=MS_Initial_Closing_Start,11&lt;=MS_Stabilization_Start),DevFee/(MS_Stabilization_Start-MS_Initial_Closing_Start+1),0)</f>
        <v/>
      </c>
      <c r="P35" s="228">
        <f>IF(AND(12&gt;=MS_Initial_Closing_Start,12&lt;=MS_Stabilization_Start),DevFee/(MS_Stabilization_Start-MS_Initial_Closing_Start+1),0)</f>
        <v/>
      </c>
      <c r="Q35" s="228">
        <f>IF(AND(13&gt;=MS_Initial_Closing_Start,13&lt;=MS_Stabilization_Start),DevFee/(MS_Stabilization_Start-MS_Initial_Closing_Start+1),0)</f>
        <v/>
      </c>
      <c r="R35" s="228">
        <f>IF(AND(14&gt;=MS_Initial_Closing_Start,14&lt;=MS_Stabilization_Start),DevFee/(MS_Stabilization_Start-MS_Initial_Closing_Start+1),0)</f>
        <v/>
      </c>
      <c r="S35" s="228">
        <f>IF(AND(15&gt;=MS_Initial_Closing_Start,15&lt;=MS_Stabilization_Start),DevFee/(MS_Stabilization_Start-MS_Initial_Closing_Start+1),0)</f>
        <v/>
      </c>
      <c r="T35" s="228">
        <f>IF(AND(16&gt;=MS_Initial_Closing_Start,16&lt;=MS_Stabilization_Start),DevFee/(MS_Stabilization_Start-MS_Initial_Closing_Start+1),0)</f>
        <v/>
      </c>
      <c r="U35" s="228">
        <f>IF(AND(17&gt;=MS_Initial_Closing_Start,17&lt;=MS_Stabilization_Start),DevFee/(MS_Stabilization_Start-MS_Initial_Closing_Start+1),0)</f>
        <v/>
      </c>
      <c r="V35" s="228">
        <f>IF(AND(18&gt;=MS_Initial_Closing_Start,18&lt;=MS_Stabilization_Start),DevFee/(MS_Stabilization_Start-MS_Initial_Closing_Start+1),0)</f>
        <v/>
      </c>
      <c r="W35" s="228">
        <f>IF(AND(19&gt;=MS_Initial_Closing_Start,19&lt;=MS_Stabilization_Start),DevFee/(MS_Stabilization_Start-MS_Initial_Closing_Start+1),0)</f>
        <v/>
      </c>
      <c r="X35" s="228">
        <f>IF(AND(20&gt;=MS_Initial_Closing_Start,20&lt;=MS_Stabilization_Start),DevFee/(MS_Stabilization_Start-MS_Initial_Closing_Start+1),0)</f>
        <v/>
      </c>
      <c r="Y35" s="228">
        <f>IF(AND(21&gt;=MS_Initial_Closing_Start,21&lt;=MS_Stabilization_Start),DevFee/(MS_Stabilization_Start-MS_Initial_Closing_Start+1),0)</f>
        <v/>
      </c>
      <c r="Z35" s="228">
        <f>IF(AND(22&gt;=MS_Initial_Closing_Start,22&lt;=MS_Stabilization_Start),DevFee/(MS_Stabilization_Start-MS_Initial_Closing_Start+1),0)</f>
        <v/>
      </c>
      <c r="AA35" s="228">
        <f>IF(AND(23&gt;=MS_Initial_Closing_Start,23&lt;=MS_Stabilization_Start),DevFee/(MS_Stabilization_Start-MS_Initial_Closing_Start+1),0)</f>
        <v/>
      </c>
      <c r="AB35" s="228">
        <f>IF(AND(24&gt;=MS_Initial_Closing_Start,24&lt;=MS_Stabilization_Start),DevFee/(MS_Stabilization_Start-MS_Initial_Closing_Start+1),0)</f>
        <v/>
      </c>
      <c r="AC35" s="228">
        <f>IF(AND(25&gt;=MS_Initial_Closing_Start,25&lt;=MS_Stabilization_Start),DevFee/(MS_Stabilization_Start-MS_Initial_Closing_Start+1),0)</f>
        <v/>
      </c>
      <c r="AD35" s="228">
        <f>IF(AND(26&gt;=MS_Initial_Closing_Start,26&lt;=MS_Stabilization_Start),DevFee/(MS_Stabilization_Start-MS_Initial_Closing_Start+1),0)</f>
        <v/>
      </c>
      <c r="AE35" s="228">
        <f>IF(AND(27&gt;=MS_Initial_Closing_Start,27&lt;=MS_Stabilization_Start),DevFee/(MS_Stabilization_Start-MS_Initial_Closing_Start+1),0)</f>
        <v/>
      </c>
      <c r="AF35" s="228">
        <f>IF(AND(28&gt;=MS_Initial_Closing_Start,28&lt;=MS_Stabilization_Start),DevFee/(MS_Stabilization_Start-MS_Initial_Closing_Start+1),0)</f>
        <v/>
      </c>
      <c r="AG35" s="228">
        <f>IF(AND(29&gt;=MS_Initial_Closing_Start,29&lt;=MS_Stabilization_Start),DevFee/(MS_Stabilization_Start-MS_Initial_Closing_Start+1),0)</f>
        <v/>
      </c>
      <c r="AH35" s="228">
        <f>IF(AND(30&gt;=MS_Initial_Closing_Start,30&lt;=MS_Stabilization_Start),DevFee/(MS_Stabilization_Start-MS_Initial_Closing_Start+1),0)</f>
        <v/>
      </c>
      <c r="AI35" s="228">
        <f>IF(AND(31&gt;=MS_Initial_Closing_Start,31&lt;=MS_Stabilization_Start),DevFee/(MS_Stabilization_Start-MS_Initial_Closing_Start+1),0)</f>
        <v/>
      </c>
      <c r="AJ35" s="228">
        <f>IF(AND(32&gt;=MS_Initial_Closing_Start,32&lt;=MS_Stabilization_Start),DevFee/(MS_Stabilization_Start-MS_Initial_Closing_Start+1),0)</f>
        <v/>
      </c>
      <c r="AK35" s="228">
        <f>IF(AND(33&gt;=MS_Initial_Closing_Start,33&lt;=MS_Stabilization_Start),DevFee/(MS_Stabilization_Start-MS_Initial_Closing_Start+1),0)</f>
        <v/>
      </c>
      <c r="AL35" s="228">
        <f>IF(AND(34&gt;=MS_Initial_Closing_Start,34&lt;=MS_Stabilization_Start),DevFee/(MS_Stabilization_Start-MS_Initial_Closing_Start+1),0)</f>
        <v/>
      </c>
      <c r="AM35" s="228">
        <f>IF(AND(35&gt;=MS_Initial_Closing_Start,35&lt;=MS_Stabilization_Start),DevFee/(MS_Stabilization_Start-MS_Initial_Closing_Start+1),0)</f>
        <v/>
      </c>
      <c r="AN35" s="228">
        <f>IF(AND(36&gt;=MS_Initial_Closing_Start,36&lt;=MS_Stabilization_Start),DevFee/(MS_Stabilization_Start-MS_Initial_Closing_Start+1),0)</f>
        <v/>
      </c>
      <c r="AO35" s="228">
        <f>IF(AND(37&gt;=MS_Initial_Closing_Start,37&lt;=MS_Stabilization_Start),DevFee/(MS_Stabilization_Start-MS_Initial_Closing_Start+1),0)</f>
        <v/>
      </c>
      <c r="AP35" s="228">
        <f>IF(AND(38&gt;=MS_Initial_Closing_Start,38&lt;=MS_Stabilization_Start),DevFee/(MS_Stabilization_Start-MS_Initial_Closing_Start+1),0)</f>
        <v/>
      </c>
      <c r="AQ35" s="228">
        <f>IF(AND(39&gt;=MS_Initial_Closing_Start,39&lt;=MS_Stabilization_Start),DevFee/(MS_Stabilization_Start-MS_Initial_Closing_Start+1),0)</f>
        <v/>
      </c>
      <c r="AR35" s="228">
        <f>IF(AND(40&gt;=MS_Initial_Closing_Start,40&lt;=MS_Stabilization_Start),DevFee/(MS_Stabilization_Start-MS_Initial_Closing_Start+1),0)</f>
        <v/>
      </c>
      <c r="AS35" s="228">
        <f>IF(AND(41&gt;=MS_Initial_Closing_Start,41&lt;=MS_Stabilization_Start),DevFee/(MS_Stabilization_Start-MS_Initial_Closing_Start+1),0)</f>
        <v/>
      </c>
      <c r="AT35" s="228">
        <f>IF(AND(42&gt;=MS_Initial_Closing_Start,42&lt;=MS_Stabilization_Start),DevFee/(MS_Stabilization_Start-MS_Initial_Closing_Start+1),0)</f>
        <v/>
      </c>
      <c r="AU35" s="228">
        <f>IF(AND(43&gt;=MS_Initial_Closing_Start,43&lt;=MS_Stabilization_Start),DevFee/(MS_Stabilization_Start-MS_Initial_Closing_Start+1),0)</f>
        <v/>
      </c>
      <c r="AV35" s="228">
        <f>IF(AND(44&gt;=MS_Initial_Closing_Start,44&lt;=MS_Stabilization_Start),DevFee/(MS_Stabilization_Start-MS_Initial_Closing_Start+1),0)</f>
        <v/>
      </c>
      <c r="AW35" s="228">
        <f>IF(AND(45&gt;=MS_Initial_Closing_Start,45&lt;=MS_Stabilization_Start),DevFee/(MS_Stabilization_Start-MS_Initial_Closing_Start+1),0)</f>
        <v/>
      </c>
      <c r="AX35" s="228">
        <f>IF(AND(46&gt;=MS_Initial_Closing_Start,46&lt;=MS_Stabilization_Start),DevFee/(MS_Stabilization_Start-MS_Initial_Closing_Start+1),0)</f>
        <v/>
      </c>
      <c r="AY35" s="228">
        <f>IF(AND(47&gt;=MS_Initial_Closing_Start,47&lt;=MS_Stabilization_Start),DevFee/(MS_Stabilization_Start-MS_Initial_Closing_Start+1),0)</f>
        <v/>
      </c>
      <c r="AZ35" s="228">
        <f>IF(AND(48&gt;=MS_Initial_Closing_Start,48&lt;=MS_Stabilization_Start),DevFee/(MS_Stabilization_Start-MS_Initial_Closing_Start+1),0)</f>
        <v/>
      </c>
      <c r="BA35" s="228">
        <f>IF(AND(49&gt;=MS_Initial_Closing_Start,49&lt;=MS_Stabilization_Start),DevFee/(MS_Stabilization_Start-MS_Initial_Closing_Start+1),0)</f>
        <v/>
      </c>
      <c r="BB35" s="228">
        <f>IF(AND(50&gt;=MS_Initial_Closing_Start,50&lt;=MS_Stabilization_Start),DevFee/(MS_Stabilization_Start-MS_Initial_Closing_Start+1),0)</f>
        <v/>
      </c>
      <c r="BC35" s="228">
        <f>IF(AND(51&gt;=MS_Initial_Closing_Start,51&lt;=MS_Stabilization_Start),DevFee/(MS_Stabilization_Start-MS_Initial_Closing_Start+1),0)</f>
        <v/>
      </c>
      <c r="BD35" s="228">
        <f>IF(AND(52&gt;=MS_Initial_Closing_Start,52&lt;=MS_Stabilization_Start),DevFee/(MS_Stabilization_Start-MS_Initial_Closing_Start+1),0)</f>
        <v/>
      </c>
      <c r="BE35" s="228">
        <f>IF(AND(53&gt;=MS_Initial_Closing_Start,53&lt;=MS_Stabilization_Start),DevFee/(MS_Stabilization_Start-MS_Initial_Closing_Start+1),0)</f>
        <v/>
      </c>
      <c r="BF35" s="228">
        <f>IF(AND(54&gt;=MS_Initial_Closing_Start,54&lt;=MS_Stabilization_Start),DevFee/(MS_Stabilization_Start-MS_Initial_Closing_Start+1),0)</f>
        <v/>
      </c>
      <c r="BG35" s="228">
        <f>IF(AND(55&gt;=MS_Initial_Closing_Start,55&lt;=MS_Stabilization_Start),DevFee/(MS_Stabilization_Start-MS_Initial_Closing_Start+1),0)</f>
        <v/>
      </c>
      <c r="BH35" s="228">
        <f>IF(AND(56&gt;=MS_Initial_Closing_Start,56&lt;=MS_Stabilization_Start),DevFee/(MS_Stabilization_Start-MS_Initial_Closing_Start+1),0)</f>
        <v/>
      </c>
      <c r="BI35" s="228">
        <f>IF(AND(57&gt;=MS_Initial_Closing_Start,57&lt;=MS_Stabilization_Start),DevFee/(MS_Stabilization_Start-MS_Initial_Closing_Start+1),0)</f>
        <v/>
      </c>
      <c r="BJ35" s="228">
        <f>IF(AND(58&gt;=MS_Initial_Closing_Start,58&lt;=MS_Stabilization_Start),DevFee/(MS_Stabilization_Start-MS_Initial_Closing_Start+1),0)</f>
        <v/>
      </c>
      <c r="BK35" s="228">
        <f>IF(AND(59&gt;=MS_Initial_Closing_Start,59&lt;=MS_Stabilization_Start),DevFee/(MS_Stabilization_Start-MS_Initial_Closing_Start+1),0)</f>
        <v/>
      </c>
      <c r="BL35" s="228">
        <f>IF(AND(60&gt;=MS_Initial_Closing_Start,60&lt;=MS_Stabilization_Start),DevFee/(MS_Stabilization_Start-MS_Initial_Closing_Start+1),0)</f>
        <v/>
      </c>
      <c r="BM35" s="228">
        <f>IF(AND(61&gt;=MS_Initial_Closing_Start,61&lt;=MS_Stabilization_Start),DevFee/(MS_Stabilization_Start-MS_Initial_Closing_Start+1),0)</f>
        <v/>
      </c>
      <c r="BN35" s="228">
        <f>IF(AND(62&gt;=MS_Initial_Closing_Start,62&lt;=MS_Stabilization_Start),DevFee/(MS_Stabilization_Start-MS_Initial_Closing_Start+1),0)</f>
        <v/>
      </c>
      <c r="BO35" s="228">
        <f>IF(AND(63&gt;=MS_Initial_Closing_Start,63&lt;=MS_Stabilization_Start),DevFee/(MS_Stabilization_Start-MS_Initial_Closing_Start+1),0)</f>
        <v/>
      </c>
      <c r="BP35" s="228">
        <f>IF(AND(64&gt;=MS_Initial_Closing_Start,64&lt;=MS_Stabilization_Start),DevFee/(MS_Stabilization_Start-MS_Initial_Closing_Start+1),0)</f>
        <v/>
      </c>
      <c r="BQ35" s="228">
        <f>IF(AND(65&gt;=MS_Initial_Closing_Start,65&lt;=MS_Stabilization_Start),DevFee/(MS_Stabilization_Start-MS_Initial_Closing_Start+1),0)</f>
        <v/>
      </c>
      <c r="BR35" s="228">
        <f>IF(AND(66&gt;=MS_Initial_Closing_Start,66&lt;=MS_Stabilization_Start),DevFee/(MS_Stabilization_Start-MS_Initial_Closing_Start+1),0)</f>
        <v/>
      </c>
      <c r="BS35" s="228">
        <f>IF(AND(67&gt;=MS_Initial_Closing_Start,67&lt;=MS_Stabilization_Start),DevFee/(MS_Stabilization_Start-MS_Initial_Closing_Start+1),0)</f>
        <v/>
      </c>
      <c r="BT35" s="228">
        <f>IF(AND(68&gt;=MS_Initial_Closing_Start,68&lt;=MS_Stabilization_Start),DevFee/(MS_Stabilization_Start-MS_Initial_Closing_Start+1),0)</f>
        <v/>
      </c>
      <c r="BU35" s="228">
        <f>IF(AND(69&gt;=MS_Initial_Closing_Start,69&lt;=MS_Stabilization_Start),DevFee/(MS_Stabilization_Start-MS_Initial_Closing_Start+1),0)</f>
        <v/>
      </c>
      <c r="BV35" s="228">
        <f>IF(AND(70&gt;=MS_Initial_Closing_Start,70&lt;=MS_Stabilization_Start),DevFee/(MS_Stabilization_Start-MS_Initial_Closing_Start+1),0)</f>
        <v/>
      </c>
      <c r="BW35" s="228">
        <f>IF(AND(71&gt;=MS_Initial_Closing_Start,71&lt;=MS_Stabilization_Start),DevFee/(MS_Stabilization_Start-MS_Initial_Closing_Start+1),0)</f>
        <v/>
      </c>
      <c r="BX35" s="228">
        <f>IF(AND(72&gt;=MS_Initial_Closing_Start,72&lt;=MS_Stabilization_Start),DevFee/(MS_Stabilization_Start-MS_Initial_Closing_Start+1),0)</f>
        <v/>
      </c>
      <c r="BY35" s="228">
        <f>IF(AND(73&gt;=MS_Initial_Closing_Start,73&lt;=MS_Stabilization_Start),DevFee/(MS_Stabilization_Start-MS_Initial_Closing_Start+1),0)</f>
        <v/>
      </c>
      <c r="BZ35" s="228">
        <f>IF(AND(74&gt;=MS_Initial_Closing_Start,74&lt;=MS_Stabilization_Start),DevFee/(MS_Stabilization_Start-MS_Initial_Closing_Start+1),0)</f>
        <v/>
      </c>
      <c r="CA35" s="228">
        <f>IF(AND(75&gt;=MS_Initial_Closing_Start,75&lt;=MS_Stabilization_Start),DevFee/(MS_Stabilization_Start-MS_Initial_Closing_Start+1),0)</f>
        <v/>
      </c>
      <c r="CB35" s="228">
        <f>IF(AND(76&gt;=MS_Initial_Closing_Start,76&lt;=MS_Stabilization_Start),DevFee/(MS_Stabilization_Start-MS_Initial_Closing_Start+1),0)</f>
        <v/>
      </c>
      <c r="CC35" s="228">
        <f>IF(AND(77&gt;=MS_Initial_Closing_Start,77&lt;=MS_Stabilization_Start),DevFee/(MS_Stabilization_Start-MS_Initial_Closing_Start+1),0)</f>
        <v/>
      </c>
      <c r="CD35" s="228">
        <f>IF(AND(78&gt;=MS_Initial_Closing_Start,78&lt;=MS_Stabilization_Start),DevFee/(MS_Stabilization_Start-MS_Initial_Closing_Start+1),0)</f>
        <v/>
      </c>
      <c r="CE35" s="228">
        <f>IF(AND(79&gt;=MS_Initial_Closing_Start,79&lt;=MS_Stabilization_Start),DevFee/(MS_Stabilization_Start-MS_Initial_Closing_Start+1),0)</f>
        <v/>
      </c>
      <c r="CF35" s="228">
        <f>IF(AND(80&gt;=MS_Initial_Closing_Start,80&lt;=MS_Stabilization_Start),DevFee/(MS_Stabilization_Start-MS_Initial_Closing_Start+1),0)</f>
        <v/>
      </c>
      <c r="CG35" s="228">
        <f>IF(AND(81&gt;=MS_Initial_Closing_Start,81&lt;=MS_Stabilization_Start),DevFee/(MS_Stabilization_Start-MS_Initial_Closing_Start+1),0)</f>
        <v/>
      </c>
      <c r="CH35" s="228">
        <f>IF(AND(82&gt;=MS_Initial_Closing_Start,82&lt;=MS_Stabilization_Start),DevFee/(MS_Stabilization_Start-MS_Initial_Closing_Start+1),0)</f>
        <v/>
      </c>
      <c r="CI35" s="228">
        <f>IF(AND(83&gt;=MS_Initial_Closing_Start,83&lt;=MS_Stabilization_Start),DevFee/(MS_Stabilization_Start-MS_Initial_Closing_Start+1),0)</f>
        <v/>
      </c>
      <c r="CJ35" s="228">
        <f>IF(AND(84&gt;=MS_Initial_Closing_Start,84&lt;=MS_Stabilization_Start),DevFee/(MS_Stabilization_Start-MS_Initial_Closing_Start+1),0)</f>
        <v/>
      </c>
      <c r="CK35" s="228">
        <f>IF(AND(85&gt;=MS_Initial_Closing_Start,85&lt;=MS_Stabilization_Start),DevFee/(MS_Stabilization_Start-MS_Initial_Closing_Start+1),0)</f>
        <v/>
      </c>
      <c r="CL35" s="228">
        <f>IF(AND(86&gt;=MS_Initial_Closing_Start,86&lt;=MS_Stabilization_Start),DevFee/(MS_Stabilization_Start-MS_Initial_Closing_Start+1),0)</f>
        <v/>
      </c>
      <c r="CM35" s="228">
        <f>IF(AND(87&gt;=MS_Initial_Closing_Start,87&lt;=MS_Stabilization_Start),DevFee/(MS_Stabilization_Start-MS_Initial_Closing_Start+1),0)</f>
        <v/>
      </c>
      <c r="CN35" s="228">
        <f>IF(AND(88&gt;=MS_Initial_Closing_Start,88&lt;=MS_Stabilization_Start),DevFee/(MS_Stabilization_Start-MS_Initial_Closing_Start+1),0)</f>
        <v/>
      </c>
      <c r="CO35" s="228">
        <f>IF(AND(89&gt;=MS_Initial_Closing_Start,89&lt;=MS_Stabilization_Start),DevFee/(MS_Stabilization_Start-MS_Initial_Closing_Start+1),0)</f>
        <v/>
      </c>
      <c r="CP35" s="228">
        <f>IF(AND(90&gt;=MS_Initial_Closing_Start,90&lt;=MS_Stabilization_Start),DevFee/(MS_Stabilization_Start-MS_Initial_Closing_Start+1),0)</f>
        <v/>
      </c>
      <c r="CQ35" s="228">
        <f>IF(AND(91&gt;=MS_Initial_Closing_Start,91&lt;=MS_Stabilization_Start),DevFee/(MS_Stabilization_Start-MS_Initial_Closing_Start+1),0)</f>
        <v/>
      </c>
      <c r="CR35" s="228">
        <f>IF(AND(92&gt;=MS_Initial_Closing_Start,92&lt;=MS_Stabilization_Start),DevFee/(MS_Stabilization_Start-MS_Initial_Closing_Start+1),0)</f>
        <v/>
      </c>
      <c r="CS35" s="228">
        <f>IF(AND(93&gt;=MS_Initial_Closing_Start,93&lt;=MS_Stabilization_Start),DevFee/(MS_Stabilization_Start-MS_Initial_Closing_Start+1),0)</f>
        <v/>
      </c>
      <c r="CT35" s="228">
        <f>IF(AND(94&gt;=MS_Initial_Closing_Start,94&lt;=MS_Stabilization_Start),DevFee/(MS_Stabilization_Start-MS_Initial_Closing_Start+1),0)</f>
        <v/>
      </c>
      <c r="CU35" s="228">
        <f>IF(AND(95&gt;=MS_Initial_Closing_Start,95&lt;=MS_Stabilization_Start),DevFee/(MS_Stabilization_Start-MS_Initial_Closing_Start+1),0)</f>
        <v/>
      </c>
      <c r="CV35" s="228">
        <f>IF(AND(96&gt;=MS_Initial_Closing_Start,96&lt;=MS_Stabilization_Start),DevFee/(MS_Stabilization_Start-MS_Initial_Closing_Start+1),0)</f>
        <v/>
      </c>
      <c r="CW35" s="228">
        <f>IF(AND(97&gt;=MS_Initial_Closing_Start,97&lt;=MS_Stabilization_Start),DevFee/(MS_Stabilization_Start-MS_Initial_Closing_Start+1),0)</f>
        <v/>
      </c>
      <c r="CX35" s="228">
        <f>IF(AND(98&gt;=MS_Initial_Closing_Start,98&lt;=MS_Stabilization_Start),DevFee/(MS_Stabilization_Start-MS_Initial_Closing_Start+1),0)</f>
        <v/>
      </c>
      <c r="CY35" s="228">
        <f>IF(AND(99&gt;=MS_Initial_Closing_Start,99&lt;=MS_Stabilization_Start),DevFee/(MS_Stabilization_Start-MS_Initial_Closing_Start+1),0)</f>
        <v/>
      </c>
      <c r="CZ35" s="228">
        <f>IF(AND(100&gt;=MS_Initial_Closing_Start,100&lt;=MS_Stabilization_Start),DevFee/(MS_Stabilization_Start-MS_Initial_Closing_Start+1),0)</f>
        <v/>
      </c>
      <c r="DA35" s="228">
        <f>IF(AND(101&gt;=MS_Initial_Closing_Start,101&lt;=MS_Stabilization_Start),DevFee/(MS_Stabilization_Start-MS_Initial_Closing_Start+1),0)</f>
        <v/>
      </c>
      <c r="DB35" s="228">
        <f>IF(AND(102&gt;=MS_Initial_Closing_Start,102&lt;=MS_Stabilization_Start),DevFee/(MS_Stabilization_Start-MS_Initial_Closing_Start+1),0)</f>
        <v/>
      </c>
      <c r="DC35" s="228">
        <f>IF(AND(103&gt;=MS_Initial_Closing_Start,103&lt;=MS_Stabilization_Start),DevFee/(MS_Stabilization_Start-MS_Initial_Closing_Start+1),0)</f>
        <v/>
      </c>
      <c r="DD35" s="228">
        <f>IF(AND(104&gt;=MS_Initial_Closing_Start,104&lt;=MS_Stabilization_Start),DevFee/(MS_Stabilization_Start-MS_Initial_Closing_Start+1),0)</f>
        <v/>
      </c>
      <c r="DE35" s="228">
        <f>IF(AND(105&gt;=MS_Initial_Closing_Start,105&lt;=MS_Stabilization_Start),DevFee/(MS_Stabilization_Start-MS_Initial_Closing_Start+1),0)</f>
        <v/>
      </c>
      <c r="DF35" s="228">
        <f>IF(AND(106&gt;=MS_Initial_Closing_Start,106&lt;=MS_Stabilization_Start),DevFee/(MS_Stabilization_Start-MS_Initial_Closing_Start+1),0)</f>
        <v/>
      </c>
      <c r="DG35" s="228">
        <f>IF(AND(107&gt;=MS_Initial_Closing_Start,107&lt;=MS_Stabilization_Start),DevFee/(MS_Stabilization_Start-MS_Initial_Closing_Start+1),0)</f>
        <v/>
      </c>
      <c r="DH35" s="228">
        <f>IF(AND(108&gt;=MS_Initial_Closing_Start,108&lt;=MS_Stabilization_Start),DevFee/(MS_Stabilization_Start-MS_Initial_Closing_Start+1),0)</f>
        <v/>
      </c>
      <c r="DI35" s="228">
        <f>IF(AND(109&gt;=MS_Initial_Closing_Start,109&lt;=MS_Stabilization_Start),DevFee/(MS_Stabilization_Start-MS_Initial_Closing_Start+1),0)</f>
        <v/>
      </c>
      <c r="DJ35" s="228">
        <f>IF(AND(110&gt;=MS_Initial_Closing_Start,110&lt;=MS_Stabilization_Start),DevFee/(MS_Stabilization_Start-MS_Initial_Closing_Start+1),0)</f>
        <v/>
      </c>
      <c r="DK35" s="228">
        <f>IF(AND(111&gt;=MS_Initial_Closing_Start,111&lt;=MS_Stabilization_Start),DevFee/(MS_Stabilization_Start-MS_Initial_Closing_Start+1),0)</f>
        <v/>
      </c>
      <c r="DL35" s="228">
        <f>IF(AND(112&gt;=MS_Initial_Closing_Start,112&lt;=MS_Stabilization_Start),DevFee/(MS_Stabilization_Start-MS_Initial_Closing_Start+1),0)</f>
        <v/>
      </c>
      <c r="DM35" s="228">
        <f>IF(AND(113&gt;=MS_Initial_Closing_Start,113&lt;=MS_Stabilization_Start),DevFee/(MS_Stabilization_Start-MS_Initial_Closing_Start+1),0)</f>
        <v/>
      </c>
      <c r="DN35" s="228">
        <f>IF(AND(114&gt;=MS_Initial_Closing_Start,114&lt;=MS_Stabilization_Start),DevFee/(MS_Stabilization_Start-MS_Initial_Closing_Start+1),0)</f>
        <v/>
      </c>
      <c r="DO35" s="228">
        <f>IF(AND(115&gt;=MS_Initial_Closing_Start,115&lt;=MS_Stabilization_Start),DevFee/(MS_Stabilization_Start-MS_Initial_Closing_Start+1),0)</f>
        <v/>
      </c>
      <c r="DP35" s="228">
        <f>IF(AND(116&gt;=MS_Initial_Closing_Start,116&lt;=MS_Stabilization_Start),DevFee/(MS_Stabilization_Start-MS_Initial_Closing_Start+1),0)</f>
        <v/>
      </c>
      <c r="DQ35" s="228">
        <f>IF(AND(117&gt;=MS_Initial_Closing_Start,117&lt;=MS_Stabilization_Start),DevFee/(MS_Stabilization_Start-MS_Initial_Closing_Start+1),0)</f>
        <v/>
      </c>
      <c r="DR35" s="228">
        <f>IF(AND(118&gt;=MS_Initial_Closing_Start,118&lt;=MS_Stabilization_Start),DevFee/(MS_Stabilization_Start-MS_Initial_Closing_Start+1),0)</f>
        <v/>
      </c>
      <c r="DS35" s="228">
        <f>IF(AND(119&gt;=MS_Initial_Closing_Start,119&lt;=MS_Stabilization_Start),DevFee/(MS_Stabilization_Start-MS_Initial_Closing_Start+1),0)</f>
        <v/>
      </c>
      <c r="DT35" s="228">
        <f>IF(AND(120&gt;=MS_Initial_Closing_Start,120&lt;=MS_Stabilization_Start),DevFee/(MS_Stabilization_Start-MS_Initial_Closing_Start+1),0)</f>
        <v/>
      </c>
      <c r="DU35" s="228">
        <f>IF(AND(121&gt;=MS_Initial_Closing_Start,121&lt;=MS_Stabilization_Start),DevFee/(MS_Stabilization_Start-MS_Initial_Closing_Start+1),0)</f>
        <v/>
      </c>
      <c r="DV35" s="228">
        <f>IF(AND(122&gt;=MS_Initial_Closing_Start,122&lt;=MS_Stabilization_Start),DevFee/(MS_Stabilization_Start-MS_Initial_Closing_Start+1),0)</f>
        <v/>
      </c>
      <c r="DW35" s="228">
        <f>IF(AND(123&gt;=MS_Initial_Closing_Start,123&lt;=MS_Stabilization_Start),DevFee/(MS_Stabilization_Start-MS_Initial_Closing_Start+1),0)</f>
        <v/>
      </c>
      <c r="DX35" s="228">
        <f>IF(AND(124&gt;=MS_Initial_Closing_Start,124&lt;=MS_Stabilization_Start),DevFee/(MS_Stabilization_Start-MS_Initial_Closing_Start+1),0)</f>
        <v/>
      </c>
      <c r="DY35" s="228">
        <f>IF(AND(125&gt;=MS_Initial_Closing_Start,125&lt;=MS_Stabilization_Start),DevFee/(MS_Stabilization_Start-MS_Initial_Closing_Start+1),0)</f>
        <v/>
      </c>
      <c r="DZ35" s="228">
        <f>IF(AND(126&gt;=MS_Initial_Closing_Start,126&lt;=MS_Stabilization_Start),DevFee/(MS_Stabilization_Start-MS_Initial_Closing_Start+1),0)</f>
        <v/>
      </c>
      <c r="EA35" s="228">
        <f>IF(AND(127&gt;=MS_Initial_Closing_Start,127&lt;=MS_Stabilization_Start),DevFee/(MS_Stabilization_Start-MS_Initial_Closing_Start+1),0)</f>
        <v/>
      </c>
      <c r="EB35" s="228">
        <f>IF(AND(128&gt;=MS_Initial_Closing_Start,128&lt;=MS_Stabilization_Start),DevFee/(MS_Stabilization_Start-MS_Initial_Closing_Start+1),0)</f>
        <v/>
      </c>
      <c r="EC35" s="228">
        <f>IF(AND(129&gt;=MS_Initial_Closing_Start,129&lt;=MS_Stabilization_Start),DevFee/(MS_Stabilization_Start-MS_Initial_Closing_Start+1),0)</f>
        <v/>
      </c>
      <c r="ED35" s="228">
        <f>IF(AND(130&gt;=MS_Initial_Closing_Start,130&lt;=MS_Stabilization_Start),DevFee/(MS_Stabilization_Start-MS_Initial_Closing_Start+1),0)</f>
        <v/>
      </c>
      <c r="EE35" s="228">
        <f>IF(AND(131&gt;=MS_Initial_Closing_Start,131&lt;=MS_Stabilization_Start),DevFee/(MS_Stabilization_Start-MS_Initial_Closing_Start+1),0)</f>
        <v/>
      </c>
      <c r="EF35" s="228">
        <f>IF(AND(132&gt;=MS_Initial_Closing_Start,132&lt;=MS_Stabilization_Start),DevFee/(MS_Stabilization_Start-MS_Initial_Closing_Start+1),0)</f>
        <v/>
      </c>
      <c r="EG35" s="228">
        <f>IF(AND(133&gt;=MS_Initial_Closing_Start,133&lt;=MS_Stabilization_Start),DevFee/(MS_Stabilization_Start-MS_Initial_Closing_Start+1),0)</f>
        <v/>
      </c>
      <c r="EH35" s="228">
        <f>IF(AND(134&gt;=MS_Initial_Closing_Start,134&lt;=MS_Stabilization_Start),DevFee/(MS_Stabilization_Start-MS_Initial_Closing_Start+1),0)</f>
        <v/>
      </c>
      <c r="EI35" s="228">
        <f>IF(AND(135&gt;=MS_Initial_Closing_Start,135&lt;=MS_Stabilization_Start),DevFee/(MS_Stabilization_Start-MS_Initial_Closing_Start+1),0)</f>
        <v/>
      </c>
      <c r="EJ35" s="228">
        <f>IF(AND(136&gt;=MS_Initial_Closing_Start,136&lt;=MS_Stabilization_Start),DevFee/(MS_Stabilization_Start-MS_Initial_Closing_Start+1),0)</f>
        <v/>
      </c>
      <c r="EK35" s="228">
        <f>IF(AND(137&gt;=MS_Initial_Closing_Start,137&lt;=MS_Stabilization_Start),DevFee/(MS_Stabilization_Start-MS_Initial_Closing_Start+1),0)</f>
        <v/>
      </c>
      <c r="EL35" s="228">
        <f>IF(AND(138&gt;=MS_Initial_Closing_Start,138&lt;=MS_Stabilization_Start),DevFee/(MS_Stabilization_Start-MS_Initial_Closing_Start+1),0)</f>
        <v/>
      </c>
      <c r="EM35" s="228">
        <f>IF(AND(139&gt;=MS_Initial_Closing_Start,139&lt;=MS_Stabilization_Start),DevFee/(MS_Stabilization_Start-MS_Initial_Closing_Start+1),0)</f>
        <v/>
      </c>
      <c r="EN35" s="228">
        <f>IF(AND(140&gt;=MS_Initial_Closing_Start,140&lt;=MS_Stabilization_Start),DevFee/(MS_Stabilization_Start-MS_Initial_Closing_Start+1),0)</f>
        <v/>
      </c>
      <c r="EO35" s="228">
        <f>IF(AND(141&gt;=MS_Initial_Closing_Start,141&lt;=MS_Stabilization_Start),DevFee/(MS_Stabilization_Start-MS_Initial_Closing_Start+1),0)</f>
        <v/>
      </c>
      <c r="EP35" s="228">
        <f>IF(AND(142&gt;=MS_Initial_Closing_Start,142&lt;=MS_Stabilization_Start),DevFee/(MS_Stabilization_Start-MS_Initial_Closing_Start+1),0)</f>
        <v/>
      </c>
      <c r="EQ35" s="228">
        <f>IF(AND(143&gt;=MS_Initial_Closing_Start,143&lt;=MS_Stabilization_Start),DevFee/(MS_Stabilization_Start-MS_Initial_Closing_Start+1),0)</f>
        <v/>
      </c>
      <c r="ER35" s="228">
        <f>IF(AND(144&gt;=MS_Initial_Closing_Start,144&lt;=MS_Stabilization_Start),DevFee/(MS_Stabilization_Start-MS_Initial_Closing_Start+1),0)</f>
        <v/>
      </c>
      <c r="ES35" s="228">
        <f>IF(AND(145&gt;=MS_Initial_Closing_Start,145&lt;=MS_Stabilization_Start),DevFee/(MS_Stabilization_Start-MS_Initial_Closing_Start+1),0)</f>
        <v/>
      </c>
      <c r="ET35" s="228">
        <f>IF(AND(146&gt;=MS_Initial_Closing_Start,146&lt;=MS_Stabilization_Start),DevFee/(MS_Stabilization_Start-MS_Initial_Closing_Start+1),0)</f>
        <v/>
      </c>
      <c r="EU35" s="228">
        <f>IF(AND(147&gt;=MS_Initial_Closing_Start,147&lt;=MS_Stabilization_Start),DevFee/(MS_Stabilization_Start-MS_Initial_Closing_Start+1),0)</f>
        <v/>
      </c>
      <c r="EV35" s="228">
        <f>IF(AND(148&gt;=MS_Initial_Closing_Start,148&lt;=MS_Stabilization_Start),DevFee/(MS_Stabilization_Start-MS_Initial_Closing_Start+1),0)</f>
        <v/>
      </c>
      <c r="EW35" s="228">
        <f>IF(AND(149&gt;=MS_Initial_Closing_Start,149&lt;=MS_Stabilization_Start),DevFee/(MS_Stabilization_Start-MS_Initial_Closing_Start+1),0)</f>
        <v/>
      </c>
      <c r="EX35" s="228">
        <f>IF(AND(150&gt;=MS_Initial_Closing_Start,150&lt;=MS_Stabilization_Start),DevFee/(MS_Stabilization_Start-MS_Initial_Closing_Start+1),0)</f>
        <v/>
      </c>
      <c r="EY35" s="228">
        <f>IF(AND(151&gt;=MS_Initial_Closing_Start,151&lt;=MS_Stabilization_Start),DevFee/(MS_Stabilization_Start-MS_Initial_Closing_Start+1),0)</f>
        <v/>
      </c>
      <c r="EZ35" s="228">
        <f>IF(AND(152&gt;=MS_Initial_Closing_Start,152&lt;=MS_Stabilization_Start),DevFee/(MS_Stabilization_Start-MS_Initial_Closing_Start+1),0)</f>
        <v/>
      </c>
      <c r="FA35" s="228">
        <f>IF(AND(153&gt;=MS_Initial_Closing_Start,153&lt;=MS_Stabilization_Start),DevFee/(MS_Stabilization_Start-MS_Initial_Closing_Start+1),0)</f>
        <v/>
      </c>
      <c r="FB35" s="228">
        <f>IF(AND(154&gt;=MS_Initial_Closing_Start,154&lt;=MS_Stabilization_Start),DevFee/(MS_Stabilization_Start-MS_Initial_Closing_Start+1),0)</f>
        <v/>
      </c>
      <c r="FC35" s="228">
        <f>IF(AND(155&gt;=MS_Initial_Closing_Start,155&lt;=MS_Stabilization_Start),DevFee/(MS_Stabilization_Start-MS_Initial_Closing_Start+1),0)</f>
        <v/>
      </c>
      <c r="FD35" s="228">
        <f>IF(AND(156&gt;=MS_Initial_Closing_Start,156&lt;=MS_Stabilization_Start),DevFee/(MS_Stabilization_Start-MS_Initial_Closing_Start+1),0)</f>
        <v/>
      </c>
      <c r="FE35" s="228">
        <f>IF(AND(157&gt;=MS_Initial_Closing_Start,157&lt;=MS_Stabilization_Start),DevFee/(MS_Stabilization_Start-MS_Initial_Closing_Start+1),0)</f>
        <v/>
      </c>
      <c r="FF35" s="228">
        <f>IF(AND(158&gt;=MS_Initial_Closing_Start,158&lt;=MS_Stabilization_Start),DevFee/(MS_Stabilization_Start-MS_Initial_Closing_Start+1),0)</f>
        <v/>
      </c>
      <c r="FG35" s="228">
        <f>IF(AND(159&gt;=MS_Initial_Closing_Start,159&lt;=MS_Stabilization_Start),DevFee/(MS_Stabilization_Start-MS_Initial_Closing_Start+1),0)</f>
        <v/>
      </c>
      <c r="FH35" s="228">
        <f>IF(AND(160&gt;=MS_Initial_Closing_Start,160&lt;=MS_Stabilization_Start),DevFee/(MS_Stabilization_Start-MS_Initial_Closing_Start+1),0)</f>
        <v/>
      </c>
      <c r="FI35" s="228">
        <f>IF(AND(161&gt;=MS_Initial_Closing_Start,161&lt;=MS_Stabilization_Start),DevFee/(MS_Stabilization_Start-MS_Initial_Closing_Start+1),0)</f>
        <v/>
      </c>
      <c r="FJ35" s="228">
        <f>IF(AND(162&gt;=MS_Initial_Closing_Start,162&lt;=MS_Stabilization_Start),DevFee/(MS_Stabilization_Start-MS_Initial_Closing_Start+1),0)</f>
        <v/>
      </c>
      <c r="FK35" s="228">
        <f>IF(AND(163&gt;=MS_Initial_Closing_Start,163&lt;=MS_Stabilization_Start),DevFee/(MS_Stabilization_Start-MS_Initial_Closing_Start+1),0)</f>
        <v/>
      </c>
      <c r="FL35" s="228">
        <f>IF(AND(164&gt;=MS_Initial_Closing_Start,164&lt;=MS_Stabilization_Start),DevFee/(MS_Stabilization_Start-MS_Initial_Closing_Start+1),0)</f>
        <v/>
      </c>
      <c r="FM35" s="228">
        <f>IF(AND(165&gt;=MS_Initial_Closing_Start,165&lt;=MS_Stabilization_Start),DevFee/(MS_Stabilization_Start-MS_Initial_Closing_Start+1),0)</f>
        <v/>
      </c>
      <c r="FN35" s="228">
        <f>IF(AND(166&gt;=MS_Initial_Closing_Start,166&lt;=MS_Stabilization_Start),DevFee/(MS_Stabilization_Start-MS_Initial_Closing_Start+1),0)</f>
        <v/>
      </c>
      <c r="FO35" s="228">
        <f>IF(AND(167&gt;=MS_Initial_Closing_Start,167&lt;=MS_Stabilization_Start),DevFee/(MS_Stabilization_Start-MS_Initial_Closing_Start+1),0)</f>
        <v/>
      </c>
      <c r="FP35" s="228">
        <f>IF(AND(168&gt;=MS_Initial_Closing_Start,168&lt;=MS_Stabilization_Start),DevFee/(MS_Stabilization_Start-MS_Initial_Closing_Start+1),0)</f>
        <v/>
      </c>
      <c r="FQ35" s="228">
        <f>IF(AND(169&gt;=MS_Initial_Closing_Start,169&lt;=MS_Stabilization_Start),DevFee/(MS_Stabilization_Start-MS_Initial_Closing_Start+1),0)</f>
        <v/>
      </c>
      <c r="FR35" s="228">
        <f>IF(AND(170&gt;=MS_Initial_Closing_Start,170&lt;=MS_Stabilization_Start),DevFee/(MS_Stabilization_Start-MS_Initial_Closing_Start+1),0)</f>
        <v/>
      </c>
      <c r="FS35" s="228">
        <f>IF(AND(171&gt;=MS_Initial_Closing_Start,171&lt;=MS_Stabilization_Start),DevFee/(MS_Stabilization_Start-MS_Initial_Closing_Start+1),0)</f>
        <v/>
      </c>
      <c r="FT35" s="228">
        <f>IF(AND(172&gt;=MS_Initial_Closing_Start,172&lt;=MS_Stabilization_Start),DevFee/(MS_Stabilization_Start-MS_Initial_Closing_Start+1),0)</f>
        <v/>
      </c>
      <c r="FU35" s="228">
        <f>IF(AND(173&gt;=MS_Initial_Closing_Start,173&lt;=MS_Stabilization_Start),DevFee/(MS_Stabilization_Start-MS_Initial_Closing_Start+1),0)</f>
        <v/>
      </c>
      <c r="FV35" s="228">
        <f>IF(AND(174&gt;=MS_Initial_Closing_Start,174&lt;=MS_Stabilization_Start),DevFee/(MS_Stabilization_Start-MS_Initial_Closing_Start+1),0)</f>
        <v/>
      </c>
      <c r="FW35" s="228">
        <f>IF(AND(175&gt;=MS_Initial_Closing_Start,175&lt;=MS_Stabilization_Start),DevFee/(MS_Stabilization_Start-MS_Initial_Closing_Start+1),0)</f>
        <v/>
      </c>
      <c r="FX35" s="228">
        <f>IF(AND(176&gt;=MS_Initial_Closing_Start,176&lt;=MS_Stabilization_Start),DevFee/(MS_Stabilization_Start-MS_Initial_Closing_Start+1),0)</f>
        <v/>
      </c>
      <c r="FY35" s="228">
        <f>IF(AND(177&gt;=MS_Initial_Closing_Start,177&lt;=MS_Stabilization_Start),DevFee/(MS_Stabilization_Start-MS_Initial_Closing_Start+1),0)</f>
        <v/>
      </c>
      <c r="FZ35" s="228">
        <f>IF(AND(178&gt;=MS_Initial_Closing_Start,178&lt;=MS_Stabilization_Start),DevFee/(MS_Stabilization_Start-MS_Initial_Closing_Start+1),0)</f>
        <v/>
      </c>
      <c r="GA35" s="228">
        <f>IF(AND(179&gt;=MS_Initial_Closing_Start,179&lt;=MS_Stabilization_Start),DevFee/(MS_Stabilization_Start-MS_Initial_Closing_Start+1),0)</f>
        <v/>
      </c>
      <c r="GB35" s="228">
        <f>IF(AND(180&gt;=MS_Initial_Closing_Start,180&lt;=MS_Stabilization_Start),DevFee/(MS_Stabilization_Start-MS_Initial_Closing_Start+1),0)</f>
        <v/>
      </c>
      <c r="GC35" s="228">
        <f>IF(AND(181&gt;=MS_Initial_Closing_Start,181&lt;=MS_Stabilization_Start),DevFee/(MS_Stabilization_Start-MS_Initial_Closing_Start+1),0)</f>
        <v/>
      </c>
      <c r="GD35" s="228">
        <f>IF(AND(182&gt;=MS_Initial_Closing_Start,182&lt;=MS_Stabilization_Start),DevFee/(MS_Stabilization_Start-MS_Initial_Closing_Start+1),0)</f>
        <v/>
      </c>
      <c r="GE35" s="228">
        <f>IF(AND(183&gt;=MS_Initial_Closing_Start,183&lt;=MS_Stabilization_Start),DevFee/(MS_Stabilization_Start-MS_Initial_Closing_Start+1),0)</f>
        <v/>
      </c>
      <c r="GF35" s="228">
        <f>IF(AND(184&gt;=MS_Initial_Closing_Start,184&lt;=MS_Stabilization_Start),DevFee/(MS_Stabilization_Start-MS_Initial_Closing_Start+1),0)</f>
        <v/>
      </c>
      <c r="GG35" s="228">
        <f>IF(AND(185&gt;=MS_Initial_Closing_Start,185&lt;=MS_Stabilization_Start),DevFee/(MS_Stabilization_Start-MS_Initial_Closing_Start+1),0)</f>
        <v/>
      </c>
      <c r="GH35" s="228">
        <f>IF(AND(186&gt;=MS_Initial_Closing_Start,186&lt;=MS_Stabilization_Start),DevFee/(MS_Stabilization_Start-MS_Initial_Closing_Start+1),0)</f>
        <v/>
      </c>
      <c r="GI35" s="228">
        <f>IF(AND(187&gt;=MS_Initial_Closing_Start,187&lt;=MS_Stabilization_Start),DevFee/(MS_Stabilization_Start-MS_Initial_Closing_Start+1),0)</f>
        <v/>
      </c>
      <c r="GJ35" s="228">
        <f>IF(AND(188&gt;=MS_Initial_Closing_Start,188&lt;=MS_Stabilization_Start),DevFee/(MS_Stabilization_Start-MS_Initial_Closing_Start+1),0)</f>
        <v/>
      </c>
      <c r="GK35" s="228">
        <f>IF(AND(189&gt;=MS_Initial_Closing_Start,189&lt;=MS_Stabilization_Start),DevFee/(MS_Stabilization_Start-MS_Initial_Closing_Start+1),0)</f>
        <v/>
      </c>
      <c r="GL35" s="228">
        <f>IF(AND(190&gt;=MS_Initial_Closing_Start,190&lt;=MS_Stabilization_Start),DevFee/(MS_Stabilization_Start-MS_Initial_Closing_Start+1),0)</f>
        <v/>
      </c>
      <c r="GM35" s="228">
        <f>IF(AND(191&gt;=MS_Initial_Closing_Start,191&lt;=MS_Stabilization_Start),DevFee/(MS_Stabilization_Start-MS_Initial_Closing_Start+1),0)</f>
        <v/>
      </c>
      <c r="GN35" s="228">
        <f>IF(AND(192&gt;=MS_Initial_Closing_Start,192&lt;=MS_Stabilization_Start),DevFee/(MS_Stabilization_Start-MS_Initial_Closing_Start+1),0)</f>
        <v/>
      </c>
      <c r="GO35" s="228">
        <f>IF(AND(193&gt;=MS_Initial_Closing_Start,193&lt;=MS_Stabilization_Start),DevFee/(MS_Stabilization_Start-MS_Initial_Closing_Start+1),0)</f>
        <v/>
      </c>
      <c r="GP35" s="228">
        <f>IF(AND(194&gt;=MS_Initial_Closing_Start,194&lt;=MS_Stabilization_Start),DevFee/(MS_Stabilization_Start-MS_Initial_Closing_Start+1),0)</f>
        <v/>
      </c>
      <c r="GQ35" s="228">
        <f>IF(AND(195&gt;=MS_Initial_Closing_Start,195&lt;=MS_Stabilization_Start),DevFee/(MS_Stabilization_Start-MS_Initial_Closing_Start+1),0)</f>
        <v/>
      </c>
      <c r="GR35" s="228">
        <f>IF(AND(196&gt;=MS_Initial_Closing_Start,196&lt;=MS_Stabilization_Start),DevFee/(MS_Stabilization_Start-MS_Initial_Closing_Start+1),0)</f>
        <v/>
      </c>
      <c r="GS35" s="228">
        <f>IF(AND(197&gt;=MS_Initial_Closing_Start,197&lt;=MS_Stabilization_Start),DevFee/(MS_Stabilization_Start-MS_Initial_Closing_Start+1),0)</f>
        <v/>
      </c>
      <c r="GT35" s="228">
        <f>IF(AND(198&gt;=MS_Initial_Closing_Start,198&lt;=MS_Stabilization_Start),DevFee/(MS_Stabilization_Start-MS_Initial_Closing_Start+1),0)</f>
        <v/>
      </c>
      <c r="GU35" s="228">
        <f>IF(AND(199&gt;=MS_Initial_Closing_Start,199&lt;=MS_Stabilization_Start),DevFee/(MS_Stabilization_Start-MS_Initial_Closing_Start+1),0)</f>
        <v/>
      </c>
      <c r="GV35" s="228">
        <f>IF(AND(200&gt;=MS_Initial_Closing_Start,200&lt;=MS_Stabilization_Start),DevFee/(MS_Stabilization_Start-MS_Initial_Closing_Start+1),0)</f>
        <v/>
      </c>
      <c r="GW35" s="228">
        <f>IF(AND(201&gt;=MS_Initial_Closing_Start,201&lt;=MS_Stabilization_Start),DevFee/(MS_Stabilization_Start-MS_Initial_Closing_Start+1),0)</f>
        <v/>
      </c>
      <c r="GX35" s="228">
        <f>IF(AND(202&gt;=MS_Initial_Closing_Start,202&lt;=MS_Stabilization_Start),DevFee/(MS_Stabilization_Start-MS_Initial_Closing_Start+1),0)</f>
        <v/>
      </c>
      <c r="GY35" s="228">
        <f>IF(AND(203&gt;=MS_Initial_Closing_Start,203&lt;=MS_Stabilization_Start),DevFee/(MS_Stabilization_Start-MS_Initial_Closing_Start+1),0)</f>
        <v/>
      </c>
      <c r="GZ35" s="228">
        <f>IF(AND(204&gt;=MS_Initial_Closing_Start,204&lt;=MS_Stabilization_Start),DevFee/(MS_Stabilization_Start-MS_Initial_Closing_Start+1),0)</f>
        <v/>
      </c>
      <c r="HA35" s="228">
        <f>IF(AND(205&gt;=MS_Initial_Closing_Start,205&lt;=MS_Stabilization_Start),DevFee/(MS_Stabilization_Start-MS_Initial_Closing_Start+1),0)</f>
        <v/>
      </c>
      <c r="HB35" s="228">
        <f>IF(AND(206&gt;=MS_Initial_Closing_Start,206&lt;=MS_Stabilization_Start),DevFee/(MS_Stabilization_Start-MS_Initial_Closing_Start+1),0)</f>
        <v/>
      </c>
      <c r="HC35" s="228">
        <f>IF(AND(207&gt;=MS_Initial_Closing_Start,207&lt;=MS_Stabilization_Start),DevFee/(MS_Stabilization_Start-MS_Initial_Closing_Start+1),0)</f>
        <v/>
      </c>
      <c r="HD35" s="228">
        <f>IF(AND(208&gt;=MS_Initial_Closing_Start,208&lt;=MS_Stabilization_Start),DevFee/(MS_Stabilization_Start-MS_Initial_Closing_Start+1),0)</f>
        <v/>
      </c>
      <c r="HE35" s="228">
        <f>IF(AND(209&gt;=MS_Initial_Closing_Start,209&lt;=MS_Stabilization_Start),DevFee/(MS_Stabilization_Start-MS_Initial_Closing_Start+1),0)</f>
        <v/>
      </c>
      <c r="HF35" s="228">
        <f>IF(AND(210&gt;=MS_Initial_Closing_Start,210&lt;=MS_Stabilization_Start),DevFee/(MS_Stabilization_Start-MS_Initial_Closing_Start+1),0)</f>
        <v/>
      </c>
      <c r="HG35" s="228">
        <f>IF(AND(211&gt;=MS_Initial_Closing_Start,211&lt;=MS_Stabilization_Start),DevFee/(MS_Stabilization_Start-MS_Initial_Closing_Start+1),0)</f>
        <v/>
      </c>
      <c r="HH35" s="228">
        <f>IF(AND(212&gt;=MS_Initial_Closing_Start,212&lt;=MS_Stabilization_Start),DevFee/(MS_Stabilization_Start-MS_Initial_Closing_Start+1),0)</f>
        <v/>
      </c>
      <c r="HI35" s="228">
        <f>IF(AND(213&gt;=MS_Initial_Closing_Start,213&lt;=MS_Stabilization_Start),DevFee/(MS_Stabilization_Start-MS_Initial_Closing_Start+1),0)</f>
        <v/>
      </c>
      <c r="HJ35" s="228">
        <f>IF(AND(214&gt;=MS_Initial_Closing_Start,214&lt;=MS_Stabilization_Start),DevFee/(MS_Stabilization_Start-MS_Initial_Closing_Start+1),0)</f>
        <v/>
      </c>
      <c r="HK35" s="228">
        <f>IF(AND(215&gt;=MS_Initial_Closing_Start,215&lt;=MS_Stabilization_Start),DevFee/(MS_Stabilization_Start-MS_Initial_Closing_Start+1),0)</f>
        <v/>
      </c>
      <c r="HL35" s="228">
        <f>IF(AND(216&gt;=MS_Initial_Closing_Start,216&lt;=MS_Stabilization_Start),DevFee/(MS_Stabilization_Start-MS_Initial_Closing_Start+1),0)</f>
        <v/>
      </c>
      <c r="HM35" s="228">
        <f>IF(AND(217&gt;=MS_Initial_Closing_Start,217&lt;=MS_Stabilization_Start),DevFee/(MS_Stabilization_Start-MS_Initial_Closing_Start+1),0)</f>
        <v/>
      </c>
      <c r="HN35" s="228">
        <f>IF(AND(218&gt;=MS_Initial_Closing_Start,218&lt;=MS_Stabilization_Start),DevFee/(MS_Stabilization_Start-MS_Initial_Closing_Start+1),0)</f>
        <v/>
      </c>
      <c r="HO35" s="228">
        <f>IF(AND(219&gt;=MS_Initial_Closing_Start,219&lt;=MS_Stabilization_Start),DevFee/(MS_Stabilization_Start-MS_Initial_Closing_Start+1),0)</f>
        <v/>
      </c>
      <c r="HP35" s="228">
        <f>IF(AND(220&gt;=MS_Initial_Closing_Start,220&lt;=MS_Stabilization_Start),DevFee/(MS_Stabilization_Start-MS_Initial_Closing_Start+1),0)</f>
        <v/>
      </c>
      <c r="HQ35" s="228">
        <f>IF(AND(221&gt;=MS_Initial_Closing_Start,221&lt;=MS_Stabilization_Start),DevFee/(MS_Stabilization_Start-MS_Initial_Closing_Start+1),0)</f>
        <v/>
      </c>
      <c r="HR35" s="228">
        <f>IF(AND(222&gt;=MS_Initial_Closing_Start,222&lt;=MS_Stabilization_Start),DevFee/(MS_Stabilization_Start-MS_Initial_Closing_Start+1),0)</f>
        <v/>
      </c>
      <c r="HS35" s="228">
        <f>IF(AND(223&gt;=MS_Initial_Closing_Start,223&lt;=MS_Stabilization_Start),DevFee/(MS_Stabilization_Start-MS_Initial_Closing_Start+1),0)</f>
        <v/>
      </c>
      <c r="HT35" s="228">
        <f>IF(AND(224&gt;=MS_Initial_Closing_Start,224&lt;=MS_Stabilization_Start),DevFee/(MS_Stabilization_Start-MS_Initial_Closing_Start+1),0)</f>
        <v/>
      </c>
      <c r="HU35" s="228">
        <f>IF(AND(225&gt;=MS_Initial_Closing_Start,225&lt;=MS_Stabilization_Start),DevFee/(MS_Stabilization_Start-MS_Initial_Closing_Start+1),0)</f>
        <v/>
      </c>
      <c r="HV35" s="228">
        <f>IF(AND(226&gt;=MS_Initial_Closing_Start,226&lt;=MS_Stabilization_Start),DevFee/(MS_Stabilization_Start-MS_Initial_Closing_Start+1),0)</f>
        <v/>
      </c>
      <c r="HW35" s="228">
        <f>IF(AND(227&gt;=MS_Initial_Closing_Start,227&lt;=MS_Stabilization_Start),DevFee/(MS_Stabilization_Start-MS_Initial_Closing_Start+1),0)</f>
        <v/>
      </c>
      <c r="HX35" s="228">
        <f>IF(AND(228&gt;=MS_Initial_Closing_Start,228&lt;=MS_Stabilization_Start),DevFee/(MS_Stabilization_Start-MS_Initial_Closing_Start+1),0)</f>
        <v/>
      </c>
      <c r="HY35" s="228">
        <f>IF(AND(229&gt;=MS_Initial_Closing_Start,229&lt;=MS_Stabilization_Start),DevFee/(MS_Stabilization_Start-MS_Initial_Closing_Start+1),0)</f>
        <v/>
      </c>
      <c r="HZ35" s="228">
        <f>IF(AND(230&gt;=MS_Initial_Closing_Start,230&lt;=MS_Stabilization_Start),DevFee/(MS_Stabilization_Start-MS_Initial_Closing_Start+1),0)</f>
        <v/>
      </c>
      <c r="IA35" s="228">
        <f>IF(AND(231&gt;=MS_Initial_Closing_Start,231&lt;=MS_Stabilization_Start),DevFee/(MS_Stabilization_Start-MS_Initial_Closing_Start+1),0)</f>
        <v/>
      </c>
      <c r="IB35" s="228">
        <f>IF(AND(232&gt;=MS_Initial_Closing_Start,232&lt;=MS_Stabilization_Start),DevFee/(MS_Stabilization_Start-MS_Initial_Closing_Start+1),0)</f>
        <v/>
      </c>
      <c r="IC35" s="228">
        <f>IF(AND(233&gt;=MS_Initial_Closing_Start,233&lt;=MS_Stabilization_Start),DevFee/(MS_Stabilization_Start-MS_Initial_Closing_Start+1),0)</f>
        <v/>
      </c>
      <c r="ID35" s="228">
        <f>IF(AND(234&gt;=MS_Initial_Closing_Start,234&lt;=MS_Stabilization_Start),DevFee/(MS_Stabilization_Start-MS_Initial_Closing_Start+1),0)</f>
        <v/>
      </c>
      <c r="IE35" s="228">
        <f>IF(AND(235&gt;=MS_Initial_Closing_Start,235&lt;=MS_Stabilization_Start),DevFee/(MS_Stabilization_Start-MS_Initial_Closing_Start+1),0)</f>
        <v/>
      </c>
      <c r="IF35" s="228">
        <f>IF(AND(236&gt;=MS_Initial_Closing_Start,236&lt;=MS_Stabilization_Start),DevFee/(MS_Stabilization_Start-MS_Initial_Closing_Start+1),0)</f>
        <v/>
      </c>
      <c r="IG35" s="228">
        <f>IF(AND(237&gt;=MS_Initial_Closing_Start,237&lt;=MS_Stabilization_Start),DevFee/(MS_Stabilization_Start-MS_Initial_Closing_Start+1),0)</f>
        <v/>
      </c>
      <c r="IH35" s="228">
        <f>IF(AND(238&gt;=MS_Initial_Closing_Start,238&lt;=MS_Stabilization_Start),DevFee/(MS_Stabilization_Start-MS_Initial_Closing_Start+1),0)</f>
        <v/>
      </c>
      <c r="II35" s="228">
        <f>IF(AND(239&gt;=MS_Initial_Closing_Start,239&lt;=MS_Stabilization_Start),DevFee/(MS_Stabilization_Start-MS_Initial_Closing_Start+1),0)</f>
        <v/>
      </c>
      <c r="IJ35" s="228">
        <f>IF(AND(240&gt;=MS_Initial_Closing_Start,240&lt;=MS_Stabilization_Start),DevFee/(MS_Stabilization_Start-MS_Initial_Closing_Start+1),0)</f>
        <v/>
      </c>
      <c r="IK35" s="228">
        <f>IF(AND(241&gt;=MS_Initial_Closing_Start,241&lt;=MS_Stabilization_Start),DevFee/(MS_Stabilization_Start-MS_Initial_Closing_Start+1),0)</f>
        <v/>
      </c>
      <c r="IL35" s="228">
        <f>IF(AND(242&gt;=MS_Initial_Closing_Start,242&lt;=MS_Stabilization_Start),DevFee/(MS_Stabilization_Start-MS_Initial_Closing_Start+1),0)</f>
        <v/>
      </c>
      <c r="IM35" s="228">
        <f>IF(AND(243&gt;=MS_Initial_Closing_Start,243&lt;=MS_Stabilization_Start),DevFee/(MS_Stabilization_Start-MS_Initial_Closing_Start+1),0)</f>
        <v/>
      </c>
      <c r="IN35" s="228">
        <f>IF(AND(244&gt;=MS_Initial_Closing_Start,244&lt;=MS_Stabilization_Start),DevFee/(MS_Stabilization_Start-MS_Initial_Closing_Start+1),0)</f>
        <v/>
      </c>
      <c r="IO35" s="228">
        <f>IF(AND(245&gt;=MS_Initial_Closing_Start,245&lt;=MS_Stabilization_Start),DevFee/(MS_Stabilization_Start-MS_Initial_Closing_Start+1),0)</f>
        <v/>
      </c>
      <c r="IP35" s="228">
        <f>IF(AND(246&gt;=MS_Initial_Closing_Start,246&lt;=MS_Stabilization_Start),DevFee/(MS_Stabilization_Start-MS_Initial_Closing_Start+1),0)</f>
        <v/>
      </c>
      <c r="IQ35" s="228">
        <f>IF(AND(247&gt;=MS_Initial_Closing_Start,247&lt;=MS_Stabilization_Start),DevFee/(MS_Stabilization_Start-MS_Initial_Closing_Start+1),0)</f>
        <v/>
      </c>
      <c r="IR35" s="228">
        <f>IF(AND(248&gt;=MS_Initial_Closing_Start,248&lt;=MS_Stabilization_Start),DevFee/(MS_Stabilization_Start-MS_Initial_Closing_Start+1),0)</f>
        <v/>
      </c>
      <c r="IS35" s="228">
        <f>IF(AND(249&gt;=MS_Initial_Closing_Start,249&lt;=MS_Stabilization_Start),DevFee/(MS_Stabilization_Start-MS_Initial_Closing_Start+1),0)</f>
        <v/>
      </c>
      <c r="IT35" s="228">
        <f>IF(AND(250&gt;=MS_Initial_Closing_Start,250&lt;=MS_Stabilization_Start),DevFee/(MS_Stabilization_Start-MS_Initial_Closing_Start+1),0)</f>
        <v/>
      </c>
      <c r="IU35" s="228">
        <f>IF(AND(251&gt;=MS_Initial_Closing_Start,251&lt;=MS_Stabilization_Start),DevFee/(MS_Stabilization_Start-MS_Initial_Closing_Start+1),0)</f>
        <v/>
      </c>
      <c r="IV35" s="228">
        <f>IF(AND(252&gt;=MS_Initial_Closing_Start,252&lt;=MS_Stabilization_Start),DevFee/(MS_Stabilization_Start-MS_Initial_Closing_Start+1),0)</f>
        <v/>
      </c>
      <c r="IW35" s="228">
        <f>IF(AND(253&gt;=MS_Initial_Closing_Start,253&lt;=MS_Stabilization_Start),DevFee/(MS_Stabilization_Start-MS_Initial_Closing_Start+1),0)</f>
        <v/>
      </c>
      <c r="IX35" s="228">
        <f>IF(AND(254&gt;=MS_Initial_Closing_Start,254&lt;=MS_Stabilization_Start),DevFee/(MS_Stabilization_Start-MS_Initial_Closing_Start+1),0)</f>
        <v/>
      </c>
      <c r="IY35" s="228">
        <f>IF(AND(255&gt;=MS_Initial_Closing_Start,255&lt;=MS_Stabilization_Start),DevFee/(MS_Stabilization_Start-MS_Initial_Closing_Start+1),0)</f>
        <v/>
      </c>
      <c r="IZ35" s="228">
        <f>IF(AND(256&gt;=MS_Initial_Closing_Start,256&lt;=MS_Stabilization_Start),DevFee/(MS_Stabilization_Start-MS_Initial_Closing_Start+1),0)</f>
        <v/>
      </c>
      <c r="JA35" s="228">
        <f>IF(AND(257&gt;=MS_Initial_Closing_Start,257&lt;=MS_Stabilization_Start),DevFee/(MS_Stabilization_Start-MS_Initial_Closing_Start+1),0)</f>
        <v/>
      </c>
      <c r="JB35" s="228">
        <f>IF(AND(258&gt;=MS_Initial_Closing_Start,258&lt;=MS_Stabilization_Start),DevFee/(MS_Stabilization_Start-MS_Initial_Closing_Start+1),0)</f>
        <v/>
      </c>
      <c r="JC35" s="228">
        <f>IF(AND(259&gt;=MS_Initial_Closing_Start,259&lt;=MS_Stabilization_Start),DevFee/(MS_Stabilization_Start-MS_Initial_Closing_Start+1),0)</f>
        <v/>
      </c>
      <c r="JD35" s="228">
        <f>IF(AND(260&gt;=MS_Initial_Closing_Start,260&lt;=MS_Stabilization_Start),DevFee/(MS_Stabilization_Start-MS_Initial_Closing_Start+1),0)</f>
        <v/>
      </c>
      <c r="JE35" s="228">
        <f>IF(AND(261&gt;=MS_Initial_Closing_Start,261&lt;=MS_Stabilization_Start),DevFee/(MS_Stabilization_Start-MS_Initial_Closing_Start+1),0)</f>
        <v/>
      </c>
      <c r="JF35" s="228">
        <f>IF(AND(262&gt;=MS_Initial_Closing_Start,262&lt;=MS_Stabilization_Start),DevFee/(MS_Stabilization_Start-MS_Initial_Closing_Start+1),0)</f>
        <v/>
      </c>
      <c r="JG35" s="228">
        <f>IF(AND(263&gt;=MS_Initial_Closing_Start,263&lt;=MS_Stabilization_Start),DevFee/(MS_Stabilization_Start-MS_Initial_Closing_Start+1),0)</f>
        <v/>
      </c>
      <c r="JH35" s="228">
        <f>IF(AND(264&gt;=MS_Initial_Closing_Start,264&lt;=MS_Stabilization_Start),DevFee/(MS_Stabilization_Start-MS_Initial_Closing_Start+1),0)</f>
        <v/>
      </c>
      <c r="JI35" s="228">
        <f>IF(AND(265&gt;=MS_Initial_Closing_Start,265&lt;=MS_Stabilization_Start),DevFee/(MS_Stabilization_Start-MS_Initial_Closing_Start+1),0)</f>
        <v/>
      </c>
      <c r="JJ35" s="228">
        <f>IF(AND(266&gt;=MS_Initial_Closing_Start,266&lt;=MS_Stabilization_Start),DevFee/(MS_Stabilization_Start-MS_Initial_Closing_Start+1),0)</f>
        <v/>
      </c>
      <c r="JK35" s="228">
        <f>IF(AND(267&gt;=MS_Initial_Closing_Start,267&lt;=MS_Stabilization_Start),DevFee/(MS_Stabilization_Start-MS_Initial_Closing_Start+1),0)</f>
        <v/>
      </c>
      <c r="JL35" s="228">
        <f>IF(AND(268&gt;=MS_Initial_Closing_Start,268&lt;=MS_Stabilization_Start),DevFee/(MS_Stabilization_Start-MS_Initial_Closing_Start+1),0)</f>
        <v/>
      </c>
      <c r="JM35" s="228">
        <f>IF(AND(269&gt;=MS_Initial_Closing_Start,269&lt;=MS_Stabilization_Start),DevFee/(MS_Stabilization_Start-MS_Initial_Closing_Start+1),0)</f>
        <v/>
      </c>
      <c r="JN35" s="228">
        <f>IF(AND(270&gt;=MS_Initial_Closing_Start,270&lt;=MS_Stabilization_Start),DevFee/(MS_Stabilization_Start-MS_Initial_Closing_Start+1),0)</f>
        <v/>
      </c>
      <c r="JO35" s="228">
        <f>IF(AND(271&gt;=MS_Initial_Closing_Start,271&lt;=MS_Stabilization_Start),DevFee/(MS_Stabilization_Start-MS_Initial_Closing_Start+1),0)</f>
        <v/>
      </c>
      <c r="JP35" s="228">
        <f>IF(AND(272&gt;=MS_Initial_Closing_Start,272&lt;=MS_Stabilization_Start),DevFee/(MS_Stabilization_Start-MS_Initial_Closing_Start+1),0)</f>
        <v/>
      </c>
      <c r="JQ35" s="228">
        <f>IF(AND(273&gt;=MS_Initial_Closing_Start,273&lt;=MS_Stabilization_Start),DevFee/(MS_Stabilization_Start-MS_Initial_Closing_Start+1),0)</f>
        <v/>
      </c>
      <c r="JR35" s="228">
        <f>IF(AND(274&gt;=MS_Initial_Closing_Start,274&lt;=MS_Stabilization_Start),DevFee/(MS_Stabilization_Start-MS_Initial_Closing_Start+1),0)</f>
        <v/>
      </c>
      <c r="JS35" s="228">
        <f>IF(AND(275&gt;=MS_Initial_Closing_Start,275&lt;=MS_Stabilization_Start),DevFee/(MS_Stabilization_Start-MS_Initial_Closing_Start+1),0)</f>
        <v/>
      </c>
      <c r="JT35" s="228">
        <f>IF(AND(276&gt;=MS_Initial_Closing_Start,276&lt;=MS_Stabilization_Start),DevFee/(MS_Stabilization_Start-MS_Initial_Closing_Start+1),0)</f>
        <v/>
      </c>
      <c r="JU35" s="228">
        <f>IF(AND(277&gt;=MS_Initial_Closing_Start,277&lt;=MS_Stabilization_Start),DevFee/(MS_Stabilization_Start-MS_Initial_Closing_Start+1),0)</f>
        <v/>
      </c>
      <c r="JV35" s="228">
        <f>IF(AND(278&gt;=MS_Initial_Closing_Start,278&lt;=MS_Stabilization_Start),DevFee/(MS_Stabilization_Start-MS_Initial_Closing_Start+1),0)</f>
        <v/>
      </c>
      <c r="JW35" s="228">
        <f>IF(AND(279&gt;=MS_Initial_Closing_Start,279&lt;=MS_Stabilization_Start),DevFee/(MS_Stabilization_Start-MS_Initial_Closing_Start+1),0)</f>
        <v/>
      </c>
      <c r="JX35" s="228">
        <f>IF(AND(280&gt;=MS_Initial_Closing_Start,280&lt;=MS_Stabilization_Start),DevFee/(MS_Stabilization_Start-MS_Initial_Closing_Start+1),0)</f>
        <v/>
      </c>
      <c r="JY35" s="228">
        <f>IF(AND(281&gt;=MS_Initial_Closing_Start,281&lt;=MS_Stabilization_Start),DevFee/(MS_Stabilization_Start-MS_Initial_Closing_Start+1),0)</f>
        <v/>
      </c>
      <c r="JZ35" s="228">
        <f>IF(AND(282&gt;=MS_Initial_Closing_Start,282&lt;=MS_Stabilization_Start),DevFee/(MS_Stabilization_Start-MS_Initial_Closing_Start+1),0)</f>
        <v/>
      </c>
      <c r="KA35" s="228">
        <f>IF(AND(283&gt;=MS_Initial_Closing_Start,283&lt;=MS_Stabilization_Start),DevFee/(MS_Stabilization_Start-MS_Initial_Closing_Start+1),0)</f>
        <v/>
      </c>
      <c r="KB35" s="228">
        <f>IF(AND(284&gt;=MS_Initial_Closing_Start,284&lt;=MS_Stabilization_Start),DevFee/(MS_Stabilization_Start-MS_Initial_Closing_Start+1),0)</f>
        <v/>
      </c>
      <c r="KC35" s="228">
        <f>IF(AND(285&gt;=MS_Initial_Closing_Start,285&lt;=MS_Stabilization_Start),DevFee/(MS_Stabilization_Start-MS_Initial_Closing_Start+1),0)</f>
        <v/>
      </c>
      <c r="KD35" s="228">
        <f>IF(AND(286&gt;=MS_Initial_Closing_Start,286&lt;=MS_Stabilization_Start),DevFee/(MS_Stabilization_Start-MS_Initial_Closing_Start+1),0)</f>
        <v/>
      </c>
      <c r="KE35" s="228">
        <f>IF(AND(287&gt;=MS_Initial_Closing_Start,287&lt;=MS_Stabilization_Start),DevFee/(MS_Stabilization_Start-MS_Initial_Closing_Start+1),0)</f>
        <v/>
      </c>
      <c r="KF35" s="228">
        <f>IF(AND(288&gt;=MS_Initial_Closing_Start,288&lt;=MS_Stabilization_Start),DevFee/(MS_Stabilization_Start-MS_Initial_Closing_Start+1),0)</f>
        <v/>
      </c>
      <c r="KG35" s="228">
        <f>IF(AND(289&gt;=MS_Initial_Closing_Start,289&lt;=MS_Stabilization_Start),DevFee/(MS_Stabilization_Start-MS_Initial_Closing_Start+1),0)</f>
        <v/>
      </c>
      <c r="KH35" s="228">
        <f>IF(AND(290&gt;=MS_Initial_Closing_Start,290&lt;=MS_Stabilization_Start),DevFee/(MS_Stabilization_Start-MS_Initial_Closing_Start+1),0)</f>
        <v/>
      </c>
      <c r="KI35" s="228">
        <f>IF(AND(291&gt;=MS_Initial_Closing_Start,291&lt;=MS_Stabilization_Start),DevFee/(MS_Stabilization_Start-MS_Initial_Closing_Start+1),0)</f>
        <v/>
      </c>
      <c r="KJ35" s="228">
        <f>IF(AND(292&gt;=MS_Initial_Closing_Start,292&lt;=MS_Stabilization_Start),DevFee/(MS_Stabilization_Start-MS_Initial_Closing_Start+1),0)</f>
        <v/>
      </c>
      <c r="KK35" s="228">
        <f>IF(AND(293&gt;=MS_Initial_Closing_Start,293&lt;=MS_Stabilization_Start),DevFee/(MS_Stabilization_Start-MS_Initial_Closing_Start+1),0)</f>
        <v/>
      </c>
      <c r="KL35" s="228">
        <f>IF(AND(294&gt;=MS_Initial_Closing_Start,294&lt;=MS_Stabilization_Start),DevFee/(MS_Stabilization_Start-MS_Initial_Closing_Start+1),0)</f>
        <v/>
      </c>
      <c r="KM35" s="228">
        <f>IF(AND(295&gt;=MS_Initial_Closing_Start,295&lt;=MS_Stabilization_Start),DevFee/(MS_Stabilization_Start-MS_Initial_Closing_Start+1),0)</f>
        <v/>
      </c>
      <c r="KN35" s="228">
        <f>IF(AND(296&gt;=MS_Initial_Closing_Start,296&lt;=MS_Stabilization_Start),DevFee/(MS_Stabilization_Start-MS_Initial_Closing_Start+1),0)</f>
        <v/>
      </c>
      <c r="KO35" s="228">
        <f>IF(AND(297&gt;=MS_Initial_Closing_Start,297&lt;=MS_Stabilization_Start),DevFee/(MS_Stabilization_Start-MS_Initial_Closing_Start+1),0)</f>
        <v/>
      </c>
      <c r="KP35" s="228">
        <f>IF(AND(298&gt;=MS_Initial_Closing_Start,298&lt;=MS_Stabilization_Start),DevFee/(MS_Stabilization_Start-MS_Initial_Closing_Start+1),0)</f>
        <v/>
      </c>
      <c r="KQ35" s="228">
        <f>IF(AND(299&gt;=MS_Initial_Closing_Start,299&lt;=MS_Stabilization_Start),DevFee/(MS_Stabilization_Start-MS_Initial_Closing_Start+1),0)</f>
        <v/>
      </c>
      <c r="KR35" s="228">
        <f>IF(AND(300&gt;=MS_Initial_Closing_Start,300&lt;=MS_Stabilization_Start),DevFee/(MS_Stabilization_Start-MS_Initial_Closing_Start+1),0)</f>
        <v/>
      </c>
      <c r="KS35" s="228">
        <f>IF(AND(301&gt;=MS_Initial_Closing_Start,301&lt;=MS_Stabilization_Start),DevFee/(MS_Stabilization_Start-MS_Initial_Closing_Start+1),0)</f>
        <v/>
      </c>
      <c r="KT35" s="228">
        <f>IF(AND(302&gt;=MS_Initial_Closing_Start,302&lt;=MS_Stabilization_Start),DevFee/(MS_Stabilization_Start-MS_Initial_Closing_Start+1),0)</f>
        <v/>
      </c>
      <c r="KU35" s="228">
        <f>IF(AND(303&gt;=MS_Initial_Closing_Start,303&lt;=MS_Stabilization_Start),DevFee/(MS_Stabilization_Start-MS_Initial_Closing_Start+1),0)</f>
        <v/>
      </c>
      <c r="KV35" s="228">
        <f>IF(AND(304&gt;=MS_Initial_Closing_Start,304&lt;=MS_Stabilization_Start),DevFee/(MS_Stabilization_Start-MS_Initial_Closing_Start+1),0)</f>
        <v/>
      </c>
      <c r="KW35" s="228">
        <f>IF(AND(305&gt;=MS_Initial_Closing_Start,305&lt;=MS_Stabilization_Start),DevFee/(MS_Stabilization_Start-MS_Initial_Closing_Start+1),0)</f>
        <v/>
      </c>
      <c r="KX35" s="228">
        <f>IF(AND(306&gt;=MS_Initial_Closing_Start,306&lt;=MS_Stabilization_Start),DevFee/(MS_Stabilization_Start-MS_Initial_Closing_Start+1),0)</f>
        <v/>
      </c>
      <c r="KY35" s="228">
        <f>IF(AND(307&gt;=MS_Initial_Closing_Start,307&lt;=MS_Stabilization_Start),DevFee/(MS_Stabilization_Start-MS_Initial_Closing_Start+1),0)</f>
        <v/>
      </c>
      <c r="KZ35" s="228">
        <f>IF(AND(308&gt;=MS_Initial_Closing_Start,308&lt;=MS_Stabilization_Start),DevFee/(MS_Stabilization_Start-MS_Initial_Closing_Start+1),0)</f>
        <v/>
      </c>
      <c r="LA35" s="228">
        <f>IF(AND(309&gt;=MS_Initial_Closing_Start,309&lt;=MS_Stabilization_Start),DevFee/(MS_Stabilization_Start-MS_Initial_Closing_Start+1),0)</f>
        <v/>
      </c>
      <c r="LB35" s="228">
        <f>IF(AND(310&gt;=MS_Initial_Closing_Start,310&lt;=MS_Stabilization_Start),DevFee/(MS_Stabilization_Start-MS_Initial_Closing_Start+1),0)</f>
        <v/>
      </c>
      <c r="LC35" s="228">
        <f>IF(AND(311&gt;=MS_Initial_Closing_Start,311&lt;=MS_Stabilization_Start),DevFee/(MS_Stabilization_Start-MS_Initial_Closing_Start+1),0)</f>
        <v/>
      </c>
      <c r="LD35" s="228">
        <f>IF(AND(312&gt;=MS_Initial_Closing_Start,312&lt;=MS_Stabilization_Start),DevFee/(MS_Stabilization_Start-MS_Initial_Closing_Start+1),0)</f>
        <v/>
      </c>
      <c r="LE35" s="228">
        <f>IF(AND(313&gt;=MS_Initial_Closing_Start,313&lt;=MS_Stabilization_Start),DevFee/(MS_Stabilization_Start-MS_Initial_Closing_Start+1),0)</f>
        <v/>
      </c>
      <c r="LF35" s="228">
        <f>IF(AND(314&gt;=MS_Initial_Closing_Start,314&lt;=MS_Stabilization_Start),DevFee/(MS_Stabilization_Start-MS_Initial_Closing_Start+1),0)</f>
        <v/>
      </c>
      <c r="LG35" s="228">
        <f>IF(AND(315&gt;=MS_Initial_Closing_Start,315&lt;=MS_Stabilization_Start),DevFee/(MS_Stabilization_Start-MS_Initial_Closing_Start+1),0)</f>
        <v/>
      </c>
      <c r="LH35" s="228">
        <f>IF(AND(316&gt;=MS_Initial_Closing_Start,316&lt;=MS_Stabilization_Start),DevFee/(MS_Stabilization_Start-MS_Initial_Closing_Start+1),0)</f>
        <v/>
      </c>
      <c r="LI35" s="228">
        <f>IF(AND(317&gt;=MS_Initial_Closing_Start,317&lt;=MS_Stabilization_Start),DevFee/(MS_Stabilization_Start-MS_Initial_Closing_Start+1),0)</f>
        <v/>
      </c>
      <c r="LJ35" s="228">
        <f>IF(AND(318&gt;=MS_Initial_Closing_Start,318&lt;=MS_Stabilization_Start),DevFee/(MS_Stabilization_Start-MS_Initial_Closing_Start+1),0)</f>
        <v/>
      </c>
      <c r="LK35" s="228">
        <f>IF(AND(319&gt;=MS_Initial_Closing_Start,319&lt;=MS_Stabilization_Start),DevFee/(MS_Stabilization_Start-MS_Initial_Closing_Start+1),0)</f>
        <v/>
      </c>
      <c r="LL35" s="228">
        <f>IF(AND(320&gt;=MS_Initial_Closing_Start,320&lt;=MS_Stabilization_Start),DevFee/(MS_Stabilization_Start-MS_Initial_Closing_Start+1),0)</f>
        <v/>
      </c>
      <c r="LM35" s="228">
        <f>IF(AND(321&gt;=MS_Initial_Closing_Start,321&lt;=MS_Stabilization_Start),DevFee/(MS_Stabilization_Start-MS_Initial_Closing_Start+1),0)</f>
        <v/>
      </c>
      <c r="LN35" s="228">
        <f>IF(AND(322&gt;=MS_Initial_Closing_Start,322&lt;=MS_Stabilization_Start),DevFee/(MS_Stabilization_Start-MS_Initial_Closing_Start+1),0)</f>
        <v/>
      </c>
      <c r="LO35" s="228">
        <f>IF(AND(323&gt;=MS_Initial_Closing_Start,323&lt;=MS_Stabilization_Start),DevFee/(MS_Stabilization_Start-MS_Initial_Closing_Start+1),0)</f>
        <v/>
      </c>
      <c r="LP35" s="228">
        <f>IF(AND(324&gt;=MS_Initial_Closing_Start,324&lt;=MS_Stabilization_Start),DevFee/(MS_Stabilization_Start-MS_Initial_Closing_Start+1),0)</f>
        <v/>
      </c>
      <c r="LQ35" s="228">
        <f>IF(AND(325&gt;=MS_Initial_Closing_Start,325&lt;=MS_Stabilization_Start),DevFee/(MS_Stabilization_Start-MS_Initial_Closing_Start+1),0)</f>
        <v/>
      </c>
      <c r="LR35" s="228">
        <f>IF(AND(326&gt;=MS_Initial_Closing_Start,326&lt;=MS_Stabilization_Start),DevFee/(MS_Stabilization_Start-MS_Initial_Closing_Start+1),0)</f>
        <v/>
      </c>
      <c r="LS35" s="228">
        <f>IF(AND(327&gt;=MS_Initial_Closing_Start,327&lt;=MS_Stabilization_Start),DevFee/(MS_Stabilization_Start-MS_Initial_Closing_Start+1),0)</f>
        <v/>
      </c>
      <c r="LT35" s="228">
        <f>IF(AND(328&gt;=MS_Initial_Closing_Start,328&lt;=MS_Stabilization_Start),DevFee/(MS_Stabilization_Start-MS_Initial_Closing_Start+1),0)</f>
        <v/>
      </c>
      <c r="LU35" s="228">
        <f>IF(AND(329&gt;=MS_Initial_Closing_Start,329&lt;=MS_Stabilization_Start),DevFee/(MS_Stabilization_Start-MS_Initial_Closing_Start+1),0)</f>
        <v/>
      </c>
      <c r="LV35" s="228">
        <f>IF(AND(330&gt;=MS_Initial_Closing_Start,330&lt;=MS_Stabilization_Start),DevFee/(MS_Stabilization_Start-MS_Initial_Closing_Start+1),0)</f>
        <v/>
      </c>
      <c r="LW35" s="228">
        <f>IF(AND(331&gt;=MS_Initial_Closing_Start,331&lt;=MS_Stabilization_Start),DevFee/(MS_Stabilization_Start-MS_Initial_Closing_Start+1),0)</f>
        <v/>
      </c>
      <c r="LX35" s="228">
        <f>IF(AND(332&gt;=MS_Initial_Closing_Start,332&lt;=MS_Stabilization_Start),DevFee/(MS_Stabilization_Start-MS_Initial_Closing_Start+1),0)</f>
        <v/>
      </c>
      <c r="LY35" s="228">
        <f>IF(AND(333&gt;=MS_Initial_Closing_Start,333&lt;=MS_Stabilization_Start),DevFee/(MS_Stabilization_Start-MS_Initial_Closing_Start+1),0)</f>
        <v/>
      </c>
      <c r="LZ35" s="228">
        <f>IF(AND(334&gt;=MS_Initial_Closing_Start,334&lt;=MS_Stabilization_Start),DevFee/(MS_Stabilization_Start-MS_Initial_Closing_Start+1),0)</f>
        <v/>
      </c>
      <c r="MA35" s="228">
        <f>IF(AND(335&gt;=MS_Initial_Closing_Start,335&lt;=MS_Stabilization_Start),DevFee/(MS_Stabilization_Start-MS_Initial_Closing_Start+1),0)</f>
        <v/>
      </c>
      <c r="MB35" s="228">
        <f>IF(AND(336&gt;=MS_Initial_Closing_Start,336&lt;=MS_Stabilization_Start),DevFee/(MS_Stabilization_Start-MS_Initial_Closing_Start+1),0)</f>
        <v/>
      </c>
      <c r="MC35" s="228">
        <f>IF(AND(337&gt;=MS_Initial_Closing_Start,337&lt;=MS_Stabilization_Start),DevFee/(MS_Stabilization_Start-MS_Initial_Closing_Start+1),0)</f>
        <v/>
      </c>
      <c r="MD35" s="228">
        <f>IF(AND(338&gt;=MS_Initial_Closing_Start,338&lt;=MS_Stabilization_Start),DevFee/(MS_Stabilization_Start-MS_Initial_Closing_Start+1),0)</f>
        <v/>
      </c>
      <c r="ME35" s="228">
        <f>IF(AND(339&gt;=MS_Initial_Closing_Start,339&lt;=MS_Stabilization_Start),DevFee/(MS_Stabilization_Start-MS_Initial_Closing_Start+1),0)</f>
        <v/>
      </c>
      <c r="MF35" s="228">
        <f>IF(AND(340&gt;=MS_Initial_Closing_Start,340&lt;=MS_Stabilization_Start),DevFee/(MS_Stabilization_Start-MS_Initial_Closing_Start+1),0)</f>
        <v/>
      </c>
      <c r="MG35" s="228">
        <f>IF(AND(341&gt;=MS_Initial_Closing_Start,341&lt;=MS_Stabilization_Start),DevFee/(MS_Stabilization_Start-MS_Initial_Closing_Start+1),0)</f>
        <v/>
      </c>
      <c r="MH35" s="228">
        <f>IF(AND(342&gt;=MS_Initial_Closing_Start,342&lt;=MS_Stabilization_Start),DevFee/(MS_Stabilization_Start-MS_Initial_Closing_Start+1),0)</f>
        <v/>
      </c>
      <c r="MI35" s="228">
        <f>IF(AND(343&gt;=MS_Initial_Closing_Start,343&lt;=MS_Stabilization_Start),DevFee/(MS_Stabilization_Start-MS_Initial_Closing_Start+1),0)</f>
        <v/>
      </c>
      <c r="MJ35" s="228">
        <f>IF(AND(344&gt;=MS_Initial_Closing_Start,344&lt;=MS_Stabilization_Start),DevFee/(MS_Stabilization_Start-MS_Initial_Closing_Start+1),0)</f>
        <v/>
      </c>
      <c r="MK35" s="228">
        <f>IF(AND(345&gt;=MS_Initial_Closing_Start,345&lt;=MS_Stabilization_Start),DevFee/(MS_Stabilization_Start-MS_Initial_Closing_Start+1),0)</f>
        <v/>
      </c>
      <c r="ML35" s="228">
        <f>IF(AND(346&gt;=MS_Initial_Closing_Start,346&lt;=MS_Stabilization_Start),DevFee/(MS_Stabilization_Start-MS_Initial_Closing_Start+1),0)</f>
        <v/>
      </c>
      <c r="MM35" s="228">
        <f>IF(AND(347&gt;=MS_Initial_Closing_Start,347&lt;=MS_Stabilization_Start),DevFee/(MS_Stabilization_Start-MS_Initial_Closing_Start+1),0)</f>
        <v/>
      </c>
      <c r="MN35" s="228">
        <f>IF(AND(348&gt;=MS_Initial_Closing_Start,348&lt;=MS_Stabilization_Start),DevFee/(MS_Stabilization_Start-MS_Initial_Closing_Start+1),0)</f>
        <v/>
      </c>
      <c r="MO35" s="228">
        <f>IF(AND(349&gt;=MS_Initial_Closing_Start,349&lt;=MS_Stabilization_Start),DevFee/(MS_Stabilization_Start-MS_Initial_Closing_Start+1),0)</f>
        <v/>
      </c>
      <c r="MP35" s="228">
        <f>IF(AND(350&gt;=MS_Initial_Closing_Start,350&lt;=MS_Stabilization_Start),DevFee/(MS_Stabilization_Start-MS_Initial_Closing_Start+1),0)</f>
        <v/>
      </c>
      <c r="MQ35" s="228">
        <f>IF(AND(351&gt;=MS_Initial_Closing_Start,351&lt;=MS_Stabilization_Start),DevFee/(MS_Stabilization_Start-MS_Initial_Closing_Start+1),0)</f>
        <v/>
      </c>
      <c r="MR35" s="228">
        <f>IF(AND(352&gt;=MS_Initial_Closing_Start,352&lt;=MS_Stabilization_Start),DevFee/(MS_Stabilization_Start-MS_Initial_Closing_Start+1),0)</f>
        <v/>
      </c>
      <c r="MS35" s="228">
        <f>IF(AND(353&gt;=MS_Initial_Closing_Start,353&lt;=MS_Stabilization_Start),DevFee/(MS_Stabilization_Start-MS_Initial_Closing_Start+1),0)</f>
        <v/>
      </c>
      <c r="MT35" s="228">
        <f>IF(AND(354&gt;=MS_Initial_Closing_Start,354&lt;=MS_Stabilization_Start),DevFee/(MS_Stabilization_Start-MS_Initial_Closing_Start+1),0)</f>
        <v/>
      </c>
      <c r="MU35" s="228">
        <f>IF(AND(355&gt;=MS_Initial_Closing_Start,355&lt;=MS_Stabilization_Start),DevFee/(MS_Stabilization_Start-MS_Initial_Closing_Start+1),0)</f>
        <v/>
      </c>
      <c r="MV35" s="228">
        <f>IF(AND(356&gt;=MS_Initial_Closing_Start,356&lt;=MS_Stabilization_Start),DevFee/(MS_Stabilization_Start-MS_Initial_Closing_Start+1),0)</f>
        <v/>
      </c>
      <c r="MW35" s="228">
        <f>IF(AND(357&gt;=MS_Initial_Closing_Start,357&lt;=MS_Stabilization_Start),DevFee/(MS_Stabilization_Start-MS_Initial_Closing_Start+1),0)</f>
        <v/>
      </c>
      <c r="MX35" s="228">
        <f>IF(AND(358&gt;=MS_Initial_Closing_Start,358&lt;=MS_Stabilization_Start),DevFee/(MS_Stabilization_Start-MS_Initial_Closing_Start+1),0)</f>
        <v/>
      </c>
      <c r="MY35" s="228">
        <f>IF(AND(359&gt;=MS_Initial_Closing_Start,359&lt;=MS_Stabilization_Start),DevFee/(MS_Stabilization_Start-MS_Initial_Closing_Start+1),0)</f>
        <v/>
      </c>
      <c r="MZ35" s="228">
        <f>IF(AND(360&gt;=MS_Initial_Closing_Start,360&lt;=MS_Stabilization_Start),DevFee/(MS_Stabilization_Start-MS_Initial_Closing_Start+1),0)</f>
        <v/>
      </c>
      <c r="NA35" s="228">
        <f>IF(AND(361&gt;=MS_Initial_Closing_Start,361&lt;=MS_Stabilization_Start),DevFee/(MS_Stabilization_Start-MS_Initial_Closing_Start+1),0)</f>
        <v/>
      </c>
      <c r="NB35" s="228">
        <f>IF(AND(362&gt;=MS_Initial_Closing_Start,362&lt;=MS_Stabilization_Start),DevFee/(MS_Stabilization_Start-MS_Initial_Closing_Start+1),0)</f>
        <v/>
      </c>
      <c r="NC35" s="228">
        <f>IF(AND(363&gt;=MS_Initial_Closing_Start,363&lt;=MS_Stabilization_Start),DevFee/(MS_Stabilization_Start-MS_Initial_Closing_Start+1),0)</f>
        <v/>
      </c>
      <c r="ND35" s="228">
        <f>IF(AND(364&gt;=MS_Initial_Closing_Start,364&lt;=MS_Stabilization_Start),DevFee/(MS_Stabilization_Start-MS_Initial_Closing_Start+1),0)</f>
        <v/>
      </c>
      <c r="NE35" s="228">
        <f>IF(AND(365&gt;=MS_Initial_Closing_Start,365&lt;=MS_Stabilization_Start),DevFee/(MS_Stabilization_Start-MS_Initial_Closing_Start+1),0)</f>
        <v/>
      </c>
      <c r="NF35" s="228">
        <f>IF(AND(366&gt;=MS_Initial_Closing_Start,366&lt;=MS_Stabilization_Start),DevFee/(MS_Stabilization_Start-MS_Initial_Closing_Start+1),0)</f>
        <v/>
      </c>
      <c r="NG35" s="228">
        <f>IF(AND(367&gt;=MS_Initial_Closing_Start,367&lt;=MS_Stabilization_Start),DevFee/(MS_Stabilization_Start-MS_Initial_Closing_Start+1),0)</f>
        <v/>
      </c>
      <c r="NH35" s="228">
        <f>IF(AND(368&gt;=MS_Initial_Closing_Start,368&lt;=MS_Stabilization_Start),DevFee/(MS_Stabilization_Start-MS_Initial_Closing_Start+1),0)</f>
        <v/>
      </c>
      <c r="NI35" s="228">
        <f>IF(AND(369&gt;=MS_Initial_Closing_Start,369&lt;=MS_Stabilization_Start),DevFee/(MS_Stabilization_Start-MS_Initial_Closing_Start+1),0)</f>
        <v/>
      </c>
      <c r="NJ35" s="228">
        <f>IF(AND(370&gt;=MS_Initial_Closing_Start,370&lt;=MS_Stabilization_Start),DevFee/(MS_Stabilization_Start-MS_Initial_Closing_Start+1),0)</f>
        <v/>
      </c>
      <c r="NK35" s="228">
        <f>IF(AND(371&gt;=MS_Initial_Closing_Start,371&lt;=MS_Stabilization_Start),DevFee/(MS_Stabilization_Start-MS_Initial_Closing_Start+1),0)</f>
        <v/>
      </c>
      <c r="NL35" s="247">
        <f>IF(AND(372&gt;=MS_Initial_Closing_Start,372&lt;=MS_Stabilization_Start),DevFee/(MS_Stabilization_Start-MS_Initial_Closing_Start+1),0)</f>
        <v/>
      </c>
    </row>
    <row r="36">
      <c r="B36" s="36" t="inlineStr">
        <is>
          <t>Hard Cost Spend</t>
        </is>
      </c>
      <c r="D36" s="246">
        <f>SUM(E36:NL36)</f>
        <v/>
      </c>
      <c r="E36" s="228">
        <f>E$15+E$16+E$17+E$18+E$19+E$20+E$27+E$28+E$29+E$30+E$31+E$32</f>
        <v/>
      </c>
      <c r="F36" s="228">
        <f>F$15+F$16+F$17+F$18+F$19+F$20+F$27+F$28+F$29+F$30+F$31+F$32</f>
        <v/>
      </c>
      <c r="G36" s="228">
        <f>G$15+G$16+G$17+G$18+G$19+G$20+G$27+G$28+G$29+G$30+G$31+G$32</f>
        <v/>
      </c>
      <c r="H36" s="228">
        <f>H$15+H$16+H$17+H$18+H$19+H$20+H$27+H$28+H$29+H$30+H$31+H$32</f>
        <v/>
      </c>
      <c r="I36" s="228">
        <f>I$15+I$16+I$17+I$18+I$19+I$20+I$27+I$28+I$29+I$30+I$31+I$32</f>
        <v/>
      </c>
      <c r="J36" s="228">
        <f>J$15+J$16+J$17+J$18+J$19+J$20+J$27+J$28+J$29+J$30+J$31+J$32</f>
        <v/>
      </c>
      <c r="K36" s="228">
        <f>K$15+K$16+K$17+K$18+K$19+K$20+K$27+K$28+K$29+K$30+K$31+K$32</f>
        <v/>
      </c>
      <c r="L36" s="228">
        <f>L$15+L$16+L$17+L$18+L$19+L$20+L$27+L$28+L$29+L$30+L$31+L$32</f>
        <v/>
      </c>
      <c r="M36" s="228">
        <f>M$15+M$16+M$17+M$18+M$19+M$20+M$27+M$28+M$29+M$30+M$31+M$32</f>
        <v/>
      </c>
      <c r="N36" s="228">
        <f>N$15+N$16+N$17+N$18+N$19+N$20+N$27+N$28+N$29+N$30+N$31+N$32</f>
        <v/>
      </c>
      <c r="O36" s="228">
        <f>O$15+O$16+O$17+O$18+O$19+O$20+O$27+O$28+O$29+O$30+O$31+O$32</f>
        <v/>
      </c>
      <c r="P36" s="228">
        <f>P$15+P$16+P$17+P$18+P$19+P$20+P$27+P$28+P$29+P$30+P$31+P$32</f>
        <v/>
      </c>
      <c r="Q36" s="228">
        <f>Q$15+Q$16+Q$17+Q$18+Q$19+Q$20+Q$27+Q$28+Q$29+Q$30+Q$31+Q$32</f>
        <v/>
      </c>
      <c r="R36" s="228">
        <f>R$15+R$16+R$17+R$18+R$19+R$20+R$27+R$28+R$29+R$30+R$31+R$32</f>
        <v/>
      </c>
      <c r="S36" s="228">
        <f>S$15+S$16+S$17+S$18+S$19+S$20+S$27+S$28+S$29+S$30+S$31+S$32</f>
        <v/>
      </c>
      <c r="T36" s="228">
        <f>T$15+T$16+T$17+T$18+T$19+T$20+T$27+T$28+T$29+T$30+T$31+T$32</f>
        <v/>
      </c>
      <c r="U36" s="228">
        <f>U$15+U$16+U$17+U$18+U$19+U$20+U$27+U$28+U$29+U$30+U$31+U$32</f>
        <v/>
      </c>
      <c r="V36" s="228">
        <f>V$15+V$16+V$17+V$18+V$19+V$20+V$27+V$28+V$29+V$30+V$31+V$32</f>
        <v/>
      </c>
      <c r="W36" s="228">
        <f>W$15+W$16+W$17+W$18+W$19+W$20+W$27+W$28+W$29+W$30+W$31+W$32</f>
        <v/>
      </c>
      <c r="X36" s="228">
        <f>X$15+X$16+X$17+X$18+X$19+X$20+X$27+X$28+X$29+X$30+X$31+X$32</f>
        <v/>
      </c>
      <c r="Y36" s="228">
        <f>Y$15+Y$16+Y$17+Y$18+Y$19+Y$20+Y$27+Y$28+Y$29+Y$30+Y$31+Y$32</f>
        <v/>
      </c>
      <c r="Z36" s="228">
        <f>Z$15+Z$16+Z$17+Z$18+Z$19+Z$20+Z$27+Z$28+Z$29+Z$30+Z$31+Z$32</f>
        <v/>
      </c>
      <c r="AA36" s="228">
        <f>AA$15+AA$16+AA$17+AA$18+AA$19+AA$20+AA$27+AA$28+AA$29+AA$30+AA$31+AA$32</f>
        <v/>
      </c>
      <c r="AB36" s="228">
        <f>AB$15+AB$16+AB$17+AB$18+AB$19+AB$20+AB$27+AB$28+AB$29+AB$30+AB$31+AB$32</f>
        <v/>
      </c>
      <c r="AC36" s="228">
        <f>AC$15+AC$16+AC$17+AC$18+AC$19+AC$20+AC$27+AC$28+AC$29+AC$30+AC$31+AC$32</f>
        <v/>
      </c>
      <c r="AD36" s="228">
        <f>AD$15+AD$16+AD$17+AD$18+AD$19+AD$20+AD$27+AD$28+AD$29+AD$30+AD$31+AD$32</f>
        <v/>
      </c>
      <c r="AE36" s="228">
        <f>AE$15+AE$16+AE$17+AE$18+AE$19+AE$20+AE$27+AE$28+AE$29+AE$30+AE$31+AE$32</f>
        <v/>
      </c>
      <c r="AF36" s="228">
        <f>AF$15+AF$16+AF$17+AF$18+AF$19+AF$20+AF$27+AF$28+AF$29+AF$30+AF$31+AF$32</f>
        <v/>
      </c>
      <c r="AG36" s="228">
        <f>AG$15+AG$16+AG$17+AG$18+AG$19+AG$20+AG$27+AG$28+AG$29+AG$30+AG$31+AG$32</f>
        <v/>
      </c>
      <c r="AH36" s="228">
        <f>AH$15+AH$16+AH$17+AH$18+AH$19+AH$20+AH$27+AH$28+AH$29+AH$30+AH$31+AH$32</f>
        <v/>
      </c>
      <c r="AI36" s="228">
        <f>AI$15+AI$16+AI$17+AI$18+AI$19+AI$20+AI$27+AI$28+AI$29+AI$30+AI$31+AI$32</f>
        <v/>
      </c>
      <c r="AJ36" s="228">
        <f>AJ$15+AJ$16+AJ$17+AJ$18+AJ$19+AJ$20+AJ$27+AJ$28+AJ$29+AJ$30+AJ$31+AJ$32</f>
        <v/>
      </c>
      <c r="AK36" s="228">
        <f>AK$15+AK$16+AK$17+AK$18+AK$19+AK$20+AK$27+AK$28+AK$29+AK$30+AK$31+AK$32</f>
        <v/>
      </c>
      <c r="AL36" s="228">
        <f>AL$15+AL$16+AL$17+AL$18+AL$19+AL$20+AL$27+AL$28+AL$29+AL$30+AL$31+AL$32</f>
        <v/>
      </c>
      <c r="AM36" s="228">
        <f>AM$15+AM$16+AM$17+AM$18+AM$19+AM$20+AM$27+AM$28+AM$29+AM$30+AM$31+AM$32</f>
        <v/>
      </c>
      <c r="AN36" s="228">
        <f>AN$15+AN$16+AN$17+AN$18+AN$19+AN$20+AN$27+AN$28+AN$29+AN$30+AN$31+AN$32</f>
        <v/>
      </c>
      <c r="AO36" s="228">
        <f>AO$15+AO$16+AO$17+AO$18+AO$19+AO$20+AO$27+AO$28+AO$29+AO$30+AO$31+AO$32</f>
        <v/>
      </c>
      <c r="AP36" s="228">
        <f>AP$15+AP$16+AP$17+AP$18+AP$19+AP$20+AP$27+AP$28+AP$29+AP$30+AP$31+AP$32</f>
        <v/>
      </c>
      <c r="AQ36" s="228">
        <f>AQ$15+AQ$16+AQ$17+AQ$18+AQ$19+AQ$20+AQ$27+AQ$28+AQ$29+AQ$30+AQ$31+AQ$32</f>
        <v/>
      </c>
      <c r="AR36" s="228">
        <f>AR$15+AR$16+AR$17+AR$18+AR$19+AR$20+AR$27+AR$28+AR$29+AR$30+AR$31+AR$32</f>
        <v/>
      </c>
      <c r="AS36" s="228">
        <f>AS$15+AS$16+AS$17+AS$18+AS$19+AS$20+AS$27+AS$28+AS$29+AS$30+AS$31+AS$32</f>
        <v/>
      </c>
      <c r="AT36" s="228">
        <f>AT$15+AT$16+AT$17+AT$18+AT$19+AT$20+AT$27+AT$28+AT$29+AT$30+AT$31+AT$32</f>
        <v/>
      </c>
      <c r="AU36" s="228">
        <f>AU$15+AU$16+AU$17+AU$18+AU$19+AU$20+AU$27+AU$28+AU$29+AU$30+AU$31+AU$32</f>
        <v/>
      </c>
      <c r="AV36" s="228">
        <f>AV$15+AV$16+AV$17+AV$18+AV$19+AV$20+AV$27+AV$28+AV$29+AV$30+AV$31+AV$32</f>
        <v/>
      </c>
      <c r="AW36" s="228">
        <f>AW$15+AW$16+AW$17+AW$18+AW$19+AW$20+AW$27+AW$28+AW$29+AW$30+AW$31+AW$32</f>
        <v/>
      </c>
      <c r="AX36" s="228">
        <f>AX$15+AX$16+AX$17+AX$18+AX$19+AX$20+AX$27+AX$28+AX$29+AX$30+AX$31+AX$32</f>
        <v/>
      </c>
      <c r="AY36" s="228">
        <f>AY$15+AY$16+AY$17+AY$18+AY$19+AY$20+AY$27+AY$28+AY$29+AY$30+AY$31+AY$32</f>
        <v/>
      </c>
      <c r="AZ36" s="228">
        <f>AZ$15+AZ$16+AZ$17+AZ$18+AZ$19+AZ$20+AZ$27+AZ$28+AZ$29+AZ$30+AZ$31+AZ$32</f>
        <v/>
      </c>
      <c r="BA36" s="228">
        <f>BA$15+BA$16+BA$17+BA$18+BA$19+BA$20+BA$27+BA$28+BA$29+BA$30+BA$31+BA$32</f>
        <v/>
      </c>
      <c r="BB36" s="228">
        <f>BB$15+BB$16+BB$17+BB$18+BB$19+BB$20+BB$27+BB$28+BB$29+BB$30+BB$31+BB$32</f>
        <v/>
      </c>
      <c r="BC36" s="228">
        <f>BC$15+BC$16+BC$17+BC$18+BC$19+BC$20+BC$27+BC$28+BC$29+BC$30+BC$31+BC$32</f>
        <v/>
      </c>
      <c r="BD36" s="228">
        <f>BD$15+BD$16+BD$17+BD$18+BD$19+BD$20+BD$27+BD$28+BD$29+BD$30+BD$31+BD$32</f>
        <v/>
      </c>
      <c r="BE36" s="228">
        <f>BE$15+BE$16+BE$17+BE$18+BE$19+BE$20+BE$27+BE$28+BE$29+BE$30+BE$31+BE$32</f>
        <v/>
      </c>
      <c r="BF36" s="228">
        <f>BF$15+BF$16+BF$17+BF$18+BF$19+BF$20+BF$27+BF$28+BF$29+BF$30+BF$31+BF$32</f>
        <v/>
      </c>
      <c r="BG36" s="228">
        <f>BG$15+BG$16+BG$17+BG$18+BG$19+BG$20+BG$27+BG$28+BG$29+BG$30+BG$31+BG$32</f>
        <v/>
      </c>
      <c r="BH36" s="228">
        <f>BH$15+BH$16+BH$17+BH$18+BH$19+BH$20+BH$27+BH$28+BH$29+BH$30+BH$31+BH$32</f>
        <v/>
      </c>
      <c r="BI36" s="228">
        <f>BI$15+BI$16+BI$17+BI$18+BI$19+BI$20+BI$27+BI$28+BI$29+BI$30+BI$31+BI$32</f>
        <v/>
      </c>
      <c r="BJ36" s="228">
        <f>BJ$15+BJ$16+BJ$17+BJ$18+BJ$19+BJ$20+BJ$27+BJ$28+BJ$29+BJ$30+BJ$31+BJ$32</f>
        <v/>
      </c>
      <c r="BK36" s="228">
        <f>BK$15+BK$16+BK$17+BK$18+BK$19+BK$20+BK$27+BK$28+BK$29+BK$30+BK$31+BK$32</f>
        <v/>
      </c>
      <c r="BL36" s="228">
        <f>BL$15+BL$16+BL$17+BL$18+BL$19+BL$20+BL$27+BL$28+BL$29+BL$30+BL$31+BL$32</f>
        <v/>
      </c>
      <c r="BM36" s="228">
        <f>BM$15+BM$16+BM$17+BM$18+BM$19+BM$20+BM$27+BM$28+BM$29+BM$30+BM$31+BM$32</f>
        <v/>
      </c>
      <c r="BN36" s="228">
        <f>BN$15+BN$16+BN$17+BN$18+BN$19+BN$20+BN$27+BN$28+BN$29+BN$30+BN$31+BN$32</f>
        <v/>
      </c>
      <c r="BO36" s="228">
        <f>BO$15+BO$16+BO$17+BO$18+BO$19+BO$20+BO$27+BO$28+BO$29+BO$30+BO$31+BO$32</f>
        <v/>
      </c>
      <c r="BP36" s="228">
        <f>BP$15+BP$16+BP$17+BP$18+BP$19+BP$20+BP$27+BP$28+BP$29+BP$30+BP$31+BP$32</f>
        <v/>
      </c>
      <c r="BQ36" s="228">
        <f>BQ$15+BQ$16+BQ$17+BQ$18+BQ$19+BQ$20+BQ$27+BQ$28+BQ$29+BQ$30+BQ$31+BQ$32</f>
        <v/>
      </c>
      <c r="BR36" s="228">
        <f>BR$15+BR$16+BR$17+BR$18+BR$19+BR$20+BR$27+BR$28+BR$29+BR$30+BR$31+BR$32</f>
        <v/>
      </c>
      <c r="BS36" s="228">
        <f>BS$15+BS$16+BS$17+BS$18+BS$19+BS$20+BS$27+BS$28+BS$29+BS$30+BS$31+BS$32</f>
        <v/>
      </c>
      <c r="BT36" s="228">
        <f>BT$15+BT$16+BT$17+BT$18+BT$19+BT$20+BT$27+BT$28+BT$29+BT$30+BT$31+BT$32</f>
        <v/>
      </c>
      <c r="BU36" s="228">
        <f>BU$15+BU$16+BU$17+BU$18+BU$19+BU$20+BU$27+BU$28+BU$29+BU$30+BU$31+BU$32</f>
        <v/>
      </c>
      <c r="BV36" s="228">
        <f>BV$15+BV$16+BV$17+BV$18+BV$19+BV$20+BV$27+BV$28+BV$29+BV$30+BV$31+BV$32</f>
        <v/>
      </c>
      <c r="BW36" s="228">
        <f>BW$15+BW$16+BW$17+BW$18+BW$19+BW$20+BW$27+BW$28+BW$29+BW$30+BW$31+BW$32</f>
        <v/>
      </c>
      <c r="BX36" s="228">
        <f>BX$15+BX$16+BX$17+BX$18+BX$19+BX$20+BX$27+BX$28+BX$29+BX$30+BX$31+BX$32</f>
        <v/>
      </c>
      <c r="BY36" s="228">
        <f>BY$15+BY$16+BY$17+BY$18+BY$19+BY$20+BY$27+BY$28+BY$29+BY$30+BY$31+BY$32</f>
        <v/>
      </c>
      <c r="BZ36" s="228">
        <f>BZ$15+BZ$16+BZ$17+BZ$18+BZ$19+BZ$20+BZ$27+BZ$28+BZ$29+BZ$30+BZ$31+BZ$32</f>
        <v/>
      </c>
      <c r="CA36" s="228">
        <f>CA$15+CA$16+CA$17+CA$18+CA$19+CA$20+CA$27+CA$28+CA$29+CA$30+CA$31+CA$32</f>
        <v/>
      </c>
      <c r="CB36" s="228">
        <f>CB$15+CB$16+CB$17+CB$18+CB$19+CB$20+CB$27+CB$28+CB$29+CB$30+CB$31+CB$32</f>
        <v/>
      </c>
      <c r="CC36" s="228">
        <f>CC$15+CC$16+CC$17+CC$18+CC$19+CC$20+CC$27+CC$28+CC$29+CC$30+CC$31+CC$32</f>
        <v/>
      </c>
      <c r="CD36" s="228">
        <f>CD$15+CD$16+CD$17+CD$18+CD$19+CD$20+CD$27+CD$28+CD$29+CD$30+CD$31+CD$32</f>
        <v/>
      </c>
      <c r="CE36" s="228">
        <f>CE$15+CE$16+CE$17+CE$18+CE$19+CE$20+CE$27+CE$28+CE$29+CE$30+CE$31+CE$32</f>
        <v/>
      </c>
      <c r="CF36" s="228">
        <f>CF$15+CF$16+CF$17+CF$18+CF$19+CF$20+CF$27+CF$28+CF$29+CF$30+CF$31+CF$32</f>
        <v/>
      </c>
      <c r="CG36" s="228">
        <f>CG$15+CG$16+CG$17+CG$18+CG$19+CG$20+CG$27+CG$28+CG$29+CG$30+CG$31+CG$32</f>
        <v/>
      </c>
      <c r="CH36" s="228">
        <f>CH$15+CH$16+CH$17+CH$18+CH$19+CH$20+CH$27+CH$28+CH$29+CH$30+CH$31+CH$32</f>
        <v/>
      </c>
      <c r="CI36" s="228">
        <f>CI$15+CI$16+CI$17+CI$18+CI$19+CI$20+CI$27+CI$28+CI$29+CI$30+CI$31+CI$32</f>
        <v/>
      </c>
      <c r="CJ36" s="228">
        <f>CJ$15+CJ$16+CJ$17+CJ$18+CJ$19+CJ$20+CJ$27+CJ$28+CJ$29+CJ$30+CJ$31+CJ$32</f>
        <v/>
      </c>
      <c r="CK36" s="228">
        <f>CK$15+CK$16+CK$17+CK$18+CK$19+CK$20+CK$27+CK$28+CK$29+CK$30+CK$31+CK$32</f>
        <v/>
      </c>
      <c r="CL36" s="228">
        <f>CL$15+CL$16+CL$17+CL$18+CL$19+CL$20+CL$27+CL$28+CL$29+CL$30+CL$31+CL$32</f>
        <v/>
      </c>
      <c r="CM36" s="228">
        <f>CM$15+CM$16+CM$17+CM$18+CM$19+CM$20+CM$27+CM$28+CM$29+CM$30+CM$31+CM$32</f>
        <v/>
      </c>
      <c r="CN36" s="228">
        <f>CN$15+CN$16+CN$17+CN$18+CN$19+CN$20+CN$27+CN$28+CN$29+CN$30+CN$31+CN$32</f>
        <v/>
      </c>
      <c r="CO36" s="228">
        <f>CO$15+CO$16+CO$17+CO$18+CO$19+CO$20+CO$27+CO$28+CO$29+CO$30+CO$31+CO$32</f>
        <v/>
      </c>
      <c r="CP36" s="228">
        <f>CP$15+CP$16+CP$17+CP$18+CP$19+CP$20+CP$27+CP$28+CP$29+CP$30+CP$31+CP$32</f>
        <v/>
      </c>
      <c r="CQ36" s="228">
        <f>CQ$15+CQ$16+CQ$17+CQ$18+CQ$19+CQ$20+CQ$27+CQ$28+CQ$29+CQ$30+CQ$31+CQ$32</f>
        <v/>
      </c>
      <c r="CR36" s="228">
        <f>CR$15+CR$16+CR$17+CR$18+CR$19+CR$20+CR$27+CR$28+CR$29+CR$30+CR$31+CR$32</f>
        <v/>
      </c>
      <c r="CS36" s="228">
        <f>CS$15+CS$16+CS$17+CS$18+CS$19+CS$20+CS$27+CS$28+CS$29+CS$30+CS$31+CS$32</f>
        <v/>
      </c>
      <c r="CT36" s="228">
        <f>CT$15+CT$16+CT$17+CT$18+CT$19+CT$20+CT$27+CT$28+CT$29+CT$30+CT$31+CT$32</f>
        <v/>
      </c>
      <c r="CU36" s="228">
        <f>CU$15+CU$16+CU$17+CU$18+CU$19+CU$20+CU$27+CU$28+CU$29+CU$30+CU$31+CU$32</f>
        <v/>
      </c>
      <c r="CV36" s="228">
        <f>CV$15+CV$16+CV$17+CV$18+CV$19+CV$20+CV$27+CV$28+CV$29+CV$30+CV$31+CV$32</f>
        <v/>
      </c>
      <c r="CW36" s="228">
        <f>CW$15+CW$16+CW$17+CW$18+CW$19+CW$20+CW$27+CW$28+CW$29+CW$30+CW$31+CW$32</f>
        <v/>
      </c>
      <c r="CX36" s="228">
        <f>CX$15+CX$16+CX$17+CX$18+CX$19+CX$20+CX$27+CX$28+CX$29+CX$30+CX$31+CX$32</f>
        <v/>
      </c>
      <c r="CY36" s="228">
        <f>CY$15+CY$16+CY$17+CY$18+CY$19+CY$20+CY$27+CY$28+CY$29+CY$30+CY$31+CY$32</f>
        <v/>
      </c>
      <c r="CZ36" s="228">
        <f>CZ$15+CZ$16+CZ$17+CZ$18+CZ$19+CZ$20+CZ$27+CZ$28+CZ$29+CZ$30+CZ$31+CZ$32</f>
        <v/>
      </c>
      <c r="DA36" s="228">
        <f>DA$15+DA$16+DA$17+DA$18+DA$19+DA$20+DA$27+DA$28+DA$29+DA$30+DA$31+DA$32</f>
        <v/>
      </c>
      <c r="DB36" s="228">
        <f>DB$15+DB$16+DB$17+DB$18+DB$19+DB$20+DB$27+DB$28+DB$29+DB$30+DB$31+DB$32</f>
        <v/>
      </c>
      <c r="DC36" s="228">
        <f>DC$15+DC$16+DC$17+DC$18+DC$19+DC$20+DC$27+DC$28+DC$29+DC$30+DC$31+DC$32</f>
        <v/>
      </c>
      <c r="DD36" s="228">
        <f>DD$15+DD$16+DD$17+DD$18+DD$19+DD$20+DD$27+DD$28+DD$29+DD$30+DD$31+DD$32</f>
        <v/>
      </c>
      <c r="DE36" s="228">
        <f>DE$15+DE$16+DE$17+DE$18+DE$19+DE$20+DE$27+DE$28+DE$29+DE$30+DE$31+DE$32</f>
        <v/>
      </c>
      <c r="DF36" s="228">
        <f>DF$15+DF$16+DF$17+DF$18+DF$19+DF$20+DF$27+DF$28+DF$29+DF$30+DF$31+DF$32</f>
        <v/>
      </c>
      <c r="DG36" s="228">
        <f>DG$15+DG$16+DG$17+DG$18+DG$19+DG$20+DG$27+DG$28+DG$29+DG$30+DG$31+DG$32</f>
        <v/>
      </c>
      <c r="DH36" s="228">
        <f>DH$15+DH$16+DH$17+DH$18+DH$19+DH$20+DH$27+DH$28+DH$29+DH$30+DH$31+DH$32</f>
        <v/>
      </c>
      <c r="DI36" s="228">
        <f>DI$15+DI$16+DI$17+DI$18+DI$19+DI$20+DI$27+DI$28+DI$29+DI$30+DI$31+DI$32</f>
        <v/>
      </c>
      <c r="DJ36" s="228">
        <f>DJ$15+DJ$16+DJ$17+DJ$18+DJ$19+DJ$20+DJ$27+DJ$28+DJ$29+DJ$30+DJ$31+DJ$32</f>
        <v/>
      </c>
      <c r="DK36" s="228">
        <f>DK$15+DK$16+DK$17+DK$18+DK$19+DK$20+DK$27+DK$28+DK$29+DK$30+DK$31+DK$32</f>
        <v/>
      </c>
      <c r="DL36" s="228">
        <f>DL$15+DL$16+DL$17+DL$18+DL$19+DL$20+DL$27+DL$28+DL$29+DL$30+DL$31+DL$32</f>
        <v/>
      </c>
      <c r="DM36" s="228">
        <f>DM$15+DM$16+DM$17+DM$18+DM$19+DM$20+DM$27+DM$28+DM$29+DM$30+DM$31+DM$32</f>
        <v/>
      </c>
      <c r="DN36" s="228">
        <f>DN$15+DN$16+DN$17+DN$18+DN$19+DN$20+DN$27+DN$28+DN$29+DN$30+DN$31+DN$32</f>
        <v/>
      </c>
      <c r="DO36" s="228">
        <f>DO$15+DO$16+DO$17+DO$18+DO$19+DO$20+DO$27+DO$28+DO$29+DO$30+DO$31+DO$32</f>
        <v/>
      </c>
      <c r="DP36" s="228">
        <f>DP$15+DP$16+DP$17+DP$18+DP$19+DP$20+DP$27+DP$28+DP$29+DP$30+DP$31+DP$32</f>
        <v/>
      </c>
      <c r="DQ36" s="228">
        <f>DQ$15+DQ$16+DQ$17+DQ$18+DQ$19+DQ$20+DQ$27+DQ$28+DQ$29+DQ$30+DQ$31+DQ$32</f>
        <v/>
      </c>
      <c r="DR36" s="228">
        <f>DR$15+DR$16+DR$17+DR$18+DR$19+DR$20+DR$27+DR$28+DR$29+DR$30+DR$31+DR$32</f>
        <v/>
      </c>
      <c r="DS36" s="228">
        <f>DS$15+DS$16+DS$17+DS$18+DS$19+DS$20+DS$27+DS$28+DS$29+DS$30+DS$31+DS$32</f>
        <v/>
      </c>
      <c r="DT36" s="228">
        <f>DT$15+DT$16+DT$17+DT$18+DT$19+DT$20+DT$27+DT$28+DT$29+DT$30+DT$31+DT$32</f>
        <v/>
      </c>
      <c r="DU36" s="228">
        <f>DU$15+DU$16+DU$17+DU$18+DU$19+DU$20+DU$27+DU$28+DU$29+DU$30+DU$31+DU$32</f>
        <v/>
      </c>
      <c r="DV36" s="228">
        <f>DV$15+DV$16+DV$17+DV$18+DV$19+DV$20+DV$27+DV$28+DV$29+DV$30+DV$31+DV$32</f>
        <v/>
      </c>
      <c r="DW36" s="228">
        <f>DW$15+DW$16+DW$17+DW$18+DW$19+DW$20+DW$27+DW$28+DW$29+DW$30+DW$31+DW$32</f>
        <v/>
      </c>
      <c r="DX36" s="228">
        <f>DX$15+DX$16+DX$17+DX$18+DX$19+DX$20+DX$27+DX$28+DX$29+DX$30+DX$31+DX$32</f>
        <v/>
      </c>
      <c r="DY36" s="228">
        <f>DY$15+DY$16+DY$17+DY$18+DY$19+DY$20+DY$27+DY$28+DY$29+DY$30+DY$31+DY$32</f>
        <v/>
      </c>
      <c r="DZ36" s="228">
        <f>DZ$15+DZ$16+DZ$17+DZ$18+DZ$19+DZ$20+DZ$27+DZ$28+DZ$29+DZ$30+DZ$31+DZ$32</f>
        <v/>
      </c>
      <c r="EA36" s="228">
        <f>EA$15+EA$16+EA$17+EA$18+EA$19+EA$20+EA$27+EA$28+EA$29+EA$30+EA$31+EA$32</f>
        <v/>
      </c>
      <c r="EB36" s="228">
        <f>EB$15+EB$16+EB$17+EB$18+EB$19+EB$20+EB$27+EB$28+EB$29+EB$30+EB$31+EB$32</f>
        <v/>
      </c>
      <c r="EC36" s="228">
        <f>EC$15+EC$16+EC$17+EC$18+EC$19+EC$20+EC$27+EC$28+EC$29+EC$30+EC$31+EC$32</f>
        <v/>
      </c>
      <c r="ED36" s="228">
        <f>ED$15+ED$16+ED$17+ED$18+ED$19+ED$20+ED$27+ED$28+ED$29+ED$30+ED$31+ED$32</f>
        <v/>
      </c>
      <c r="EE36" s="228">
        <f>EE$15+EE$16+EE$17+EE$18+EE$19+EE$20+EE$27+EE$28+EE$29+EE$30+EE$31+EE$32</f>
        <v/>
      </c>
      <c r="EF36" s="228">
        <f>EF$15+EF$16+EF$17+EF$18+EF$19+EF$20+EF$27+EF$28+EF$29+EF$30+EF$31+EF$32</f>
        <v/>
      </c>
      <c r="EG36" s="228">
        <f>EG$15+EG$16+EG$17+EG$18+EG$19+EG$20+EG$27+EG$28+EG$29+EG$30+EG$31+EG$32</f>
        <v/>
      </c>
      <c r="EH36" s="228">
        <f>EH$15+EH$16+EH$17+EH$18+EH$19+EH$20+EH$27+EH$28+EH$29+EH$30+EH$31+EH$32</f>
        <v/>
      </c>
      <c r="EI36" s="228">
        <f>EI$15+EI$16+EI$17+EI$18+EI$19+EI$20+EI$27+EI$28+EI$29+EI$30+EI$31+EI$32</f>
        <v/>
      </c>
      <c r="EJ36" s="228">
        <f>EJ$15+EJ$16+EJ$17+EJ$18+EJ$19+EJ$20+EJ$27+EJ$28+EJ$29+EJ$30+EJ$31+EJ$32</f>
        <v/>
      </c>
      <c r="EK36" s="228">
        <f>EK$15+EK$16+EK$17+EK$18+EK$19+EK$20+EK$27+EK$28+EK$29+EK$30+EK$31+EK$32</f>
        <v/>
      </c>
      <c r="EL36" s="228">
        <f>EL$15+EL$16+EL$17+EL$18+EL$19+EL$20+EL$27+EL$28+EL$29+EL$30+EL$31+EL$32</f>
        <v/>
      </c>
      <c r="EM36" s="228">
        <f>EM$15+EM$16+EM$17+EM$18+EM$19+EM$20+EM$27+EM$28+EM$29+EM$30+EM$31+EM$32</f>
        <v/>
      </c>
      <c r="EN36" s="228">
        <f>EN$15+EN$16+EN$17+EN$18+EN$19+EN$20+EN$27+EN$28+EN$29+EN$30+EN$31+EN$32</f>
        <v/>
      </c>
      <c r="EO36" s="228">
        <f>EO$15+EO$16+EO$17+EO$18+EO$19+EO$20+EO$27+EO$28+EO$29+EO$30+EO$31+EO$32</f>
        <v/>
      </c>
      <c r="EP36" s="228">
        <f>EP$15+EP$16+EP$17+EP$18+EP$19+EP$20+EP$27+EP$28+EP$29+EP$30+EP$31+EP$32</f>
        <v/>
      </c>
      <c r="EQ36" s="228">
        <f>EQ$15+EQ$16+EQ$17+EQ$18+EQ$19+EQ$20+EQ$27+EQ$28+EQ$29+EQ$30+EQ$31+EQ$32</f>
        <v/>
      </c>
      <c r="ER36" s="228">
        <f>ER$15+ER$16+ER$17+ER$18+ER$19+ER$20+ER$27+ER$28+ER$29+ER$30+ER$31+ER$32</f>
        <v/>
      </c>
      <c r="ES36" s="228">
        <f>ES$15+ES$16+ES$17+ES$18+ES$19+ES$20+ES$27+ES$28+ES$29+ES$30+ES$31+ES$32</f>
        <v/>
      </c>
      <c r="ET36" s="228">
        <f>ET$15+ET$16+ET$17+ET$18+ET$19+ET$20+ET$27+ET$28+ET$29+ET$30+ET$31+ET$32</f>
        <v/>
      </c>
      <c r="EU36" s="228">
        <f>EU$15+EU$16+EU$17+EU$18+EU$19+EU$20+EU$27+EU$28+EU$29+EU$30+EU$31+EU$32</f>
        <v/>
      </c>
      <c r="EV36" s="228">
        <f>EV$15+EV$16+EV$17+EV$18+EV$19+EV$20+EV$27+EV$28+EV$29+EV$30+EV$31+EV$32</f>
        <v/>
      </c>
      <c r="EW36" s="228">
        <f>EW$15+EW$16+EW$17+EW$18+EW$19+EW$20+EW$27+EW$28+EW$29+EW$30+EW$31+EW$32</f>
        <v/>
      </c>
      <c r="EX36" s="228">
        <f>EX$15+EX$16+EX$17+EX$18+EX$19+EX$20+EX$27+EX$28+EX$29+EX$30+EX$31+EX$32</f>
        <v/>
      </c>
      <c r="EY36" s="228">
        <f>EY$15+EY$16+EY$17+EY$18+EY$19+EY$20+EY$27+EY$28+EY$29+EY$30+EY$31+EY$32</f>
        <v/>
      </c>
      <c r="EZ36" s="228">
        <f>EZ$15+EZ$16+EZ$17+EZ$18+EZ$19+EZ$20+EZ$27+EZ$28+EZ$29+EZ$30+EZ$31+EZ$32</f>
        <v/>
      </c>
      <c r="FA36" s="228">
        <f>FA$15+FA$16+FA$17+FA$18+FA$19+FA$20+FA$27+FA$28+FA$29+FA$30+FA$31+FA$32</f>
        <v/>
      </c>
      <c r="FB36" s="228">
        <f>FB$15+FB$16+FB$17+FB$18+FB$19+FB$20+FB$27+FB$28+FB$29+FB$30+FB$31+FB$32</f>
        <v/>
      </c>
      <c r="FC36" s="228">
        <f>FC$15+FC$16+FC$17+FC$18+FC$19+FC$20+FC$27+FC$28+FC$29+FC$30+FC$31+FC$32</f>
        <v/>
      </c>
      <c r="FD36" s="228">
        <f>FD$15+FD$16+FD$17+FD$18+FD$19+FD$20+FD$27+FD$28+FD$29+FD$30+FD$31+FD$32</f>
        <v/>
      </c>
      <c r="FE36" s="228">
        <f>FE$15+FE$16+FE$17+FE$18+FE$19+FE$20+FE$27+FE$28+FE$29+FE$30+FE$31+FE$32</f>
        <v/>
      </c>
      <c r="FF36" s="228">
        <f>FF$15+FF$16+FF$17+FF$18+FF$19+FF$20+FF$27+FF$28+FF$29+FF$30+FF$31+FF$32</f>
        <v/>
      </c>
      <c r="FG36" s="228">
        <f>FG$15+FG$16+FG$17+FG$18+FG$19+FG$20+FG$27+FG$28+FG$29+FG$30+FG$31+FG$32</f>
        <v/>
      </c>
      <c r="FH36" s="228">
        <f>FH$15+FH$16+FH$17+FH$18+FH$19+FH$20+FH$27+FH$28+FH$29+FH$30+FH$31+FH$32</f>
        <v/>
      </c>
      <c r="FI36" s="228">
        <f>FI$15+FI$16+FI$17+FI$18+FI$19+FI$20+FI$27+FI$28+FI$29+FI$30+FI$31+FI$32</f>
        <v/>
      </c>
      <c r="FJ36" s="228">
        <f>FJ$15+FJ$16+FJ$17+FJ$18+FJ$19+FJ$20+FJ$27+FJ$28+FJ$29+FJ$30+FJ$31+FJ$32</f>
        <v/>
      </c>
      <c r="FK36" s="228">
        <f>FK$15+FK$16+FK$17+FK$18+FK$19+FK$20+FK$27+FK$28+FK$29+FK$30+FK$31+FK$32</f>
        <v/>
      </c>
      <c r="FL36" s="228">
        <f>FL$15+FL$16+FL$17+FL$18+FL$19+FL$20+FL$27+FL$28+FL$29+FL$30+FL$31+FL$32</f>
        <v/>
      </c>
      <c r="FM36" s="228">
        <f>FM$15+FM$16+FM$17+FM$18+FM$19+FM$20+FM$27+FM$28+FM$29+FM$30+FM$31+FM$32</f>
        <v/>
      </c>
      <c r="FN36" s="228">
        <f>FN$15+FN$16+FN$17+FN$18+FN$19+FN$20+FN$27+FN$28+FN$29+FN$30+FN$31+FN$32</f>
        <v/>
      </c>
      <c r="FO36" s="228">
        <f>FO$15+FO$16+FO$17+FO$18+FO$19+FO$20+FO$27+FO$28+FO$29+FO$30+FO$31+FO$32</f>
        <v/>
      </c>
      <c r="FP36" s="228">
        <f>FP$15+FP$16+FP$17+FP$18+FP$19+FP$20+FP$27+FP$28+FP$29+FP$30+FP$31+FP$32</f>
        <v/>
      </c>
      <c r="FQ36" s="228">
        <f>FQ$15+FQ$16+FQ$17+FQ$18+FQ$19+FQ$20+FQ$27+FQ$28+FQ$29+FQ$30+FQ$31+FQ$32</f>
        <v/>
      </c>
      <c r="FR36" s="228">
        <f>FR$15+FR$16+FR$17+FR$18+FR$19+FR$20+FR$27+FR$28+FR$29+FR$30+FR$31+FR$32</f>
        <v/>
      </c>
      <c r="FS36" s="228">
        <f>FS$15+FS$16+FS$17+FS$18+FS$19+FS$20+FS$27+FS$28+FS$29+FS$30+FS$31+FS$32</f>
        <v/>
      </c>
      <c r="FT36" s="228">
        <f>FT$15+FT$16+FT$17+FT$18+FT$19+FT$20+FT$27+FT$28+FT$29+FT$30+FT$31+FT$32</f>
        <v/>
      </c>
      <c r="FU36" s="228">
        <f>FU$15+FU$16+FU$17+FU$18+FU$19+FU$20+FU$27+FU$28+FU$29+FU$30+FU$31+FU$32</f>
        <v/>
      </c>
      <c r="FV36" s="228">
        <f>FV$15+FV$16+FV$17+FV$18+FV$19+FV$20+FV$27+FV$28+FV$29+FV$30+FV$31+FV$32</f>
        <v/>
      </c>
      <c r="FW36" s="228">
        <f>FW$15+FW$16+FW$17+FW$18+FW$19+FW$20+FW$27+FW$28+FW$29+FW$30+FW$31+FW$32</f>
        <v/>
      </c>
      <c r="FX36" s="228">
        <f>FX$15+FX$16+FX$17+FX$18+FX$19+FX$20+FX$27+FX$28+FX$29+FX$30+FX$31+FX$32</f>
        <v/>
      </c>
      <c r="FY36" s="228">
        <f>FY$15+FY$16+FY$17+FY$18+FY$19+FY$20+FY$27+FY$28+FY$29+FY$30+FY$31+FY$32</f>
        <v/>
      </c>
      <c r="FZ36" s="228">
        <f>FZ$15+FZ$16+FZ$17+FZ$18+FZ$19+FZ$20+FZ$27+FZ$28+FZ$29+FZ$30+FZ$31+FZ$32</f>
        <v/>
      </c>
      <c r="GA36" s="228">
        <f>GA$15+GA$16+GA$17+GA$18+GA$19+GA$20+GA$27+GA$28+GA$29+GA$30+GA$31+GA$32</f>
        <v/>
      </c>
      <c r="GB36" s="228">
        <f>GB$15+GB$16+GB$17+GB$18+GB$19+GB$20+GB$27+GB$28+GB$29+GB$30+GB$31+GB$32</f>
        <v/>
      </c>
      <c r="GC36" s="228">
        <f>GC$15+GC$16+GC$17+GC$18+GC$19+GC$20+GC$27+GC$28+GC$29+GC$30+GC$31+GC$32</f>
        <v/>
      </c>
      <c r="GD36" s="228">
        <f>GD$15+GD$16+GD$17+GD$18+GD$19+GD$20+GD$27+GD$28+GD$29+GD$30+GD$31+GD$32</f>
        <v/>
      </c>
      <c r="GE36" s="228">
        <f>GE$15+GE$16+GE$17+GE$18+GE$19+GE$20+GE$27+GE$28+GE$29+GE$30+GE$31+GE$32</f>
        <v/>
      </c>
      <c r="GF36" s="228">
        <f>GF$15+GF$16+GF$17+GF$18+GF$19+GF$20+GF$27+GF$28+GF$29+GF$30+GF$31+GF$32</f>
        <v/>
      </c>
      <c r="GG36" s="228">
        <f>GG$15+GG$16+GG$17+GG$18+GG$19+GG$20+GG$27+GG$28+GG$29+GG$30+GG$31+GG$32</f>
        <v/>
      </c>
      <c r="GH36" s="228">
        <f>GH$15+GH$16+GH$17+GH$18+GH$19+GH$20+GH$27+GH$28+GH$29+GH$30+GH$31+GH$32</f>
        <v/>
      </c>
      <c r="GI36" s="228">
        <f>GI$15+GI$16+GI$17+GI$18+GI$19+GI$20+GI$27+GI$28+GI$29+GI$30+GI$31+GI$32</f>
        <v/>
      </c>
      <c r="GJ36" s="228">
        <f>GJ$15+GJ$16+GJ$17+GJ$18+GJ$19+GJ$20+GJ$27+GJ$28+GJ$29+GJ$30+GJ$31+GJ$32</f>
        <v/>
      </c>
      <c r="GK36" s="228">
        <f>GK$15+GK$16+GK$17+GK$18+GK$19+GK$20+GK$27+GK$28+GK$29+GK$30+GK$31+GK$32</f>
        <v/>
      </c>
      <c r="GL36" s="228">
        <f>GL$15+GL$16+GL$17+GL$18+GL$19+GL$20+GL$27+GL$28+GL$29+GL$30+GL$31+GL$32</f>
        <v/>
      </c>
      <c r="GM36" s="228">
        <f>GM$15+GM$16+GM$17+GM$18+GM$19+GM$20+GM$27+GM$28+GM$29+GM$30+GM$31+GM$32</f>
        <v/>
      </c>
      <c r="GN36" s="228">
        <f>GN$15+GN$16+GN$17+GN$18+GN$19+GN$20+GN$27+GN$28+GN$29+GN$30+GN$31+GN$32</f>
        <v/>
      </c>
      <c r="GO36" s="228">
        <f>GO$15+GO$16+GO$17+GO$18+GO$19+GO$20+GO$27+GO$28+GO$29+GO$30+GO$31+GO$32</f>
        <v/>
      </c>
      <c r="GP36" s="228">
        <f>GP$15+GP$16+GP$17+GP$18+GP$19+GP$20+GP$27+GP$28+GP$29+GP$30+GP$31+GP$32</f>
        <v/>
      </c>
      <c r="GQ36" s="228">
        <f>GQ$15+GQ$16+GQ$17+GQ$18+GQ$19+GQ$20+GQ$27+GQ$28+GQ$29+GQ$30+GQ$31+GQ$32</f>
        <v/>
      </c>
      <c r="GR36" s="228">
        <f>GR$15+GR$16+GR$17+GR$18+GR$19+GR$20+GR$27+GR$28+GR$29+GR$30+GR$31+GR$32</f>
        <v/>
      </c>
      <c r="GS36" s="228">
        <f>GS$15+GS$16+GS$17+GS$18+GS$19+GS$20+GS$27+GS$28+GS$29+GS$30+GS$31+GS$32</f>
        <v/>
      </c>
      <c r="GT36" s="228">
        <f>GT$15+GT$16+GT$17+GT$18+GT$19+GT$20+GT$27+GT$28+GT$29+GT$30+GT$31+GT$32</f>
        <v/>
      </c>
      <c r="GU36" s="228">
        <f>GU$15+GU$16+GU$17+GU$18+GU$19+GU$20+GU$27+GU$28+GU$29+GU$30+GU$31+GU$32</f>
        <v/>
      </c>
      <c r="GV36" s="228">
        <f>GV$15+GV$16+GV$17+GV$18+GV$19+GV$20+GV$27+GV$28+GV$29+GV$30+GV$31+GV$32</f>
        <v/>
      </c>
      <c r="GW36" s="228">
        <f>GW$15+GW$16+GW$17+GW$18+GW$19+GW$20+GW$27+GW$28+GW$29+GW$30+GW$31+GW$32</f>
        <v/>
      </c>
      <c r="GX36" s="228">
        <f>GX$15+GX$16+GX$17+GX$18+GX$19+GX$20+GX$27+GX$28+GX$29+GX$30+GX$31+GX$32</f>
        <v/>
      </c>
      <c r="GY36" s="228">
        <f>GY$15+GY$16+GY$17+GY$18+GY$19+GY$20+GY$27+GY$28+GY$29+GY$30+GY$31+GY$32</f>
        <v/>
      </c>
      <c r="GZ36" s="228">
        <f>GZ$15+GZ$16+GZ$17+GZ$18+GZ$19+GZ$20+GZ$27+GZ$28+GZ$29+GZ$30+GZ$31+GZ$32</f>
        <v/>
      </c>
      <c r="HA36" s="228">
        <f>HA$15+HA$16+HA$17+HA$18+HA$19+HA$20+HA$27+HA$28+HA$29+HA$30+HA$31+HA$32</f>
        <v/>
      </c>
      <c r="HB36" s="228">
        <f>HB$15+HB$16+HB$17+HB$18+HB$19+HB$20+HB$27+HB$28+HB$29+HB$30+HB$31+HB$32</f>
        <v/>
      </c>
      <c r="HC36" s="228">
        <f>HC$15+HC$16+HC$17+HC$18+HC$19+HC$20+HC$27+HC$28+HC$29+HC$30+HC$31+HC$32</f>
        <v/>
      </c>
      <c r="HD36" s="228">
        <f>HD$15+HD$16+HD$17+HD$18+HD$19+HD$20+HD$27+HD$28+HD$29+HD$30+HD$31+HD$32</f>
        <v/>
      </c>
      <c r="HE36" s="228">
        <f>HE$15+HE$16+HE$17+HE$18+HE$19+HE$20+HE$27+HE$28+HE$29+HE$30+HE$31+HE$32</f>
        <v/>
      </c>
      <c r="HF36" s="228">
        <f>HF$15+HF$16+HF$17+HF$18+HF$19+HF$20+HF$27+HF$28+HF$29+HF$30+HF$31+HF$32</f>
        <v/>
      </c>
      <c r="HG36" s="228">
        <f>HG$15+HG$16+HG$17+HG$18+HG$19+HG$20+HG$27+HG$28+HG$29+HG$30+HG$31+HG$32</f>
        <v/>
      </c>
      <c r="HH36" s="228">
        <f>HH$15+HH$16+HH$17+HH$18+HH$19+HH$20+HH$27+HH$28+HH$29+HH$30+HH$31+HH$32</f>
        <v/>
      </c>
      <c r="HI36" s="228">
        <f>HI$15+HI$16+HI$17+HI$18+HI$19+HI$20+HI$27+HI$28+HI$29+HI$30+HI$31+HI$32</f>
        <v/>
      </c>
      <c r="HJ36" s="228">
        <f>HJ$15+HJ$16+HJ$17+HJ$18+HJ$19+HJ$20+HJ$27+HJ$28+HJ$29+HJ$30+HJ$31+HJ$32</f>
        <v/>
      </c>
      <c r="HK36" s="228">
        <f>HK$15+HK$16+HK$17+HK$18+HK$19+HK$20+HK$27+HK$28+HK$29+HK$30+HK$31+HK$32</f>
        <v/>
      </c>
      <c r="HL36" s="228">
        <f>HL$15+HL$16+HL$17+HL$18+HL$19+HL$20+HL$27+HL$28+HL$29+HL$30+HL$31+HL$32</f>
        <v/>
      </c>
      <c r="HM36" s="228">
        <f>HM$15+HM$16+HM$17+HM$18+HM$19+HM$20+HM$27+HM$28+HM$29+HM$30+HM$31+HM$32</f>
        <v/>
      </c>
      <c r="HN36" s="228">
        <f>HN$15+HN$16+HN$17+HN$18+HN$19+HN$20+HN$27+HN$28+HN$29+HN$30+HN$31+HN$32</f>
        <v/>
      </c>
      <c r="HO36" s="228">
        <f>HO$15+HO$16+HO$17+HO$18+HO$19+HO$20+HO$27+HO$28+HO$29+HO$30+HO$31+HO$32</f>
        <v/>
      </c>
      <c r="HP36" s="228">
        <f>HP$15+HP$16+HP$17+HP$18+HP$19+HP$20+HP$27+HP$28+HP$29+HP$30+HP$31+HP$32</f>
        <v/>
      </c>
      <c r="HQ36" s="228">
        <f>HQ$15+HQ$16+HQ$17+HQ$18+HQ$19+HQ$20+HQ$27+HQ$28+HQ$29+HQ$30+HQ$31+HQ$32</f>
        <v/>
      </c>
      <c r="HR36" s="228">
        <f>HR$15+HR$16+HR$17+HR$18+HR$19+HR$20+HR$27+HR$28+HR$29+HR$30+HR$31+HR$32</f>
        <v/>
      </c>
      <c r="HS36" s="228">
        <f>HS$15+HS$16+HS$17+HS$18+HS$19+HS$20+HS$27+HS$28+HS$29+HS$30+HS$31+HS$32</f>
        <v/>
      </c>
      <c r="HT36" s="228">
        <f>HT$15+HT$16+HT$17+HT$18+HT$19+HT$20+HT$27+HT$28+HT$29+HT$30+HT$31+HT$32</f>
        <v/>
      </c>
      <c r="HU36" s="228">
        <f>HU$15+HU$16+HU$17+HU$18+HU$19+HU$20+HU$27+HU$28+HU$29+HU$30+HU$31+HU$32</f>
        <v/>
      </c>
      <c r="HV36" s="228">
        <f>HV$15+HV$16+HV$17+HV$18+HV$19+HV$20+HV$27+HV$28+HV$29+HV$30+HV$31+HV$32</f>
        <v/>
      </c>
      <c r="HW36" s="228">
        <f>HW$15+HW$16+HW$17+HW$18+HW$19+HW$20+HW$27+HW$28+HW$29+HW$30+HW$31+HW$32</f>
        <v/>
      </c>
      <c r="HX36" s="228">
        <f>HX$15+HX$16+HX$17+HX$18+HX$19+HX$20+HX$27+HX$28+HX$29+HX$30+HX$31+HX$32</f>
        <v/>
      </c>
      <c r="HY36" s="228">
        <f>HY$15+HY$16+HY$17+HY$18+HY$19+HY$20+HY$27+HY$28+HY$29+HY$30+HY$31+HY$32</f>
        <v/>
      </c>
      <c r="HZ36" s="228">
        <f>HZ$15+HZ$16+HZ$17+HZ$18+HZ$19+HZ$20+HZ$27+HZ$28+HZ$29+HZ$30+HZ$31+HZ$32</f>
        <v/>
      </c>
      <c r="IA36" s="228">
        <f>IA$15+IA$16+IA$17+IA$18+IA$19+IA$20+IA$27+IA$28+IA$29+IA$30+IA$31+IA$32</f>
        <v/>
      </c>
      <c r="IB36" s="228">
        <f>IB$15+IB$16+IB$17+IB$18+IB$19+IB$20+IB$27+IB$28+IB$29+IB$30+IB$31+IB$32</f>
        <v/>
      </c>
      <c r="IC36" s="228">
        <f>IC$15+IC$16+IC$17+IC$18+IC$19+IC$20+IC$27+IC$28+IC$29+IC$30+IC$31+IC$32</f>
        <v/>
      </c>
      <c r="ID36" s="228">
        <f>ID$15+ID$16+ID$17+ID$18+ID$19+ID$20+ID$27+ID$28+ID$29+ID$30+ID$31+ID$32</f>
        <v/>
      </c>
      <c r="IE36" s="228">
        <f>IE$15+IE$16+IE$17+IE$18+IE$19+IE$20+IE$27+IE$28+IE$29+IE$30+IE$31+IE$32</f>
        <v/>
      </c>
      <c r="IF36" s="228">
        <f>IF$15+IF$16+IF$17+IF$18+IF$19+IF$20+IF$27+IF$28+IF$29+IF$30+IF$31+IF$32</f>
        <v/>
      </c>
      <c r="IG36" s="228">
        <f>IG$15+IG$16+IG$17+IG$18+IG$19+IG$20+IG$27+IG$28+IG$29+IG$30+IG$31+IG$32</f>
        <v/>
      </c>
      <c r="IH36" s="228">
        <f>IH$15+IH$16+IH$17+IH$18+IH$19+IH$20+IH$27+IH$28+IH$29+IH$30+IH$31+IH$32</f>
        <v/>
      </c>
      <c r="II36" s="228">
        <f>II$15+II$16+II$17+II$18+II$19+II$20+II$27+II$28+II$29+II$30+II$31+II$32</f>
        <v/>
      </c>
      <c r="IJ36" s="228">
        <f>IJ$15+IJ$16+IJ$17+IJ$18+IJ$19+IJ$20+IJ$27+IJ$28+IJ$29+IJ$30+IJ$31+IJ$32</f>
        <v/>
      </c>
      <c r="IK36" s="228">
        <f>IK$15+IK$16+IK$17+IK$18+IK$19+IK$20+IK$27+IK$28+IK$29+IK$30+IK$31+IK$32</f>
        <v/>
      </c>
      <c r="IL36" s="228">
        <f>IL$15+IL$16+IL$17+IL$18+IL$19+IL$20+IL$27+IL$28+IL$29+IL$30+IL$31+IL$32</f>
        <v/>
      </c>
      <c r="IM36" s="228">
        <f>IM$15+IM$16+IM$17+IM$18+IM$19+IM$20+IM$27+IM$28+IM$29+IM$30+IM$31+IM$32</f>
        <v/>
      </c>
      <c r="IN36" s="228">
        <f>IN$15+IN$16+IN$17+IN$18+IN$19+IN$20+IN$27+IN$28+IN$29+IN$30+IN$31+IN$32</f>
        <v/>
      </c>
      <c r="IO36" s="228">
        <f>IO$15+IO$16+IO$17+IO$18+IO$19+IO$20+IO$27+IO$28+IO$29+IO$30+IO$31+IO$32</f>
        <v/>
      </c>
      <c r="IP36" s="228">
        <f>IP$15+IP$16+IP$17+IP$18+IP$19+IP$20+IP$27+IP$28+IP$29+IP$30+IP$31+IP$32</f>
        <v/>
      </c>
      <c r="IQ36" s="228">
        <f>IQ$15+IQ$16+IQ$17+IQ$18+IQ$19+IQ$20+IQ$27+IQ$28+IQ$29+IQ$30+IQ$31+IQ$32</f>
        <v/>
      </c>
      <c r="IR36" s="228">
        <f>IR$15+IR$16+IR$17+IR$18+IR$19+IR$20+IR$27+IR$28+IR$29+IR$30+IR$31+IR$32</f>
        <v/>
      </c>
      <c r="IS36" s="228">
        <f>IS$15+IS$16+IS$17+IS$18+IS$19+IS$20+IS$27+IS$28+IS$29+IS$30+IS$31+IS$32</f>
        <v/>
      </c>
      <c r="IT36" s="228">
        <f>IT$15+IT$16+IT$17+IT$18+IT$19+IT$20+IT$27+IT$28+IT$29+IT$30+IT$31+IT$32</f>
        <v/>
      </c>
      <c r="IU36" s="228">
        <f>IU$15+IU$16+IU$17+IU$18+IU$19+IU$20+IU$27+IU$28+IU$29+IU$30+IU$31+IU$32</f>
        <v/>
      </c>
      <c r="IV36" s="228">
        <f>IV$15+IV$16+IV$17+IV$18+IV$19+IV$20+IV$27+IV$28+IV$29+IV$30+IV$31+IV$32</f>
        <v/>
      </c>
      <c r="IW36" s="228">
        <f>IW$15+IW$16+IW$17+IW$18+IW$19+IW$20+IW$27+IW$28+IW$29+IW$30+IW$31+IW$32</f>
        <v/>
      </c>
      <c r="IX36" s="228">
        <f>IX$15+IX$16+IX$17+IX$18+IX$19+IX$20+IX$27+IX$28+IX$29+IX$30+IX$31+IX$32</f>
        <v/>
      </c>
      <c r="IY36" s="228">
        <f>IY$15+IY$16+IY$17+IY$18+IY$19+IY$20+IY$27+IY$28+IY$29+IY$30+IY$31+IY$32</f>
        <v/>
      </c>
      <c r="IZ36" s="228">
        <f>IZ$15+IZ$16+IZ$17+IZ$18+IZ$19+IZ$20+IZ$27+IZ$28+IZ$29+IZ$30+IZ$31+IZ$32</f>
        <v/>
      </c>
      <c r="JA36" s="228">
        <f>JA$15+JA$16+JA$17+JA$18+JA$19+JA$20+JA$27+JA$28+JA$29+JA$30+JA$31+JA$32</f>
        <v/>
      </c>
      <c r="JB36" s="228">
        <f>JB$15+JB$16+JB$17+JB$18+JB$19+JB$20+JB$27+JB$28+JB$29+JB$30+JB$31+JB$32</f>
        <v/>
      </c>
      <c r="JC36" s="228">
        <f>JC$15+JC$16+JC$17+JC$18+JC$19+JC$20+JC$27+JC$28+JC$29+JC$30+JC$31+JC$32</f>
        <v/>
      </c>
      <c r="JD36" s="228">
        <f>JD$15+JD$16+JD$17+JD$18+JD$19+JD$20+JD$27+JD$28+JD$29+JD$30+JD$31+JD$32</f>
        <v/>
      </c>
      <c r="JE36" s="228">
        <f>JE$15+JE$16+JE$17+JE$18+JE$19+JE$20+JE$27+JE$28+JE$29+JE$30+JE$31+JE$32</f>
        <v/>
      </c>
      <c r="JF36" s="228">
        <f>JF$15+JF$16+JF$17+JF$18+JF$19+JF$20+JF$27+JF$28+JF$29+JF$30+JF$31+JF$32</f>
        <v/>
      </c>
      <c r="JG36" s="228">
        <f>JG$15+JG$16+JG$17+JG$18+JG$19+JG$20+JG$27+JG$28+JG$29+JG$30+JG$31+JG$32</f>
        <v/>
      </c>
      <c r="JH36" s="228">
        <f>JH$15+JH$16+JH$17+JH$18+JH$19+JH$20+JH$27+JH$28+JH$29+JH$30+JH$31+JH$32</f>
        <v/>
      </c>
      <c r="JI36" s="228">
        <f>JI$15+JI$16+JI$17+JI$18+JI$19+JI$20+JI$27+JI$28+JI$29+JI$30+JI$31+JI$32</f>
        <v/>
      </c>
      <c r="JJ36" s="228">
        <f>JJ$15+JJ$16+JJ$17+JJ$18+JJ$19+JJ$20+JJ$27+JJ$28+JJ$29+JJ$30+JJ$31+JJ$32</f>
        <v/>
      </c>
      <c r="JK36" s="228">
        <f>JK$15+JK$16+JK$17+JK$18+JK$19+JK$20+JK$27+JK$28+JK$29+JK$30+JK$31+JK$32</f>
        <v/>
      </c>
      <c r="JL36" s="228">
        <f>JL$15+JL$16+JL$17+JL$18+JL$19+JL$20+JL$27+JL$28+JL$29+JL$30+JL$31+JL$32</f>
        <v/>
      </c>
      <c r="JM36" s="228">
        <f>JM$15+JM$16+JM$17+JM$18+JM$19+JM$20+JM$27+JM$28+JM$29+JM$30+JM$31+JM$32</f>
        <v/>
      </c>
      <c r="JN36" s="228">
        <f>JN$15+JN$16+JN$17+JN$18+JN$19+JN$20+JN$27+JN$28+JN$29+JN$30+JN$31+JN$32</f>
        <v/>
      </c>
      <c r="JO36" s="228">
        <f>JO$15+JO$16+JO$17+JO$18+JO$19+JO$20+JO$27+JO$28+JO$29+JO$30+JO$31+JO$32</f>
        <v/>
      </c>
      <c r="JP36" s="228">
        <f>JP$15+JP$16+JP$17+JP$18+JP$19+JP$20+JP$27+JP$28+JP$29+JP$30+JP$31+JP$32</f>
        <v/>
      </c>
      <c r="JQ36" s="228">
        <f>JQ$15+JQ$16+JQ$17+JQ$18+JQ$19+JQ$20+JQ$27+JQ$28+JQ$29+JQ$30+JQ$31+JQ$32</f>
        <v/>
      </c>
      <c r="JR36" s="228">
        <f>JR$15+JR$16+JR$17+JR$18+JR$19+JR$20+JR$27+JR$28+JR$29+JR$30+JR$31+JR$32</f>
        <v/>
      </c>
      <c r="JS36" s="228">
        <f>JS$15+JS$16+JS$17+JS$18+JS$19+JS$20+JS$27+JS$28+JS$29+JS$30+JS$31+JS$32</f>
        <v/>
      </c>
      <c r="JT36" s="228">
        <f>JT$15+JT$16+JT$17+JT$18+JT$19+JT$20+JT$27+JT$28+JT$29+JT$30+JT$31+JT$32</f>
        <v/>
      </c>
      <c r="JU36" s="228">
        <f>JU$15+JU$16+JU$17+JU$18+JU$19+JU$20+JU$27+JU$28+JU$29+JU$30+JU$31+JU$32</f>
        <v/>
      </c>
      <c r="JV36" s="228">
        <f>JV$15+JV$16+JV$17+JV$18+JV$19+JV$20+JV$27+JV$28+JV$29+JV$30+JV$31+JV$32</f>
        <v/>
      </c>
      <c r="JW36" s="228">
        <f>JW$15+JW$16+JW$17+JW$18+JW$19+JW$20+JW$27+JW$28+JW$29+JW$30+JW$31+JW$32</f>
        <v/>
      </c>
      <c r="JX36" s="228">
        <f>JX$15+JX$16+JX$17+JX$18+JX$19+JX$20+JX$27+JX$28+JX$29+JX$30+JX$31+JX$32</f>
        <v/>
      </c>
      <c r="JY36" s="228">
        <f>JY$15+JY$16+JY$17+JY$18+JY$19+JY$20+JY$27+JY$28+JY$29+JY$30+JY$31+JY$32</f>
        <v/>
      </c>
      <c r="JZ36" s="228">
        <f>JZ$15+JZ$16+JZ$17+JZ$18+JZ$19+JZ$20+JZ$27+JZ$28+JZ$29+JZ$30+JZ$31+JZ$32</f>
        <v/>
      </c>
      <c r="KA36" s="228">
        <f>KA$15+KA$16+KA$17+KA$18+KA$19+KA$20+KA$27+KA$28+KA$29+KA$30+KA$31+KA$32</f>
        <v/>
      </c>
      <c r="KB36" s="228">
        <f>KB$15+KB$16+KB$17+KB$18+KB$19+KB$20+KB$27+KB$28+KB$29+KB$30+KB$31+KB$32</f>
        <v/>
      </c>
      <c r="KC36" s="228">
        <f>KC$15+KC$16+KC$17+KC$18+KC$19+KC$20+KC$27+KC$28+KC$29+KC$30+KC$31+KC$32</f>
        <v/>
      </c>
      <c r="KD36" s="228">
        <f>KD$15+KD$16+KD$17+KD$18+KD$19+KD$20+KD$27+KD$28+KD$29+KD$30+KD$31+KD$32</f>
        <v/>
      </c>
      <c r="KE36" s="228">
        <f>KE$15+KE$16+KE$17+KE$18+KE$19+KE$20+KE$27+KE$28+KE$29+KE$30+KE$31+KE$32</f>
        <v/>
      </c>
      <c r="KF36" s="228">
        <f>KF$15+KF$16+KF$17+KF$18+KF$19+KF$20+KF$27+KF$28+KF$29+KF$30+KF$31+KF$32</f>
        <v/>
      </c>
      <c r="KG36" s="228">
        <f>KG$15+KG$16+KG$17+KG$18+KG$19+KG$20+KG$27+KG$28+KG$29+KG$30+KG$31+KG$32</f>
        <v/>
      </c>
      <c r="KH36" s="228">
        <f>KH$15+KH$16+KH$17+KH$18+KH$19+KH$20+KH$27+KH$28+KH$29+KH$30+KH$31+KH$32</f>
        <v/>
      </c>
      <c r="KI36" s="228">
        <f>KI$15+KI$16+KI$17+KI$18+KI$19+KI$20+KI$27+KI$28+KI$29+KI$30+KI$31+KI$32</f>
        <v/>
      </c>
      <c r="KJ36" s="228">
        <f>KJ$15+KJ$16+KJ$17+KJ$18+KJ$19+KJ$20+KJ$27+KJ$28+KJ$29+KJ$30+KJ$31+KJ$32</f>
        <v/>
      </c>
      <c r="KK36" s="228">
        <f>KK$15+KK$16+KK$17+KK$18+KK$19+KK$20+KK$27+KK$28+KK$29+KK$30+KK$31+KK$32</f>
        <v/>
      </c>
      <c r="KL36" s="228">
        <f>KL$15+KL$16+KL$17+KL$18+KL$19+KL$20+KL$27+KL$28+KL$29+KL$30+KL$31+KL$32</f>
        <v/>
      </c>
      <c r="KM36" s="228">
        <f>KM$15+KM$16+KM$17+KM$18+KM$19+KM$20+KM$27+KM$28+KM$29+KM$30+KM$31+KM$32</f>
        <v/>
      </c>
      <c r="KN36" s="228">
        <f>KN$15+KN$16+KN$17+KN$18+KN$19+KN$20+KN$27+KN$28+KN$29+KN$30+KN$31+KN$32</f>
        <v/>
      </c>
      <c r="KO36" s="228">
        <f>KO$15+KO$16+KO$17+KO$18+KO$19+KO$20+KO$27+KO$28+KO$29+KO$30+KO$31+KO$32</f>
        <v/>
      </c>
      <c r="KP36" s="228">
        <f>KP$15+KP$16+KP$17+KP$18+KP$19+KP$20+KP$27+KP$28+KP$29+KP$30+KP$31+KP$32</f>
        <v/>
      </c>
      <c r="KQ36" s="228">
        <f>KQ$15+KQ$16+KQ$17+KQ$18+KQ$19+KQ$20+KQ$27+KQ$28+KQ$29+KQ$30+KQ$31+KQ$32</f>
        <v/>
      </c>
      <c r="KR36" s="228">
        <f>KR$15+KR$16+KR$17+KR$18+KR$19+KR$20+KR$27+KR$28+KR$29+KR$30+KR$31+KR$32</f>
        <v/>
      </c>
      <c r="KS36" s="228">
        <f>KS$15+KS$16+KS$17+KS$18+KS$19+KS$20+KS$27+KS$28+KS$29+KS$30+KS$31+KS$32</f>
        <v/>
      </c>
      <c r="KT36" s="228">
        <f>KT$15+KT$16+KT$17+KT$18+KT$19+KT$20+KT$27+KT$28+KT$29+KT$30+KT$31+KT$32</f>
        <v/>
      </c>
      <c r="KU36" s="228">
        <f>KU$15+KU$16+KU$17+KU$18+KU$19+KU$20+KU$27+KU$28+KU$29+KU$30+KU$31+KU$32</f>
        <v/>
      </c>
      <c r="KV36" s="228">
        <f>KV$15+KV$16+KV$17+KV$18+KV$19+KV$20+KV$27+KV$28+KV$29+KV$30+KV$31+KV$32</f>
        <v/>
      </c>
      <c r="KW36" s="228">
        <f>KW$15+KW$16+KW$17+KW$18+KW$19+KW$20+KW$27+KW$28+KW$29+KW$30+KW$31+KW$32</f>
        <v/>
      </c>
      <c r="KX36" s="228">
        <f>KX$15+KX$16+KX$17+KX$18+KX$19+KX$20+KX$27+KX$28+KX$29+KX$30+KX$31+KX$32</f>
        <v/>
      </c>
      <c r="KY36" s="228">
        <f>KY$15+KY$16+KY$17+KY$18+KY$19+KY$20+KY$27+KY$28+KY$29+KY$30+KY$31+KY$32</f>
        <v/>
      </c>
      <c r="KZ36" s="228">
        <f>KZ$15+KZ$16+KZ$17+KZ$18+KZ$19+KZ$20+KZ$27+KZ$28+KZ$29+KZ$30+KZ$31+KZ$32</f>
        <v/>
      </c>
      <c r="LA36" s="228">
        <f>LA$15+LA$16+LA$17+LA$18+LA$19+LA$20+LA$27+LA$28+LA$29+LA$30+LA$31+LA$32</f>
        <v/>
      </c>
      <c r="LB36" s="228">
        <f>LB$15+LB$16+LB$17+LB$18+LB$19+LB$20+LB$27+LB$28+LB$29+LB$30+LB$31+LB$32</f>
        <v/>
      </c>
      <c r="LC36" s="228">
        <f>LC$15+LC$16+LC$17+LC$18+LC$19+LC$20+LC$27+LC$28+LC$29+LC$30+LC$31+LC$32</f>
        <v/>
      </c>
      <c r="LD36" s="228">
        <f>LD$15+LD$16+LD$17+LD$18+LD$19+LD$20+LD$27+LD$28+LD$29+LD$30+LD$31+LD$32</f>
        <v/>
      </c>
      <c r="LE36" s="228">
        <f>LE$15+LE$16+LE$17+LE$18+LE$19+LE$20+LE$27+LE$28+LE$29+LE$30+LE$31+LE$32</f>
        <v/>
      </c>
      <c r="LF36" s="228">
        <f>LF$15+LF$16+LF$17+LF$18+LF$19+LF$20+LF$27+LF$28+LF$29+LF$30+LF$31+LF$32</f>
        <v/>
      </c>
      <c r="LG36" s="228">
        <f>LG$15+LG$16+LG$17+LG$18+LG$19+LG$20+LG$27+LG$28+LG$29+LG$30+LG$31+LG$32</f>
        <v/>
      </c>
      <c r="LH36" s="228">
        <f>LH$15+LH$16+LH$17+LH$18+LH$19+LH$20+LH$27+LH$28+LH$29+LH$30+LH$31+LH$32</f>
        <v/>
      </c>
      <c r="LI36" s="228">
        <f>LI$15+LI$16+LI$17+LI$18+LI$19+LI$20+LI$27+LI$28+LI$29+LI$30+LI$31+LI$32</f>
        <v/>
      </c>
      <c r="LJ36" s="228">
        <f>LJ$15+LJ$16+LJ$17+LJ$18+LJ$19+LJ$20+LJ$27+LJ$28+LJ$29+LJ$30+LJ$31+LJ$32</f>
        <v/>
      </c>
      <c r="LK36" s="228">
        <f>LK$15+LK$16+LK$17+LK$18+LK$19+LK$20+LK$27+LK$28+LK$29+LK$30+LK$31+LK$32</f>
        <v/>
      </c>
      <c r="LL36" s="228">
        <f>LL$15+LL$16+LL$17+LL$18+LL$19+LL$20+LL$27+LL$28+LL$29+LL$30+LL$31+LL$32</f>
        <v/>
      </c>
      <c r="LM36" s="228">
        <f>LM$15+LM$16+LM$17+LM$18+LM$19+LM$20+LM$27+LM$28+LM$29+LM$30+LM$31+LM$32</f>
        <v/>
      </c>
      <c r="LN36" s="228">
        <f>LN$15+LN$16+LN$17+LN$18+LN$19+LN$20+LN$27+LN$28+LN$29+LN$30+LN$31+LN$32</f>
        <v/>
      </c>
      <c r="LO36" s="228">
        <f>LO$15+LO$16+LO$17+LO$18+LO$19+LO$20+LO$27+LO$28+LO$29+LO$30+LO$31+LO$32</f>
        <v/>
      </c>
      <c r="LP36" s="228">
        <f>LP$15+LP$16+LP$17+LP$18+LP$19+LP$20+LP$27+LP$28+LP$29+LP$30+LP$31+LP$32</f>
        <v/>
      </c>
      <c r="LQ36" s="228">
        <f>LQ$15+LQ$16+LQ$17+LQ$18+LQ$19+LQ$20+LQ$27+LQ$28+LQ$29+LQ$30+LQ$31+LQ$32</f>
        <v/>
      </c>
      <c r="LR36" s="228">
        <f>LR$15+LR$16+LR$17+LR$18+LR$19+LR$20+LR$27+LR$28+LR$29+LR$30+LR$31+LR$32</f>
        <v/>
      </c>
      <c r="LS36" s="228">
        <f>LS$15+LS$16+LS$17+LS$18+LS$19+LS$20+LS$27+LS$28+LS$29+LS$30+LS$31+LS$32</f>
        <v/>
      </c>
      <c r="LT36" s="228">
        <f>LT$15+LT$16+LT$17+LT$18+LT$19+LT$20+LT$27+LT$28+LT$29+LT$30+LT$31+LT$32</f>
        <v/>
      </c>
      <c r="LU36" s="228">
        <f>LU$15+LU$16+LU$17+LU$18+LU$19+LU$20+LU$27+LU$28+LU$29+LU$30+LU$31+LU$32</f>
        <v/>
      </c>
      <c r="LV36" s="228">
        <f>LV$15+LV$16+LV$17+LV$18+LV$19+LV$20+LV$27+LV$28+LV$29+LV$30+LV$31+LV$32</f>
        <v/>
      </c>
      <c r="LW36" s="228">
        <f>LW$15+LW$16+LW$17+LW$18+LW$19+LW$20+LW$27+LW$28+LW$29+LW$30+LW$31+LW$32</f>
        <v/>
      </c>
      <c r="LX36" s="228">
        <f>LX$15+LX$16+LX$17+LX$18+LX$19+LX$20+LX$27+LX$28+LX$29+LX$30+LX$31+LX$32</f>
        <v/>
      </c>
      <c r="LY36" s="228">
        <f>LY$15+LY$16+LY$17+LY$18+LY$19+LY$20+LY$27+LY$28+LY$29+LY$30+LY$31+LY$32</f>
        <v/>
      </c>
      <c r="LZ36" s="228">
        <f>LZ$15+LZ$16+LZ$17+LZ$18+LZ$19+LZ$20+LZ$27+LZ$28+LZ$29+LZ$30+LZ$31+LZ$32</f>
        <v/>
      </c>
      <c r="MA36" s="228">
        <f>MA$15+MA$16+MA$17+MA$18+MA$19+MA$20+MA$27+MA$28+MA$29+MA$30+MA$31+MA$32</f>
        <v/>
      </c>
      <c r="MB36" s="228">
        <f>MB$15+MB$16+MB$17+MB$18+MB$19+MB$20+MB$27+MB$28+MB$29+MB$30+MB$31+MB$32</f>
        <v/>
      </c>
      <c r="MC36" s="228">
        <f>MC$15+MC$16+MC$17+MC$18+MC$19+MC$20+MC$27+MC$28+MC$29+MC$30+MC$31+MC$32</f>
        <v/>
      </c>
      <c r="MD36" s="228">
        <f>MD$15+MD$16+MD$17+MD$18+MD$19+MD$20+MD$27+MD$28+MD$29+MD$30+MD$31+MD$32</f>
        <v/>
      </c>
      <c r="ME36" s="228">
        <f>ME$15+ME$16+ME$17+ME$18+ME$19+ME$20+ME$27+ME$28+ME$29+ME$30+ME$31+ME$32</f>
        <v/>
      </c>
      <c r="MF36" s="228">
        <f>MF$15+MF$16+MF$17+MF$18+MF$19+MF$20+MF$27+MF$28+MF$29+MF$30+MF$31+MF$32</f>
        <v/>
      </c>
      <c r="MG36" s="228">
        <f>MG$15+MG$16+MG$17+MG$18+MG$19+MG$20+MG$27+MG$28+MG$29+MG$30+MG$31+MG$32</f>
        <v/>
      </c>
      <c r="MH36" s="228">
        <f>MH$15+MH$16+MH$17+MH$18+MH$19+MH$20+MH$27+MH$28+MH$29+MH$30+MH$31+MH$32</f>
        <v/>
      </c>
      <c r="MI36" s="228">
        <f>MI$15+MI$16+MI$17+MI$18+MI$19+MI$20+MI$27+MI$28+MI$29+MI$30+MI$31+MI$32</f>
        <v/>
      </c>
      <c r="MJ36" s="228">
        <f>MJ$15+MJ$16+MJ$17+MJ$18+MJ$19+MJ$20+MJ$27+MJ$28+MJ$29+MJ$30+MJ$31+MJ$32</f>
        <v/>
      </c>
      <c r="MK36" s="228">
        <f>MK$15+MK$16+MK$17+MK$18+MK$19+MK$20+MK$27+MK$28+MK$29+MK$30+MK$31+MK$32</f>
        <v/>
      </c>
      <c r="ML36" s="228">
        <f>ML$15+ML$16+ML$17+ML$18+ML$19+ML$20+ML$27+ML$28+ML$29+ML$30+ML$31+ML$32</f>
        <v/>
      </c>
      <c r="MM36" s="228">
        <f>MM$15+MM$16+MM$17+MM$18+MM$19+MM$20+MM$27+MM$28+MM$29+MM$30+MM$31+MM$32</f>
        <v/>
      </c>
      <c r="MN36" s="228">
        <f>MN$15+MN$16+MN$17+MN$18+MN$19+MN$20+MN$27+MN$28+MN$29+MN$30+MN$31+MN$32</f>
        <v/>
      </c>
      <c r="MO36" s="228">
        <f>MO$15+MO$16+MO$17+MO$18+MO$19+MO$20+MO$27+MO$28+MO$29+MO$30+MO$31+MO$32</f>
        <v/>
      </c>
      <c r="MP36" s="228">
        <f>MP$15+MP$16+MP$17+MP$18+MP$19+MP$20+MP$27+MP$28+MP$29+MP$30+MP$31+MP$32</f>
        <v/>
      </c>
      <c r="MQ36" s="228">
        <f>MQ$15+MQ$16+MQ$17+MQ$18+MQ$19+MQ$20+MQ$27+MQ$28+MQ$29+MQ$30+MQ$31+MQ$32</f>
        <v/>
      </c>
      <c r="MR36" s="228">
        <f>MR$15+MR$16+MR$17+MR$18+MR$19+MR$20+MR$27+MR$28+MR$29+MR$30+MR$31+MR$32</f>
        <v/>
      </c>
      <c r="MS36" s="228">
        <f>MS$15+MS$16+MS$17+MS$18+MS$19+MS$20+MS$27+MS$28+MS$29+MS$30+MS$31+MS$32</f>
        <v/>
      </c>
      <c r="MT36" s="228">
        <f>MT$15+MT$16+MT$17+MT$18+MT$19+MT$20+MT$27+MT$28+MT$29+MT$30+MT$31+MT$32</f>
        <v/>
      </c>
      <c r="MU36" s="228">
        <f>MU$15+MU$16+MU$17+MU$18+MU$19+MU$20+MU$27+MU$28+MU$29+MU$30+MU$31+MU$32</f>
        <v/>
      </c>
      <c r="MV36" s="228">
        <f>MV$15+MV$16+MV$17+MV$18+MV$19+MV$20+MV$27+MV$28+MV$29+MV$30+MV$31+MV$32</f>
        <v/>
      </c>
      <c r="MW36" s="228">
        <f>MW$15+MW$16+MW$17+MW$18+MW$19+MW$20+MW$27+MW$28+MW$29+MW$30+MW$31+MW$32</f>
        <v/>
      </c>
      <c r="MX36" s="228">
        <f>MX$15+MX$16+MX$17+MX$18+MX$19+MX$20+MX$27+MX$28+MX$29+MX$30+MX$31+MX$32</f>
        <v/>
      </c>
      <c r="MY36" s="228">
        <f>MY$15+MY$16+MY$17+MY$18+MY$19+MY$20+MY$27+MY$28+MY$29+MY$30+MY$31+MY$32</f>
        <v/>
      </c>
      <c r="MZ36" s="228">
        <f>MZ$15+MZ$16+MZ$17+MZ$18+MZ$19+MZ$20+MZ$27+MZ$28+MZ$29+MZ$30+MZ$31+MZ$32</f>
        <v/>
      </c>
      <c r="NA36" s="228">
        <f>NA$15+NA$16+NA$17+NA$18+NA$19+NA$20+NA$27+NA$28+NA$29+NA$30+NA$31+NA$32</f>
        <v/>
      </c>
      <c r="NB36" s="228">
        <f>NB$15+NB$16+NB$17+NB$18+NB$19+NB$20+NB$27+NB$28+NB$29+NB$30+NB$31+NB$32</f>
        <v/>
      </c>
      <c r="NC36" s="228">
        <f>NC$15+NC$16+NC$17+NC$18+NC$19+NC$20+NC$27+NC$28+NC$29+NC$30+NC$31+NC$32</f>
        <v/>
      </c>
      <c r="ND36" s="228">
        <f>ND$15+ND$16+ND$17+ND$18+ND$19+ND$20+ND$27+ND$28+ND$29+ND$30+ND$31+ND$32</f>
        <v/>
      </c>
      <c r="NE36" s="228">
        <f>NE$15+NE$16+NE$17+NE$18+NE$19+NE$20+NE$27+NE$28+NE$29+NE$30+NE$31+NE$32</f>
        <v/>
      </c>
      <c r="NF36" s="228">
        <f>NF$15+NF$16+NF$17+NF$18+NF$19+NF$20+NF$27+NF$28+NF$29+NF$30+NF$31+NF$32</f>
        <v/>
      </c>
      <c r="NG36" s="228">
        <f>NG$15+NG$16+NG$17+NG$18+NG$19+NG$20+NG$27+NG$28+NG$29+NG$30+NG$31+NG$32</f>
        <v/>
      </c>
      <c r="NH36" s="228">
        <f>NH$15+NH$16+NH$17+NH$18+NH$19+NH$20+NH$27+NH$28+NH$29+NH$30+NH$31+NH$32</f>
        <v/>
      </c>
      <c r="NI36" s="228">
        <f>NI$15+NI$16+NI$17+NI$18+NI$19+NI$20+NI$27+NI$28+NI$29+NI$30+NI$31+NI$32</f>
        <v/>
      </c>
      <c r="NJ36" s="228">
        <f>NJ$15+NJ$16+NJ$17+NJ$18+NJ$19+NJ$20+NJ$27+NJ$28+NJ$29+NJ$30+NJ$31+NJ$32</f>
        <v/>
      </c>
      <c r="NK36" s="228">
        <f>NK$15+NK$16+NK$17+NK$18+NK$19+NK$20+NK$27+NK$28+NK$29+NK$30+NK$31+NK$32</f>
        <v/>
      </c>
      <c r="NL36" s="247">
        <f>NL$15+NL$16+NL$17+NL$18+NL$19+NL$20+NL$27+NL$28+NL$29+NL$30+NL$31+NL$32</f>
        <v/>
      </c>
    </row>
    <row r="37">
      <c r="B37" s="36" t="inlineStr">
        <is>
          <t>Cumulative Hard Cost in Place</t>
        </is>
      </c>
      <c r="D37" s="251" t="n"/>
      <c r="E37" s="228">
        <f>E$36</f>
        <v/>
      </c>
      <c r="F37" s="228">
        <f>E$37+F$36</f>
        <v/>
      </c>
      <c r="G37" s="228">
        <f>F$37+G$36</f>
        <v/>
      </c>
      <c r="H37" s="228">
        <f>G$37+H$36</f>
        <v/>
      </c>
      <c r="I37" s="228">
        <f>H$37+I$36</f>
        <v/>
      </c>
      <c r="J37" s="228">
        <f>I$37+J$36</f>
        <v/>
      </c>
      <c r="K37" s="228">
        <f>J$37+K$36</f>
        <v/>
      </c>
      <c r="L37" s="228">
        <f>K$37+L$36</f>
        <v/>
      </c>
      <c r="M37" s="228">
        <f>L$37+M$36</f>
        <v/>
      </c>
      <c r="N37" s="228">
        <f>M$37+N$36</f>
        <v/>
      </c>
      <c r="O37" s="228">
        <f>N$37+O$36</f>
        <v/>
      </c>
      <c r="P37" s="228">
        <f>O$37+P$36</f>
        <v/>
      </c>
      <c r="Q37" s="228">
        <f>P$37+Q$36</f>
        <v/>
      </c>
      <c r="R37" s="228">
        <f>Q$37+R$36</f>
        <v/>
      </c>
      <c r="S37" s="228">
        <f>R$37+S$36</f>
        <v/>
      </c>
      <c r="T37" s="228">
        <f>S$37+T$36</f>
        <v/>
      </c>
      <c r="U37" s="228">
        <f>T$37+U$36</f>
        <v/>
      </c>
      <c r="V37" s="228">
        <f>U$37+V$36</f>
        <v/>
      </c>
      <c r="W37" s="228">
        <f>V$37+W$36</f>
        <v/>
      </c>
      <c r="X37" s="228">
        <f>W$37+X$36</f>
        <v/>
      </c>
      <c r="Y37" s="228">
        <f>X$37+Y$36</f>
        <v/>
      </c>
      <c r="Z37" s="228">
        <f>Y$37+Z$36</f>
        <v/>
      </c>
      <c r="AA37" s="228">
        <f>Z$37+AA$36</f>
        <v/>
      </c>
      <c r="AB37" s="228">
        <f>AA$37+AB$36</f>
        <v/>
      </c>
      <c r="AC37" s="228">
        <f>AB$37+AC$36</f>
        <v/>
      </c>
      <c r="AD37" s="228">
        <f>AC$37+AD$36</f>
        <v/>
      </c>
      <c r="AE37" s="228">
        <f>AD$37+AE$36</f>
        <v/>
      </c>
      <c r="AF37" s="228">
        <f>AE$37+AF$36</f>
        <v/>
      </c>
      <c r="AG37" s="228">
        <f>AF$37+AG$36</f>
        <v/>
      </c>
      <c r="AH37" s="228">
        <f>AG$37+AH$36</f>
        <v/>
      </c>
      <c r="AI37" s="228">
        <f>AH$37+AI$36</f>
        <v/>
      </c>
      <c r="AJ37" s="228">
        <f>AI$37+AJ$36</f>
        <v/>
      </c>
      <c r="AK37" s="228">
        <f>AJ$37+AK$36</f>
        <v/>
      </c>
      <c r="AL37" s="228">
        <f>AK$37+AL$36</f>
        <v/>
      </c>
      <c r="AM37" s="228">
        <f>AL$37+AM$36</f>
        <v/>
      </c>
      <c r="AN37" s="228">
        <f>AM$37+AN$36</f>
        <v/>
      </c>
      <c r="AO37" s="228">
        <f>AN$37+AO$36</f>
        <v/>
      </c>
      <c r="AP37" s="228">
        <f>AO$37+AP$36</f>
        <v/>
      </c>
      <c r="AQ37" s="228">
        <f>AP$37+AQ$36</f>
        <v/>
      </c>
      <c r="AR37" s="228">
        <f>AQ$37+AR$36</f>
        <v/>
      </c>
      <c r="AS37" s="228">
        <f>AR$37+AS$36</f>
        <v/>
      </c>
      <c r="AT37" s="228">
        <f>AS$37+AT$36</f>
        <v/>
      </c>
      <c r="AU37" s="228">
        <f>AT$37+AU$36</f>
        <v/>
      </c>
      <c r="AV37" s="228">
        <f>AU$37+AV$36</f>
        <v/>
      </c>
      <c r="AW37" s="228">
        <f>AV$37+AW$36</f>
        <v/>
      </c>
      <c r="AX37" s="228">
        <f>AW$37+AX$36</f>
        <v/>
      </c>
      <c r="AY37" s="228">
        <f>AX$37+AY$36</f>
        <v/>
      </c>
      <c r="AZ37" s="228">
        <f>AY$37+AZ$36</f>
        <v/>
      </c>
      <c r="BA37" s="228">
        <f>AZ$37+BA$36</f>
        <v/>
      </c>
      <c r="BB37" s="228">
        <f>BA$37+BB$36</f>
        <v/>
      </c>
      <c r="BC37" s="228">
        <f>BB$37+BC$36</f>
        <v/>
      </c>
      <c r="BD37" s="228">
        <f>BC$37+BD$36</f>
        <v/>
      </c>
      <c r="BE37" s="228">
        <f>BD$37+BE$36</f>
        <v/>
      </c>
      <c r="BF37" s="228">
        <f>BE$37+BF$36</f>
        <v/>
      </c>
      <c r="BG37" s="228">
        <f>BF$37+BG$36</f>
        <v/>
      </c>
      <c r="BH37" s="228">
        <f>BG$37+BH$36</f>
        <v/>
      </c>
      <c r="BI37" s="228">
        <f>BH$37+BI$36</f>
        <v/>
      </c>
      <c r="BJ37" s="228">
        <f>BI$37+BJ$36</f>
        <v/>
      </c>
      <c r="BK37" s="228">
        <f>BJ$37+BK$36</f>
        <v/>
      </c>
      <c r="BL37" s="228">
        <f>BK$37+BL$36</f>
        <v/>
      </c>
      <c r="BM37" s="228">
        <f>BL$37+BM$36</f>
        <v/>
      </c>
      <c r="BN37" s="228">
        <f>BM$37+BN$36</f>
        <v/>
      </c>
      <c r="BO37" s="228">
        <f>BN$37+BO$36</f>
        <v/>
      </c>
      <c r="BP37" s="228">
        <f>BO$37+BP$36</f>
        <v/>
      </c>
      <c r="BQ37" s="228">
        <f>BP$37+BQ$36</f>
        <v/>
      </c>
      <c r="BR37" s="228">
        <f>BQ$37+BR$36</f>
        <v/>
      </c>
      <c r="BS37" s="228">
        <f>BR$37+BS$36</f>
        <v/>
      </c>
      <c r="BT37" s="228">
        <f>BS$37+BT$36</f>
        <v/>
      </c>
      <c r="BU37" s="228">
        <f>BT$37+BU$36</f>
        <v/>
      </c>
      <c r="BV37" s="228">
        <f>BU$37+BV$36</f>
        <v/>
      </c>
      <c r="BW37" s="228">
        <f>BV$37+BW$36</f>
        <v/>
      </c>
      <c r="BX37" s="228">
        <f>BW$37+BX$36</f>
        <v/>
      </c>
      <c r="BY37" s="228">
        <f>BX$37+BY$36</f>
        <v/>
      </c>
      <c r="BZ37" s="228">
        <f>BY$37+BZ$36</f>
        <v/>
      </c>
      <c r="CA37" s="228">
        <f>BZ$37+CA$36</f>
        <v/>
      </c>
      <c r="CB37" s="228">
        <f>CA$37+CB$36</f>
        <v/>
      </c>
      <c r="CC37" s="228">
        <f>CB$37+CC$36</f>
        <v/>
      </c>
      <c r="CD37" s="228">
        <f>CC$37+CD$36</f>
        <v/>
      </c>
      <c r="CE37" s="228">
        <f>CD$37+CE$36</f>
        <v/>
      </c>
      <c r="CF37" s="228">
        <f>CE$37+CF$36</f>
        <v/>
      </c>
      <c r="CG37" s="228">
        <f>CF$37+CG$36</f>
        <v/>
      </c>
      <c r="CH37" s="228">
        <f>CG$37+CH$36</f>
        <v/>
      </c>
      <c r="CI37" s="228">
        <f>CH$37+CI$36</f>
        <v/>
      </c>
      <c r="CJ37" s="228">
        <f>CI$37+CJ$36</f>
        <v/>
      </c>
      <c r="CK37" s="228">
        <f>CJ$37+CK$36</f>
        <v/>
      </c>
      <c r="CL37" s="228">
        <f>CK$37+CL$36</f>
        <v/>
      </c>
      <c r="CM37" s="228">
        <f>CL$37+CM$36</f>
        <v/>
      </c>
      <c r="CN37" s="228">
        <f>CM$37+CN$36</f>
        <v/>
      </c>
      <c r="CO37" s="228">
        <f>CN$37+CO$36</f>
        <v/>
      </c>
      <c r="CP37" s="228">
        <f>CO$37+CP$36</f>
        <v/>
      </c>
      <c r="CQ37" s="228">
        <f>CP$37+CQ$36</f>
        <v/>
      </c>
      <c r="CR37" s="228">
        <f>CQ$37+CR$36</f>
        <v/>
      </c>
      <c r="CS37" s="228">
        <f>CR$37+CS$36</f>
        <v/>
      </c>
      <c r="CT37" s="228">
        <f>CS$37+CT$36</f>
        <v/>
      </c>
      <c r="CU37" s="228">
        <f>CT$37+CU$36</f>
        <v/>
      </c>
      <c r="CV37" s="228">
        <f>CU$37+CV$36</f>
        <v/>
      </c>
      <c r="CW37" s="228">
        <f>CV$37+CW$36</f>
        <v/>
      </c>
      <c r="CX37" s="228">
        <f>CW$37+CX$36</f>
        <v/>
      </c>
      <c r="CY37" s="228">
        <f>CX$37+CY$36</f>
        <v/>
      </c>
      <c r="CZ37" s="228">
        <f>CY$37+CZ$36</f>
        <v/>
      </c>
      <c r="DA37" s="228">
        <f>CZ$37+DA$36</f>
        <v/>
      </c>
      <c r="DB37" s="228">
        <f>DA$37+DB$36</f>
        <v/>
      </c>
      <c r="DC37" s="228">
        <f>DB$37+DC$36</f>
        <v/>
      </c>
      <c r="DD37" s="228">
        <f>DC$37+DD$36</f>
        <v/>
      </c>
      <c r="DE37" s="228">
        <f>DD$37+DE$36</f>
        <v/>
      </c>
      <c r="DF37" s="228">
        <f>DE$37+DF$36</f>
        <v/>
      </c>
      <c r="DG37" s="228">
        <f>DF$37+DG$36</f>
        <v/>
      </c>
      <c r="DH37" s="228">
        <f>DG$37+DH$36</f>
        <v/>
      </c>
      <c r="DI37" s="228">
        <f>DH$37+DI$36</f>
        <v/>
      </c>
      <c r="DJ37" s="228">
        <f>DI$37+DJ$36</f>
        <v/>
      </c>
      <c r="DK37" s="228">
        <f>DJ$37+DK$36</f>
        <v/>
      </c>
      <c r="DL37" s="228">
        <f>DK$37+DL$36</f>
        <v/>
      </c>
      <c r="DM37" s="228">
        <f>DL$37+DM$36</f>
        <v/>
      </c>
      <c r="DN37" s="228">
        <f>DM$37+DN$36</f>
        <v/>
      </c>
      <c r="DO37" s="228">
        <f>DN$37+DO$36</f>
        <v/>
      </c>
      <c r="DP37" s="228">
        <f>DO$37+DP$36</f>
        <v/>
      </c>
      <c r="DQ37" s="228">
        <f>DP$37+DQ$36</f>
        <v/>
      </c>
      <c r="DR37" s="228">
        <f>DQ$37+DR$36</f>
        <v/>
      </c>
      <c r="DS37" s="228">
        <f>DR$37+DS$36</f>
        <v/>
      </c>
      <c r="DT37" s="228">
        <f>DS$37+DT$36</f>
        <v/>
      </c>
      <c r="DU37" s="228">
        <f>DT$37+DU$36</f>
        <v/>
      </c>
      <c r="DV37" s="228">
        <f>DU$37+DV$36</f>
        <v/>
      </c>
      <c r="DW37" s="228">
        <f>DV$37+DW$36</f>
        <v/>
      </c>
      <c r="DX37" s="228">
        <f>DW$37+DX$36</f>
        <v/>
      </c>
      <c r="DY37" s="228">
        <f>DX$37+DY$36</f>
        <v/>
      </c>
      <c r="DZ37" s="228">
        <f>DY$37+DZ$36</f>
        <v/>
      </c>
      <c r="EA37" s="228">
        <f>DZ$37+EA$36</f>
        <v/>
      </c>
      <c r="EB37" s="228">
        <f>EA$37+EB$36</f>
        <v/>
      </c>
      <c r="EC37" s="228">
        <f>EB$37+EC$36</f>
        <v/>
      </c>
      <c r="ED37" s="228">
        <f>EC$37+ED$36</f>
        <v/>
      </c>
      <c r="EE37" s="228">
        <f>ED$37+EE$36</f>
        <v/>
      </c>
      <c r="EF37" s="228">
        <f>EE$37+EF$36</f>
        <v/>
      </c>
      <c r="EG37" s="228">
        <f>EF$37+EG$36</f>
        <v/>
      </c>
      <c r="EH37" s="228">
        <f>EG$37+EH$36</f>
        <v/>
      </c>
      <c r="EI37" s="228">
        <f>EH$37+EI$36</f>
        <v/>
      </c>
      <c r="EJ37" s="228">
        <f>EI$37+EJ$36</f>
        <v/>
      </c>
      <c r="EK37" s="228">
        <f>EJ$37+EK$36</f>
        <v/>
      </c>
      <c r="EL37" s="228">
        <f>EK$37+EL$36</f>
        <v/>
      </c>
      <c r="EM37" s="228">
        <f>EL$37+EM$36</f>
        <v/>
      </c>
      <c r="EN37" s="228">
        <f>EM$37+EN$36</f>
        <v/>
      </c>
      <c r="EO37" s="228">
        <f>EN$37+EO$36</f>
        <v/>
      </c>
      <c r="EP37" s="228">
        <f>EO$37+EP$36</f>
        <v/>
      </c>
      <c r="EQ37" s="228">
        <f>EP$37+EQ$36</f>
        <v/>
      </c>
      <c r="ER37" s="228">
        <f>EQ$37+ER$36</f>
        <v/>
      </c>
      <c r="ES37" s="228">
        <f>ER$37+ES$36</f>
        <v/>
      </c>
      <c r="ET37" s="228">
        <f>ES$37+ET$36</f>
        <v/>
      </c>
      <c r="EU37" s="228">
        <f>ET$37+EU$36</f>
        <v/>
      </c>
      <c r="EV37" s="228">
        <f>EU$37+EV$36</f>
        <v/>
      </c>
      <c r="EW37" s="228">
        <f>EV$37+EW$36</f>
        <v/>
      </c>
      <c r="EX37" s="228">
        <f>EW$37+EX$36</f>
        <v/>
      </c>
      <c r="EY37" s="228">
        <f>EX$37+EY$36</f>
        <v/>
      </c>
      <c r="EZ37" s="228">
        <f>EY$37+EZ$36</f>
        <v/>
      </c>
      <c r="FA37" s="228">
        <f>EZ$37+FA$36</f>
        <v/>
      </c>
      <c r="FB37" s="228">
        <f>FA$37+FB$36</f>
        <v/>
      </c>
      <c r="FC37" s="228">
        <f>FB$37+FC$36</f>
        <v/>
      </c>
      <c r="FD37" s="228">
        <f>FC$37+FD$36</f>
        <v/>
      </c>
      <c r="FE37" s="228">
        <f>FD$37+FE$36</f>
        <v/>
      </c>
      <c r="FF37" s="228">
        <f>FE$37+FF$36</f>
        <v/>
      </c>
      <c r="FG37" s="228">
        <f>FF$37+FG$36</f>
        <v/>
      </c>
      <c r="FH37" s="228">
        <f>FG$37+FH$36</f>
        <v/>
      </c>
      <c r="FI37" s="228">
        <f>FH$37+FI$36</f>
        <v/>
      </c>
      <c r="FJ37" s="228">
        <f>FI$37+FJ$36</f>
        <v/>
      </c>
      <c r="FK37" s="228">
        <f>FJ$37+FK$36</f>
        <v/>
      </c>
      <c r="FL37" s="228">
        <f>FK$37+FL$36</f>
        <v/>
      </c>
      <c r="FM37" s="228">
        <f>FL$37+FM$36</f>
        <v/>
      </c>
      <c r="FN37" s="228">
        <f>FM$37+FN$36</f>
        <v/>
      </c>
      <c r="FO37" s="228">
        <f>FN$37+FO$36</f>
        <v/>
      </c>
      <c r="FP37" s="228">
        <f>FO$37+FP$36</f>
        <v/>
      </c>
      <c r="FQ37" s="228">
        <f>FP$37+FQ$36</f>
        <v/>
      </c>
      <c r="FR37" s="228">
        <f>FQ$37+FR$36</f>
        <v/>
      </c>
      <c r="FS37" s="228">
        <f>FR$37+FS$36</f>
        <v/>
      </c>
      <c r="FT37" s="228">
        <f>FS$37+FT$36</f>
        <v/>
      </c>
      <c r="FU37" s="228">
        <f>FT$37+FU$36</f>
        <v/>
      </c>
      <c r="FV37" s="228">
        <f>FU$37+FV$36</f>
        <v/>
      </c>
      <c r="FW37" s="228">
        <f>FV$37+FW$36</f>
        <v/>
      </c>
      <c r="FX37" s="228">
        <f>FW$37+FX$36</f>
        <v/>
      </c>
      <c r="FY37" s="228">
        <f>FX$37+FY$36</f>
        <v/>
      </c>
      <c r="FZ37" s="228">
        <f>FY$37+FZ$36</f>
        <v/>
      </c>
      <c r="GA37" s="228">
        <f>FZ$37+GA$36</f>
        <v/>
      </c>
      <c r="GB37" s="228">
        <f>GA$37+GB$36</f>
        <v/>
      </c>
      <c r="GC37" s="228">
        <f>GB$37+GC$36</f>
        <v/>
      </c>
      <c r="GD37" s="228">
        <f>GC$37+GD$36</f>
        <v/>
      </c>
      <c r="GE37" s="228">
        <f>GD$37+GE$36</f>
        <v/>
      </c>
      <c r="GF37" s="228">
        <f>GE$37+GF$36</f>
        <v/>
      </c>
      <c r="GG37" s="228">
        <f>GF$37+GG$36</f>
        <v/>
      </c>
      <c r="GH37" s="228">
        <f>GG$37+GH$36</f>
        <v/>
      </c>
      <c r="GI37" s="228">
        <f>GH$37+GI$36</f>
        <v/>
      </c>
      <c r="GJ37" s="228">
        <f>GI$37+GJ$36</f>
        <v/>
      </c>
      <c r="GK37" s="228">
        <f>GJ$37+GK$36</f>
        <v/>
      </c>
      <c r="GL37" s="228">
        <f>GK$37+GL$36</f>
        <v/>
      </c>
      <c r="GM37" s="228">
        <f>GL$37+GM$36</f>
        <v/>
      </c>
      <c r="GN37" s="228">
        <f>GM$37+GN$36</f>
        <v/>
      </c>
      <c r="GO37" s="228">
        <f>GN$37+GO$36</f>
        <v/>
      </c>
      <c r="GP37" s="228">
        <f>GO$37+GP$36</f>
        <v/>
      </c>
      <c r="GQ37" s="228">
        <f>GP$37+GQ$36</f>
        <v/>
      </c>
      <c r="GR37" s="228">
        <f>GQ$37+GR$36</f>
        <v/>
      </c>
      <c r="GS37" s="228">
        <f>GR$37+GS$36</f>
        <v/>
      </c>
      <c r="GT37" s="228">
        <f>GS$37+GT$36</f>
        <v/>
      </c>
      <c r="GU37" s="228">
        <f>GT$37+GU$36</f>
        <v/>
      </c>
      <c r="GV37" s="228">
        <f>GU$37+GV$36</f>
        <v/>
      </c>
      <c r="GW37" s="228">
        <f>GV$37+GW$36</f>
        <v/>
      </c>
      <c r="GX37" s="228">
        <f>GW$37+GX$36</f>
        <v/>
      </c>
      <c r="GY37" s="228">
        <f>GX$37+GY$36</f>
        <v/>
      </c>
      <c r="GZ37" s="228">
        <f>GY$37+GZ$36</f>
        <v/>
      </c>
      <c r="HA37" s="228">
        <f>GZ$37+HA$36</f>
        <v/>
      </c>
      <c r="HB37" s="228">
        <f>HA$37+HB$36</f>
        <v/>
      </c>
      <c r="HC37" s="228">
        <f>HB$37+HC$36</f>
        <v/>
      </c>
      <c r="HD37" s="228">
        <f>HC$37+HD$36</f>
        <v/>
      </c>
      <c r="HE37" s="228">
        <f>HD$37+HE$36</f>
        <v/>
      </c>
      <c r="HF37" s="228">
        <f>HE$37+HF$36</f>
        <v/>
      </c>
      <c r="HG37" s="228">
        <f>HF$37+HG$36</f>
        <v/>
      </c>
      <c r="HH37" s="228">
        <f>HG$37+HH$36</f>
        <v/>
      </c>
      <c r="HI37" s="228">
        <f>HH$37+HI$36</f>
        <v/>
      </c>
      <c r="HJ37" s="228">
        <f>HI$37+HJ$36</f>
        <v/>
      </c>
      <c r="HK37" s="228">
        <f>HJ$37+HK$36</f>
        <v/>
      </c>
      <c r="HL37" s="228">
        <f>HK$37+HL$36</f>
        <v/>
      </c>
      <c r="HM37" s="228">
        <f>HL$37+HM$36</f>
        <v/>
      </c>
      <c r="HN37" s="228">
        <f>HM$37+HN$36</f>
        <v/>
      </c>
      <c r="HO37" s="228">
        <f>HN$37+HO$36</f>
        <v/>
      </c>
      <c r="HP37" s="228">
        <f>HO$37+HP$36</f>
        <v/>
      </c>
      <c r="HQ37" s="228">
        <f>HP$37+HQ$36</f>
        <v/>
      </c>
      <c r="HR37" s="228">
        <f>HQ$37+HR$36</f>
        <v/>
      </c>
      <c r="HS37" s="228">
        <f>HR$37+HS$36</f>
        <v/>
      </c>
      <c r="HT37" s="228">
        <f>HS$37+HT$36</f>
        <v/>
      </c>
      <c r="HU37" s="228">
        <f>HT$37+HU$36</f>
        <v/>
      </c>
      <c r="HV37" s="228">
        <f>HU$37+HV$36</f>
        <v/>
      </c>
      <c r="HW37" s="228">
        <f>HV$37+HW$36</f>
        <v/>
      </c>
      <c r="HX37" s="228">
        <f>HW$37+HX$36</f>
        <v/>
      </c>
      <c r="HY37" s="228">
        <f>HX$37+HY$36</f>
        <v/>
      </c>
      <c r="HZ37" s="228">
        <f>HY$37+HZ$36</f>
        <v/>
      </c>
      <c r="IA37" s="228">
        <f>HZ$37+IA$36</f>
        <v/>
      </c>
      <c r="IB37" s="228">
        <f>IA$37+IB$36</f>
        <v/>
      </c>
      <c r="IC37" s="228">
        <f>IB$37+IC$36</f>
        <v/>
      </c>
      <c r="ID37" s="228">
        <f>IC$37+ID$36</f>
        <v/>
      </c>
      <c r="IE37" s="228">
        <f>ID$37+IE$36</f>
        <v/>
      </c>
      <c r="IF37" s="228">
        <f>IE$37+IF$36</f>
        <v/>
      </c>
      <c r="IG37" s="228">
        <f>IF$37+IG$36</f>
        <v/>
      </c>
      <c r="IH37" s="228">
        <f>IG$37+IH$36</f>
        <v/>
      </c>
      <c r="II37" s="228">
        <f>IH$37+II$36</f>
        <v/>
      </c>
      <c r="IJ37" s="228">
        <f>II$37+IJ$36</f>
        <v/>
      </c>
      <c r="IK37" s="228">
        <f>IJ$37+IK$36</f>
        <v/>
      </c>
      <c r="IL37" s="228">
        <f>IK$37+IL$36</f>
        <v/>
      </c>
      <c r="IM37" s="228">
        <f>IL$37+IM$36</f>
        <v/>
      </c>
      <c r="IN37" s="228">
        <f>IM$37+IN$36</f>
        <v/>
      </c>
      <c r="IO37" s="228">
        <f>IN$37+IO$36</f>
        <v/>
      </c>
      <c r="IP37" s="228">
        <f>IO$37+IP$36</f>
        <v/>
      </c>
      <c r="IQ37" s="228">
        <f>IP$37+IQ$36</f>
        <v/>
      </c>
      <c r="IR37" s="228">
        <f>IQ$37+IR$36</f>
        <v/>
      </c>
      <c r="IS37" s="228">
        <f>IR$37+IS$36</f>
        <v/>
      </c>
      <c r="IT37" s="228">
        <f>IS$37+IT$36</f>
        <v/>
      </c>
      <c r="IU37" s="228">
        <f>IT$37+IU$36</f>
        <v/>
      </c>
      <c r="IV37" s="228">
        <f>IU$37+IV$36</f>
        <v/>
      </c>
      <c r="IW37" s="228">
        <f>IV$37+IW$36</f>
        <v/>
      </c>
      <c r="IX37" s="228">
        <f>IW$37+IX$36</f>
        <v/>
      </c>
      <c r="IY37" s="228">
        <f>IX$37+IY$36</f>
        <v/>
      </c>
      <c r="IZ37" s="228">
        <f>IY$37+IZ$36</f>
        <v/>
      </c>
      <c r="JA37" s="228">
        <f>IZ$37+JA$36</f>
        <v/>
      </c>
      <c r="JB37" s="228">
        <f>JA$37+JB$36</f>
        <v/>
      </c>
      <c r="JC37" s="228">
        <f>JB$37+JC$36</f>
        <v/>
      </c>
      <c r="JD37" s="228">
        <f>JC$37+JD$36</f>
        <v/>
      </c>
      <c r="JE37" s="228">
        <f>JD$37+JE$36</f>
        <v/>
      </c>
      <c r="JF37" s="228">
        <f>JE$37+JF$36</f>
        <v/>
      </c>
      <c r="JG37" s="228">
        <f>JF$37+JG$36</f>
        <v/>
      </c>
      <c r="JH37" s="228">
        <f>JG$37+JH$36</f>
        <v/>
      </c>
      <c r="JI37" s="228">
        <f>JH$37+JI$36</f>
        <v/>
      </c>
      <c r="JJ37" s="228">
        <f>JI$37+JJ$36</f>
        <v/>
      </c>
      <c r="JK37" s="228">
        <f>JJ$37+JK$36</f>
        <v/>
      </c>
      <c r="JL37" s="228">
        <f>JK$37+JL$36</f>
        <v/>
      </c>
      <c r="JM37" s="228">
        <f>JL$37+JM$36</f>
        <v/>
      </c>
      <c r="JN37" s="228">
        <f>JM$37+JN$36</f>
        <v/>
      </c>
      <c r="JO37" s="228">
        <f>JN$37+JO$36</f>
        <v/>
      </c>
      <c r="JP37" s="228">
        <f>JO$37+JP$36</f>
        <v/>
      </c>
      <c r="JQ37" s="228">
        <f>JP$37+JQ$36</f>
        <v/>
      </c>
      <c r="JR37" s="228">
        <f>JQ$37+JR$36</f>
        <v/>
      </c>
      <c r="JS37" s="228">
        <f>JR$37+JS$36</f>
        <v/>
      </c>
      <c r="JT37" s="228">
        <f>JS$37+JT$36</f>
        <v/>
      </c>
      <c r="JU37" s="228">
        <f>JT$37+JU$36</f>
        <v/>
      </c>
      <c r="JV37" s="228">
        <f>JU$37+JV$36</f>
        <v/>
      </c>
      <c r="JW37" s="228">
        <f>JV$37+JW$36</f>
        <v/>
      </c>
      <c r="JX37" s="228">
        <f>JW$37+JX$36</f>
        <v/>
      </c>
      <c r="JY37" s="228">
        <f>JX$37+JY$36</f>
        <v/>
      </c>
      <c r="JZ37" s="228">
        <f>JY$37+JZ$36</f>
        <v/>
      </c>
      <c r="KA37" s="228">
        <f>JZ$37+KA$36</f>
        <v/>
      </c>
      <c r="KB37" s="228">
        <f>KA$37+KB$36</f>
        <v/>
      </c>
      <c r="KC37" s="228">
        <f>KB$37+KC$36</f>
        <v/>
      </c>
      <c r="KD37" s="228">
        <f>KC$37+KD$36</f>
        <v/>
      </c>
      <c r="KE37" s="228">
        <f>KD$37+KE$36</f>
        <v/>
      </c>
      <c r="KF37" s="228">
        <f>KE$37+KF$36</f>
        <v/>
      </c>
      <c r="KG37" s="228">
        <f>KF$37+KG$36</f>
        <v/>
      </c>
      <c r="KH37" s="228">
        <f>KG$37+KH$36</f>
        <v/>
      </c>
      <c r="KI37" s="228">
        <f>KH$37+KI$36</f>
        <v/>
      </c>
      <c r="KJ37" s="228">
        <f>KI$37+KJ$36</f>
        <v/>
      </c>
      <c r="KK37" s="228">
        <f>KJ$37+KK$36</f>
        <v/>
      </c>
      <c r="KL37" s="228">
        <f>KK$37+KL$36</f>
        <v/>
      </c>
      <c r="KM37" s="228">
        <f>KL$37+KM$36</f>
        <v/>
      </c>
      <c r="KN37" s="228">
        <f>KM$37+KN$36</f>
        <v/>
      </c>
      <c r="KO37" s="228">
        <f>KN$37+KO$36</f>
        <v/>
      </c>
      <c r="KP37" s="228">
        <f>KO$37+KP$36</f>
        <v/>
      </c>
      <c r="KQ37" s="228">
        <f>KP$37+KQ$36</f>
        <v/>
      </c>
      <c r="KR37" s="228">
        <f>KQ$37+KR$36</f>
        <v/>
      </c>
      <c r="KS37" s="228">
        <f>KR$37+KS$36</f>
        <v/>
      </c>
      <c r="KT37" s="228">
        <f>KS$37+KT$36</f>
        <v/>
      </c>
      <c r="KU37" s="228">
        <f>KT$37+KU$36</f>
        <v/>
      </c>
      <c r="KV37" s="228">
        <f>KU$37+KV$36</f>
        <v/>
      </c>
      <c r="KW37" s="228">
        <f>KV$37+KW$36</f>
        <v/>
      </c>
      <c r="KX37" s="228">
        <f>KW$37+KX$36</f>
        <v/>
      </c>
      <c r="KY37" s="228">
        <f>KX$37+KY$36</f>
        <v/>
      </c>
      <c r="KZ37" s="228">
        <f>KY$37+KZ$36</f>
        <v/>
      </c>
      <c r="LA37" s="228">
        <f>KZ$37+LA$36</f>
        <v/>
      </c>
      <c r="LB37" s="228">
        <f>LA$37+LB$36</f>
        <v/>
      </c>
      <c r="LC37" s="228">
        <f>LB$37+LC$36</f>
        <v/>
      </c>
      <c r="LD37" s="228">
        <f>LC$37+LD$36</f>
        <v/>
      </c>
      <c r="LE37" s="228">
        <f>LD$37+LE$36</f>
        <v/>
      </c>
      <c r="LF37" s="228">
        <f>LE$37+LF$36</f>
        <v/>
      </c>
      <c r="LG37" s="228">
        <f>LF$37+LG$36</f>
        <v/>
      </c>
      <c r="LH37" s="228">
        <f>LG$37+LH$36</f>
        <v/>
      </c>
      <c r="LI37" s="228">
        <f>LH$37+LI$36</f>
        <v/>
      </c>
      <c r="LJ37" s="228">
        <f>LI$37+LJ$36</f>
        <v/>
      </c>
      <c r="LK37" s="228">
        <f>LJ$37+LK$36</f>
        <v/>
      </c>
      <c r="LL37" s="228">
        <f>LK$37+LL$36</f>
        <v/>
      </c>
      <c r="LM37" s="228">
        <f>LL$37+LM$36</f>
        <v/>
      </c>
      <c r="LN37" s="228">
        <f>LM$37+LN$36</f>
        <v/>
      </c>
      <c r="LO37" s="228">
        <f>LN$37+LO$36</f>
        <v/>
      </c>
      <c r="LP37" s="228">
        <f>LO$37+LP$36</f>
        <v/>
      </c>
      <c r="LQ37" s="228">
        <f>LP$37+LQ$36</f>
        <v/>
      </c>
      <c r="LR37" s="228">
        <f>LQ$37+LR$36</f>
        <v/>
      </c>
      <c r="LS37" s="228">
        <f>LR$37+LS$36</f>
        <v/>
      </c>
      <c r="LT37" s="228">
        <f>LS$37+LT$36</f>
        <v/>
      </c>
      <c r="LU37" s="228">
        <f>LT$37+LU$36</f>
        <v/>
      </c>
      <c r="LV37" s="228">
        <f>LU$37+LV$36</f>
        <v/>
      </c>
      <c r="LW37" s="228">
        <f>LV$37+LW$36</f>
        <v/>
      </c>
      <c r="LX37" s="228">
        <f>LW$37+LX$36</f>
        <v/>
      </c>
      <c r="LY37" s="228">
        <f>LX$37+LY$36</f>
        <v/>
      </c>
      <c r="LZ37" s="228">
        <f>LY$37+LZ$36</f>
        <v/>
      </c>
      <c r="MA37" s="228">
        <f>LZ$37+MA$36</f>
        <v/>
      </c>
      <c r="MB37" s="228">
        <f>MA$37+MB$36</f>
        <v/>
      </c>
      <c r="MC37" s="228">
        <f>MB$37+MC$36</f>
        <v/>
      </c>
      <c r="MD37" s="228">
        <f>MC$37+MD$36</f>
        <v/>
      </c>
      <c r="ME37" s="228">
        <f>MD$37+ME$36</f>
        <v/>
      </c>
      <c r="MF37" s="228">
        <f>ME$37+MF$36</f>
        <v/>
      </c>
      <c r="MG37" s="228">
        <f>MF$37+MG$36</f>
        <v/>
      </c>
      <c r="MH37" s="228">
        <f>MG$37+MH$36</f>
        <v/>
      </c>
      <c r="MI37" s="228">
        <f>MH$37+MI$36</f>
        <v/>
      </c>
      <c r="MJ37" s="228">
        <f>MI$37+MJ$36</f>
        <v/>
      </c>
      <c r="MK37" s="228">
        <f>MJ$37+MK$36</f>
        <v/>
      </c>
      <c r="ML37" s="228">
        <f>MK$37+ML$36</f>
        <v/>
      </c>
      <c r="MM37" s="228">
        <f>ML$37+MM$36</f>
        <v/>
      </c>
      <c r="MN37" s="228">
        <f>MM$37+MN$36</f>
        <v/>
      </c>
      <c r="MO37" s="228">
        <f>MN$37+MO$36</f>
        <v/>
      </c>
      <c r="MP37" s="228">
        <f>MO$37+MP$36</f>
        <v/>
      </c>
      <c r="MQ37" s="228">
        <f>MP$37+MQ$36</f>
        <v/>
      </c>
      <c r="MR37" s="228">
        <f>MQ$37+MR$36</f>
        <v/>
      </c>
      <c r="MS37" s="228">
        <f>MR$37+MS$36</f>
        <v/>
      </c>
      <c r="MT37" s="228">
        <f>MS$37+MT$36</f>
        <v/>
      </c>
      <c r="MU37" s="228">
        <f>MT$37+MU$36</f>
        <v/>
      </c>
      <c r="MV37" s="228">
        <f>MU$37+MV$36</f>
        <v/>
      </c>
      <c r="MW37" s="228">
        <f>MV$37+MW$36</f>
        <v/>
      </c>
      <c r="MX37" s="228">
        <f>MW$37+MX$36</f>
        <v/>
      </c>
      <c r="MY37" s="228">
        <f>MX$37+MY$36</f>
        <v/>
      </c>
      <c r="MZ37" s="228">
        <f>MY$37+MZ$36</f>
        <v/>
      </c>
      <c r="NA37" s="228">
        <f>MZ$37+NA$36</f>
        <v/>
      </c>
      <c r="NB37" s="228">
        <f>NA$37+NB$36</f>
        <v/>
      </c>
      <c r="NC37" s="228">
        <f>NB$37+NC$36</f>
        <v/>
      </c>
      <c r="ND37" s="228">
        <f>NC$37+ND$36</f>
        <v/>
      </c>
      <c r="NE37" s="228">
        <f>ND$37+NE$36</f>
        <v/>
      </c>
      <c r="NF37" s="228">
        <f>NE$37+NF$36</f>
        <v/>
      </c>
      <c r="NG37" s="228">
        <f>NF$37+NG$36</f>
        <v/>
      </c>
      <c r="NH37" s="228">
        <f>NG$37+NH$36</f>
        <v/>
      </c>
      <c r="NI37" s="228">
        <f>NH$37+NI$36</f>
        <v/>
      </c>
      <c r="NJ37" s="228">
        <f>NI$37+NJ$36</f>
        <v/>
      </c>
      <c r="NK37" s="228">
        <f>NJ$37+NK$36</f>
        <v/>
      </c>
      <c r="NL37" s="247">
        <f>NK$37+NL$36</f>
        <v/>
      </c>
    </row>
    <row r="38">
      <c r="B38" s="36" t="inlineStr">
        <is>
          <t>Construction-Period Property Tax</t>
        </is>
      </c>
      <c r="D38" s="246">
        <f>SUM(E38:NL38)</f>
        <v/>
      </c>
      <c r="E38" s="228">
        <f>IF(AND(1&gt;=MS_Initial_Closing_Start,1&lt;TaxOpStartMonth),(LandCost+E$37)*EffTaxRateOnValue/12,0)</f>
        <v/>
      </c>
      <c r="F38" s="228">
        <f>IF(AND(2&gt;=MS_Initial_Closing_Start,2&lt;TaxOpStartMonth),(LandCost+F$37)*EffTaxRateOnValue/12,0)</f>
        <v/>
      </c>
      <c r="G38" s="228">
        <f>IF(AND(3&gt;=MS_Initial_Closing_Start,3&lt;TaxOpStartMonth),(LandCost+G$37)*EffTaxRateOnValue/12,0)</f>
        <v/>
      </c>
      <c r="H38" s="228">
        <f>IF(AND(4&gt;=MS_Initial_Closing_Start,4&lt;TaxOpStartMonth),(LandCost+H$37)*EffTaxRateOnValue/12,0)</f>
        <v/>
      </c>
      <c r="I38" s="228">
        <f>IF(AND(5&gt;=MS_Initial_Closing_Start,5&lt;TaxOpStartMonth),(LandCost+I$37)*EffTaxRateOnValue/12,0)</f>
        <v/>
      </c>
      <c r="J38" s="228">
        <f>IF(AND(6&gt;=MS_Initial_Closing_Start,6&lt;TaxOpStartMonth),(LandCost+J$37)*EffTaxRateOnValue/12,0)</f>
        <v/>
      </c>
      <c r="K38" s="228">
        <f>IF(AND(7&gt;=MS_Initial_Closing_Start,7&lt;TaxOpStartMonth),(LandCost+K$37)*EffTaxRateOnValue/12,0)</f>
        <v/>
      </c>
      <c r="L38" s="228">
        <f>IF(AND(8&gt;=MS_Initial_Closing_Start,8&lt;TaxOpStartMonth),(LandCost+L$37)*EffTaxRateOnValue/12,0)</f>
        <v/>
      </c>
      <c r="M38" s="228">
        <f>IF(AND(9&gt;=MS_Initial_Closing_Start,9&lt;TaxOpStartMonth),(LandCost+M$37)*EffTaxRateOnValue/12,0)</f>
        <v/>
      </c>
      <c r="N38" s="228">
        <f>IF(AND(10&gt;=MS_Initial_Closing_Start,10&lt;TaxOpStartMonth),(LandCost+N$37)*EffTaxRateOnValue/12,0)</f>
        <v/>
      </c>
      <c r="O38" s="228">
        <f>IF(AND(11&gt;=MS_Initial_Closing_Start,11&lt;TaxOpStartMonth),(LandCost+O$37)*EffTaxRateOnValue/12,0)</f>
        <v/>
      </c>
      <c r="P38" s="228">
        <f>IF(AND(12&gt;=MS_Initial_Closing_Start,12&lt;TaxOpStartMonth),(LandCost+P$37)*EffTaxRateOnValue/12,0)</f>
        <v/>
      </c>
      <c r="Q38" s="228">
        <f>IF(AND(13&gt;=MS_Initial_Closing_Start,13&lt;TaxOpStartMonth),(LandCost+Q$37)*EffTaxRateOnValue/12,0)</f>
        <v/>
      </c>
      <c r="R38" s="228">
        <f>IF(AND(14&gt;=MS_Initial_Closing_Start,14&lt;TaxOpStartMonth),(LandCost+R$37)*EffTaxRateOnValue/12,0)</f>
        <v/>
      </c>
      <c r="S38" s="228">
        <f>IF(AND(15&gt;=MS_Initial_Closing_Start,15&lt;TaxOpStartMonth),(LandCost+S$37)*EffTaxRateOnValue/12,0)</f>
        <v/>
      </c>
      <c r="T38" s="228">
        <f>IF(AND(16&gt;=MS_Initial_Closing_Start,16&lt;TaxOpStartMonth),(LandCost+T$37)*EffTaxRateOnValue/12,0)</f>
        <v/>
      </c>
      <c r="U38" s="228">
        <f>IF(AND(17&gt;=MS_Initial_Closing_Start,17&lt;TaxOpStartMonth),(LandCost+U$37)*EffTaxRateOnValue/12,0)</f>
        <v/>
      </c>
      <c r="V38" s="228">
        <f>IF(AND(18&gt;=MS_Initial_Closing_Start,18&lt;TaxOpStartMonth),(LandCost+V$37)*EffTaxRateOnValue/12,0)</f>
        <v/>
      </c>
      <c r="W38" s="228">
        <f>IF(AND(19&gt;=MS_Initial_Closing_Start,19&lt;TaxOpStartMonth),(LandCost+W$37)*EffTaxRateOnValue/12,0)</f>
        <v/>
      </c>
      <c r="X38" s="228">
        <f>IF(AND(20&gt;=MS_Initial_Closing_Start,20&lt;TaxOpStartMonth),(LandCost+X$37)*EffTaxRateOnValue/12,0)</f>
        <v/>
      </c>
      <c r="Y38" s="228">
        <f>IF(AND(21&gt;=MS_Initial_Closing_Start,21&lt;TaxOpStartMonth),(LandCost+Y$37)*EffTaxRateOnValue/12,0)</f>
        <v/>
      </c>
      <c r="Z38" s="228">
        <f>IF(AND(22&gt;=MS_Initial_Closing_Start,22&lt;TaxOpStartMonth),(LandCost+Z$37)*EffTaxRateOnValue/12,0)</f>
        <v/>
      </c>
      <c r="AA38" s="228">
        <f>IF(AND(23&gt;=MS_Initial_Closing_Start,23&lt;TaxOpStartMonth),(LandCost+AA$37)*EffTaxRateOnValue/12,0)</f>
        <v/>
      </c>
      <c r="AB38" s="228">
        <f>IF(AND(24&gt;=MS_Initial_Closing_Start,24&lt;TaxOpStartMonth),(LandCost+AB$37)*EffTaxRateOnValue/12,0)</f>
        <v/>
      </c>
      <c r="AC38" s="228">
        <f>IF(AND(25&gt;=MS_Initial_Closing_Start,25&lt;TaxOpStartMonth),(LandCost+AC$37)*EffTaxRateOnValue/12,0)</f>
        <v/>
      </c>
      <c r="AD38" s="228">
        <f>IF(AND(26&gt;=MS_Initial_Closing_Start,26&lt;TaxOpStartMonth),(LandCost+AD$37)*EffTaxRateOnValue/12,0)</f>
        <v/>
      </c>
      <c r="AE38" s="228">
        <f>IF(AND(27&gt;=MS_Initial_Closing_Start,27&lt;TaxOpStartMonth),(LandCost+AE$37)*EffTaxRateOnValue/12,0)</f>
        <v/>
      </c>
      <c r="AF38" s="228">
        <f>IF(AND(28&gt;=MS_Initial_Closing_Start,28&lt;TaxOpStartMonth),(LandCost+AF$37)*EffTaxRateOnValue/12,0)</f>
        <v/>
      </c>
      <c r="AG38" s="228">
        <f>IF(AND(29&gt;=MS_Initial_Closing_Start,29&lt;TaxOpStartMonth),(LandCost+AG$37)*EffTaxRateOnValue/12,0)</f>
        <v/>
      </c>
      <c r="AH38" s="228">
        <f>IF(AND(30&gt;=MS_Initial_Closing_Start,30&lt;TaxOpStartMonth),(LandCost+AH$37)*EffTaxRateOnValue/12,0)</f>
        <v/>
      </c>
      <c r="AI38" s="228">
        <f>IF(AND(31&gt;=MS_Initial_Closing_Start,31&lt;TaxOpStartMonth),(LandCost+AI$37)*EffTaxRateOnValue/12,0)</f>
        <v/>
      </c>
      <c r="AJ38" s="228">
        <f>IF(AND(32&gt;=MS_Initial_Closing_Start,32&lt;TaxOpStartMonth),(LandCost+AJ$37)*EffTaxRateOnValue/12,0)</f>
        <v/>
      </c>
      <c r="AK38" s="228">
        <f>IF(AND(33&gt;=MS_Initial_Closing_Start,33&lt;TaxOpStartMonth),(LandCost+AK$37)*EffTaxRateOnValue/12,0)</f>
        <v/>
      </c>
      <c r="AL38" s="228">
        <f>IF(AND(34&gt;=MS_Initial_Closing_Start,34&lt;TaxOpStartMonth),(LandCost+AL$37)*EffTaxRateOnValue/12,0)</f>
        <v/>
      </c>
      <c r="AM38" s="228">
        <f>IF(AND(35&gt;=MS_Initial_Closing_Start,35&lt;TaxOpStartMonth),(LandCost+AM$37)*EffTaxRateOnValue/12,0)</f>
        <v/>
      </c>
      <c r="AN38" s="228">
        <f>IF(AND(36&gt;=MS_Initial_Closing_Start,36&lt;TaxOpStartMonth),(LandCost+AN$37)*EffTaxRateOnValue/12,0)</f>
        <v/>
      </c>
      <c r="AO38" s="228">
        <f>IF(AND(37&gt;=MS_Initial_Closing_Start,37&lt;TaxOpStartMonth),(LandCost+AO$37)*EffTaxRateOnValue/12,0)</f>
        <v/>
      </c>
      <c r="AP38" s="228">
        <f>IF(AND(38&gt;=MS_Initial_Closing_Start,38&lt;TaxOpStartMonth),(LandCost+AP$37)*EffTaxRateOnValue/12,0)</f>
        <v/>
      </c>
      <c r="AQ38" s="228">
        <f>IF(AND(39&gt;=MS_Initial_Closing_Start,39&lt;TaxOpStartMonth),(LandCost+AQ$37)*EffTaxRateOnValue/12,0)</f>
        <v/>
      </c>
      <c r="AR38" s="228">
        <f>IF(AND(40&gt;=MS_Initial_Closing_Start,40&lt;TaxOpStartMonth),(LandCost+AR$37)*EffTaxRateOnValue/12,0)</f>
        <v/>
      </c>
      <c r="AS38" s="228">
        <f>IF(AND(41&gt;=MS_Initial_Closing_Start,41&lt;TaxOpStartMonth),(LandCost+AS$37)*EffTaxRateOnValue/12,0)</f>
        <v/>
      </c>
      <c r="AT38" s="228">
        <f>IF(AND(42&gt;=MS_Initial_Closing_Start,42&lt;TaxOpStartMonth),(LandCost+AT$37)*EffTaxRateOnValue/12,0)</f>
        <v/>
      </c>
      <c r="AU38" s="228">
        <f>IF(AND(43&gt;=MS_Initial_Closing_Start,43&lt;TaxOpStartMonth),(LandCost+AU$37)*EffTaxRateOnValue/12,0)</f>
        <v/>
      </c>
      <c r="AV38" s="228">
        <f>IF(AND(44&gt;=MS_Initial_Closing_Start,44&lt;TaxOpStartMonth),(LandCost+AV$37)*EffTaxRateOnValue/12,0)</f>
        <v/>
      </c>
      <c r="AW38" s="228">
        <f>IF(AND(45&gt;=MS_Initial_Closing_Start,45&lt;TaxOpStartMonth),(LandCost+AW$37)*EffTaxRateOnValue/12,0)</f>
        <v/>
      </c>
      <c r="AX38" s="228">
        <f>IF(AND(46&gt;=MS_Initial_Closing_Start,46&lt;TaxOpStartMonth),(LandCost+AX$37)*EffTaxRateOnValue/12,0)</f>
        <v/>
      </c>
      <c r="AY38" s="228">
        <f>IF(AND(47&gt;=MS_Initial_Closing_Start,47&lt;TaxOpStartMonth),(LandCost+AY$37)*EffTaxRateOnValue/12,0)</f>
        <v/>
      </c>
      <c r="AZ38" s="228">
        <f>IF(AND(48&gt;=MS_Initial_Closing_Start,48&lt;TaxOpStartMonth),(LandCost+AZ$37)*EffTaxRateOnValue/12,0)</f>
        <v/>
      </c>
      <c r="BA38" s="228">
        <f>IF(AND(49&gt;=MS_Initial_Closing_Start,49&lt;TaxOpStartMonth),(LandCost+BA$37)*EffTaxRateOnValue/12,0)</f>
        <v/>
      </c>
      <c r="BB38" s="228">
        <f>IF(AND(50&gt;=MS_Initial_Closing_Start,50&lt;TaxOpStartMonth),(LandCost+BB$37)*EffTaxRateOnValue/12,0)</f>
        <v/>
      </c>
      <c r="BC38" s="228">
        <f>IF(AND(51&gt;=MS_Initial_Closing_Start,51&lt;TaxOpStartMonth),(LandCost+BC$37)*EffTaxRateOnValue/12,0)</f>
        <v/>
      </c>
      <c r="BD38" s="228">
        <f>IF(AND(52&gt;=MS_Initial_Closing_Start,52&lt;TaxOpStartMonth),(LandCost+BD$37)*EffTaxRateOnValue/12,0)</f>
        <v/>
      </c>
      <c r="BE38" s="228">
        <f>IF(AND(53&gt;=MS_Initial_Closing_Start,53&lt;TaxOpStartMonth),(LandCost+BE$37)*EffTaxRateOnValue/12,0)</f>
        <v/>
      </c>
      <c r="BF38" s="228">
        <f>IF(AND(54&gt;=MS_Initial_Closing_Start,54&lt;TaxOpStartMonth),(LandCost+BF$37)*EffTaxRateOnValue/12,0)</f>
        <v/>
      </c>
      <c r="BG38" s="228">
        <f>IF(AND(55&gt;=MS_Initial_Closing_Start,55&lt;TaxOpStartMonth),(LandCost+BG$37)*EffTaxRateOnValue/12,0)</f>
        <v/>
      </c>
      <c r="BH38" s="228">
        <f>IF(AND(56&gt;=MS_Initial_Closing_Start,56&lt;TaxOpStartMonth),(LandCost+BH$37)*EffTaxRateOnValue/12,0)</f>
        <v/>
      </c>
      <c r="BI38" s="228">
        <f>IF(AND(57&gt;=MS_Initial_Closing_Start,57&lt;TaxOpStartMonth),(LandCost+BI$37)*EffTaxRateOnValue/12,0)</f>
        <v/>
      </c>
      <c r="BJ38" s="228">
        <f>IF(AND(58&gt;=MS_Initial_Closing_Start,58&lt;TaxOpStartMonth),(LandCost+BJ$37)*EffTaxRateOnValue/12,0)</f>
        <v/>
      </c>
      <c r="BK38" s="228">
        <f>IF(AND(59&gt;=MS_Initial_Closing_Start,59&lt;TaxOpStartMonth),(LandCost+BK$37)*EffTaxRateOnValue/12,0)</f>
        <v/>
      </c>
      <c r="BL38" s="228">
        <f>IF(AND(60&gt;=MS_Initial_Closing_Start,60&lt;TaxOpStartMonth),(LandCost+BL$37)*EffTaxRateOnValue/12,0)</f>
        <v/>
      </c>
      <c r="BM38" s="228">
        <f>IF(AND(61&gt;=MS_Initial_Closing_Start,61&lt;TaxOpStartMonth),(LandCost+BM$37)*EffTaxRateOnValue/12,0)</f>
        <v/>
      </c>
      <c r="BN38" s="228">
        <f>IF(AND(62&gt;=MS_Initial_Closing_Start,62&lt;TaxOpStartMonth),(LandCost+BN$37)*EffTaxRateOnValue/12,0)</f>
        <v/>
      </c>
      <c r="BO38" s="228">
        <f>IF(AND(63&gt;=MS_Initial_Closing_Start,63&lt;TaxOpStartMonth),(LandCost+BO$37)*EffTaxRateOnValue/12,0)</f>
        <v/>
      </c>
      <c r="BP38" s="228">
        <f>IF(AND(64&gt;=MS_Initial_Closing_Start,64&lt;TaxOpStartMonth),(LandCost+BP$37)*EffTaxRateOnValue/12,0)</f>
        <v/>
      </c>
      <c r="BQ38" s="228">
        <f>IF(AND(65&gt;=MS_Initial_Closing_Start,65&lt;TaxOpStartMonth),(LandCost+BQ$37)*EffTaxRateOnValue/12,0)</f>
        <v/>
      </c>
      <c r="BR38" s="228">
        <f>IF(AND(66&gt;=MS_Initial_Closing_Start,66&lt;TaxOpStartMonth),(LandCost+BR$37)*EffTaxRateOnValue/12,0)</f>
        <v/>
      </c>
      <c r="BS38" s="228">
        <f>IF(AND(67&gt;=MS_Initial_Closing_Start,67&lt;TaxOpStartMonth),(LandCost+BS$37)*EffTaxRateOnValue/12,0)</f>
        <v/>
      </c>
      <c r="BT38" s="228">
        <f>IF(AND(68&gt;=MS_Initial_Closing_Start,68&lt;TaxOpStartMonth),(LandCost+BT$37)*EffTaxRateOnValue/12,0)</f>
        <v/>
      </c>
      <c r="BU38" s="228">
        <f>IF(AND(69&gt;=MS_Initial_Closing_Start,69&lt;TaxOpStartMonth),(LandCost+BU$37)*EffTaxRateOnValue/12,0)</f>
        <v/>
      </c>
      <c r="BV38" s="228">
        <f>IF(AND(70&gt;=MS_Initial_Closing_Start,70&lt;TaxOpStartMonth),(LandCost+BV$37)*EffTaxRateOnValue/12,0)</f>
        <v/>
      </c>
      <c r="BW38" s="228">
        <f>IF(AND(71&gt;=MS_Initial_Closing_Start,71&lt;TaxOpStartMonth),(LandCost+BW$37)*EffTaxRateOnValue/12,0)</f>
        <v/>
      </c>
      <c r="BX38" s="228">
        <f>IF(AND(72&gt;=MS_Initial_Closing_Start,72&lt;TaxOpStartMonth),(LandCost+BX$37)*EffTaxRateOnValue/12,0)</f>
        <v/>
      </c>
      <c r="BY38" s="228">
        <f>IF(AND(73&gt;=MS_Initial_Closing_Start,73&lt;TaxOpStartMonth),(LandCost+BY$37)*EffTaxRateOnValue/12,0)</f>
        <v/>
      </c>
      <c r="BZ38" s="228">
        <f>IF(AND(74&gt;=MS_Initial_Closing_Start,74&lt;TaxOpStartMonth),(LandCost+BZ$37)*EffTaxRateOnValue/12,0)</f>
        <v/>
      </c>
      <c r="CA38" s="228">
        <f>IF(AND(75&gt;=MS_Initial_Closing_Start,75&lt;TaxOpStartMonth),(LandCost+CA$37)*EffTaxRateOnValue/12,0)</f>
        <v/>
      </c>
      <c r="CB38" s="228">
        <f>IF(AND(76&gt;=MS_Initial_Closing_Start,76&lt;TaxOpStartMonth),(LandCost+CB$37)*EffTaxRateOnValue/12,0)</f>
        <v/>
      </c>
      <c r="CC38" s="228">
        <f>IF(AND(77&gt;=MS_Initial_Closing_Start,77&lt;TaxOpStartMonth),(LandCost+CC$37)*EffTaxRateOnValue/12,0)</f>
        <v/>
      </c>
      <c r="CD38" s="228">
        <f>IF(AND(78&gt;=MS_Initial_Closing_Start,78&lt;TaxOpStartMonth),(LandCost+CD$37)*EffTaxRateOnValue/12,0)</f>
        <v/>
      </c>
      <c r="CE38" s="228">
        <f>IF(AND(79&gt;=MS_Initial_Closing_Start,79&lt;TaxOpStartMonth),(LandCost+CE$37)*EffTaxRateOnValue/12,0)</f>
        <v/>
      </c>
      <c r="CF38" s="228">
        <f>IF(AND(80&gt;=MS_Initial_Closing_Start,80&lt;TaxOpStartMonth),(LandCost+CF$37)*EffTaxRateOnValue/12,0)</f>
        <v/>
      </c>
      <c r="CG38" s="228">
        <f>IF(AND(81&gt;=MS_Initial_Closing_Start,81&lt;TaxOpStartMonth),(LandCost+CG$37)*EffTaxRateOnValue/12,0)</f>
        <v/>
      </c>
      <c r="CH38" s="228">
        <f>IF(AND(82&gt;=MS_Initial_Closing_Start,82&lt;TaxOpStartMonth),(LandCost+CH$37)*EffTaxRateOnValue/12,0)</f>
        <v/>
      </c>
      <c r="CI38" s="228">
        <f>IF(AND(83&gt;=MS_Initial_Closing_Start,83&lt;TaxOpStartMonth),(LandCost+CI$37)*EffTaxRateOnValue/12,0)</f>
        <v/>
      </c>
      <c r="CJ38" s="228">
        <f>IF(AND(84&gt;=MS_Initial_Closing_Start,84&lt;TaxOpStartMonth),(LandCost+CJ$37)*EffTaxRateOnValue/12,0)</f>
        <v/>
      </c>
      <c r="CK38" s="228">
        <f>IF(AND(85&gt;=MS_Initial_Closing_Start,85&lt;TaxOpStartMonth),(LandCost+CK$37)*EffTaxRateOnValue/12,0)</f>
        <v/>
      </c>
      <c r="CL38" s="228">
        <f>IF(AND(86&gt;=MS_Initial_Closing_Start,86&lt;TaxOpStartMonth),(LandCost+CL$37)*EffTaxRateOnValue/12,0)</f>
        <v/>
      </c>
      <c r="CM38" s="228">
        <f>IF(AND(87&gt;=MS_Initial_Closing_Start,87&lt;TaxOpStartMonth),(LandCost+CM$37)*EffTaxRateOnValue/12,0)</f>
        <v/>
      </c>
      <c r="CN38" s="228">
        <f>IF(AND(88&gt;=MS_Initial_Closing_Start,88&lt;TaxOpStartMonth),(LandCost+CN$37)*EffTaxRateOnValue/12,0)</f>
        <v/>
      </c>
      <c r="CO38" s="228">
        <f>IF(AND(89&gt;=MS_Initial_Closing_Start,89&lt;TaxOpStartMonth),(LandCost+CO$37)*EffTaxRateOnValue/12,0)</f>
        <v/>
      </c>
      <c r="CP38" s="228">
        <f>IF(AND(90&gt;=MS_Initial_Closing_Start,90&lt;TaxOpStartMonth),(LandCost+CP$37)*EffTaxRateOnValue/12,0)</f>
        <v/>
      </c>
      <c r="CQ38" s="228">
        <f>IF(AND(91&gt;=MS_Initial_Closing_Start,91&lt;TaxOpStartMonth),(LandCost+CQ$37)*EffTaxRateOnValue/12,0)</f>
        <v/>
      </c>
      <c r="CR38" s="228">
        <f>IF(AND(92&gt;=MS_Initial_Closing_Start,92&lt;TaxOpStartMonth),(LandCost+CR$37)*EffTaxRateOnValue/12,0)</f>
        <v/>
      </c>
      <c r="CS38" s="228">
        <f>IF(AND(93&gt;=MS_Initial_Closing_Start,93&lt;TaxOpStartMonth),(LandCost+CS$37)*EffTaxRateOnValue/12,0)</f>
        <v/>
      </c>
      <c r="CT38" s="228">
        <f>IF(AND(94&gt;=MS_Initial_Closing_Start,94&lt;TaxOpStartMonth),(LandCost+CT$37)*EffTaxRateOnValue/12,0)</f>
        <v/>
      </c>
      <c r="CU38" s="228">
        <f>IF(AND(95&gt;=MS_Initial_Closing_Start,95&lt;TaxOpStartMonth),(LandCost+CU$37)*EffTaxRateOnValue/12,0)</f>
        <v/>
      </c>
      <c r="CV38" s="228">
        <f>IF(AND(96&gt;=MS_Initial_Closing_Start,96&lt;TaxOpStartMonth),(LandCost+CV$37)*EffTaxRateOnValue/12,0)</f>
        <v/>
      </c>
      <c r="CW38" s="228">
        <f>IF(AND(97&gt;=MS_Initial_Closing_Start,97&lt;TaxOpStartMonth),(LandCost+CW$37)*EffTaxRateOnValue/12,0)</f>
        <v/>
      </c>
      <c r="CX38" s="228">
        <f>IF(AND(98&gt;=MS_Initial_Closing_Start,98&lt;TaxOpStartMonth),(LandCost+CX$37)*EffTaxRateOnValue/12,0)</f>
        <v/>
      </c>
      <c r="CY38" s="228">
        <f>IF(AND(99&gt;=MS_Initial_Closing_Start,99&lt;TaxOpStartMonth),(LandCost+CY$37)*EffTaxRateOnValue/12,0)</f>
        <v/>
      </c>
      <c r="CZ38" s="228">
        <f>IF(AND(100&gt;=MS_Initial_Closing_Start,100&lt;TaxOpStartMonth),(LandCost+CZ$37)*EffTaxRateOnValue/12,0)</f>
        <v/>
      </c>
      <c r="DA38" s="228">
        <f>IF(AND(101&gt;=MS_Initial_Closing_Start,101&lt;TaxOpStartMonth),(LandCost+DA$37)*EffTaxRateOnValue/12,0)</f>
        <v/>
      </c>
      <c r="DB38" s="228">
        <f>IF(AND(102&gt;=MS_Initial_Closing_Start,102&lt;TaxOpStartMonth),(LandCost+DB$37)*EffTaxRateOnValue/12,0)</f>
        <v/>
      </c>
      <c r="DC38" s="228">
        <f>IF(AND(103&gt;=MS_Initial_Closing_Start,103&lt;TaxOpStartMonth),(LandCost+DC$37)*EffTaxRateOnValue/12,0)</f>
        <v/>
      </c>
      <c r="DD38" s="228">
        <f>IF(AND(104&gt;=MS_Initial_Closing_Start,104&lt;TaxOpStartMonth),(LandCost+DD$37)*EffTaxRateOnValue/12,0)</f>
        <v/>
      </c>
      <c r="DE38" s="228">
        <f>IF(AND(105&gt;=MS_Initial_Closing_Start,105&lt;TaxOpStartMonth),(LandCost+DE$37)*EffTaxRateOnValue/12,0)</f>
        <v/>
      </c>
      <c r="DF38" s="228">
        <f>IF(AND(106&gt;=MS_Initial_Closing_Start,106&lt;TaxOpStartMonth),(LandCost+DF$37)*EffTaxRateOnValue/12,0)</f>
        <v/>
      </c>
      <c r="DG38" s="228">
        <f>IF(AND(107&gt;=MS_Initial_Closing_Start,107&lt;TaxOpStartMonth),(LandCost+DG$37)*EffTaxRateOnValue/12,0)</f>
        <v/>
      </c>
      <c r="DH38" s="228">
        <f>IF(AND(108&gt;=MS_Initial_Closing_Start,108&lt;TaxOpStartMonth),(LandCost+DH$37)*EffTaxRateOnValue/12,0)</f>
        <v/>
      </c>
      <c r="DI38" s="228">
        <f>IF(AND(109&gt;=MS_Initial_Closing_Start,109&lt;TaxOpStartMonth),(LandCost+DI$37)*EffTaxRateOnValue/12,0)</f>
        <v/>
      </c>
      <c r="DJ38" s="228">
        <f>IF(AND(110&gt;=MS_Initial_Closing_Start,110&lt;TaxOpStartMonth),(LandCost+DJ$37)*EffTaxRateOnValue/12,0)</f>
        <v/>
      </c>
      <c r="DK38" s="228">
        <f>IF(AND(111&gt;=MS_Initial_Closing_Start,111&lt;TaxOpStartMonth),(LandCost+DK$37)*EffTaxRateOnValue/12,0)</f>
        <v/>
      </c>
      <c r="DL38" s="228">
        <f>IF(AND(112&gt;=MS_Initial_Closing_Start,112&lt;TaxOpStartMonth),(LandCost+DL$37)*EffTaxRateOnValue/12,0)</f>
        <v/>
      </c>
      <c r="DM38" s="228">
        <f>IF(AND(113&gt;=MS_Initial_Closing_Start,113&lt;TaxOpStartMonth),(LandCost+DM$37)*EffTaxRateOnValue/12,0)</f>
        <v/>
      </c>
      <c r="DN38" s="228">
        <f>IF(AND(114&gt;=MS_Initial_Closing_Start,114&lt;TaxOpStartMonth),(LandCost+DN$37)*EffTaxRateOnValue/12,0)</f>
        <v/>
      </c>
      <c r="DO38" s="228">
        <f>IF(AND(115&gt;=MS_Initial_Closing_Start,115&lt;TaxOpStartMonth),(LandCost+DO$37)*EffTaxRateOnValue/12,0)</f>
        <v/>
      </c>
      <c r="DP38" s="228">
        <f>IF(AND(116&gt;=MS_Initial_Closing_Start,116&lt;TaxOpStartMonth),(LandCost+DP$37)*EffTaxRateOnValue/12,0)</f>
        <v/>
      </c>
      <c r="DQ38" s="228">
        <f>IF(AND(117&gt;=MS_Initial_Closing_Start,117&lt;TaxOpStartMonth),(LandCost+DQ$37)*EffTaxRateOnValue/12,0)</f>
        <v/>
      </c>
      <c r="DR38" s="228">
        <f>IF(AND(118&gt;=MS_Initial_Closing_Start,118&lt;TaxOpStartMonth),(LandCost+DR$37)*EffTaxRateOnValue/12,0)</f>
        <v/>
      </c>
      <c r="DS38" s="228">
        <f>IF(AND(119&gt;=MS_Initial_Closing_Start,119&lt;TaxOpStartMonth),(LandCost+DS$37)*EffTaxRateOnValue/12,0)</f>
        <v/>
      </c>
      <c r="DT38" s="228">
        <f>IF(AND(120&gt;=MS_Initial_Closing_Start,120&lt;TaxOpStartMonth),(LandCost+DT$37)*EffTaxRateOnValue/12,0)</f>
        <v/>
      </c>
      <c r="DU38" s="228">
        <f>IF(AND(121&gt;=MS_Initial_Closing_Start,121&lt;TaxOpStartMonth),(LandCost+DU$37)*EffTaxRateOnValue/12,0)</f>
        <v/>
      </c>
      <c r="DV38" s="228">
        <f>IF(AND(122&gt;=MS_Initial_Closing_Start,122&lt;TaxOpStartMonth),(LandCost+DV$37)*EffTaxRateOnValue/12,0)</f>
        <v/>
      </c>
      <c r="DW38" s="228">
        <f>IF(AND(123&gt;=MS_Initial_Closing_Start,123&lt;TaxOpStartMonth),(LandCost+DW$37)*EffTaxRateOnValue/12,0)</f>
        <v/>
      </c>
      <c r="DX38" s="228">
        <f>IF(AND(124&gt;=MS_Initial_Closing_Start,124&lt;TaxOpStartMonth),(LandCost+DX$37)*EffTaxRateOnValue/12,0)</f>
        <v/>
      </c>
      <c r="DY38" s="228">
        <f>IF(AND(125&gt;=MS_Initial_Closing_Start,125&lt;TaxOpStartMonth),(LandCost+DY$37)*EffTaxRateOnValue/12,0)</f>
        <v/>
      </c>
      <c r="DZ38" s="228">
        <f>IF(AND(126&gt;=MS_Initial_Closing_Start,126&lt;TaxOpStartMonth),(LandCost+DZ$37)*EffTaxRateOnValue/12,0)</f>
        <v/>
      </c>
      <c r="EA38" s="228">
        <f>IF(AND(127&gt;=MS_Initial_Closing_Start,127&lt;TaxOpStartMonth),(LandCost+EA$37)*EffTaxRateOnValue/12,0)</f>
        <v/>
      </c>
      <c r="EB38" s="228">
        <f>IF(AND(128&gt;=MS_Initial_Closing_Start,128&lt;TaxOpStartMonth),(LandCost+EB$37)*EffTaxRateOnValue/12,0)</f>
        <v/>
      </c>
      <c r="EC38" s="228">
        <f>IF(AND(129&gt;=MS_Initial_Closing_Start,129&lt;TaxOpStartMonth),(LandCost+EC$37)*EffTaxRateOnValue/12,0)</f>
        <v/>
      </c>
      <c r="ED38" s="228">
        <f>IF(AND(130&gt;=MS_Initial_Closing_Start,130&lt;TaxOpStartMonth),(LandCost+ED$37)*EffTaxRateOnValue/12,0)</f>
        <v/>
      </c>
      <c r="EE38" s="228">
        <f>IF(AND(131&gt;=MS_Initial_Closing_Start,131&lt;TaxOpStartMonth),(LandCost+EE$37)*EffTaxRateOnValue/12,0)</f>
        <v/>
      </c>
      <c r="EF38" s="228">
        <f>IF(AND(132&gt;=MS_Initial_Closing_Start,132&lt;TaxOpStartMonth),(LandCost+EF$37)*EffTaxRateOnValue/12,0)</f>
        <v/>
      </c>
      <c r="EG38" s="228">
        <f>IF(AND(133&gt;=MS_Initial_Closing_Start,133&lt;TaxOpStartMonth),(LandCost+EG$37)*EffTaxRateOnValue/12,0)</f>
        <v/>
      </c>
      <c r="EH38" s="228">
        <f>IF(AND(134&gt;=MS_Initial_Closing_Start,134&lt;TaxOpStartMonth),(LandCost+EH$37)*EffTaxRateOnValue/12,0)</f>
        <v/>
      </c>
      <c r="EI38" s="228">
        <f>IF(AND(135&gt;=MS_Initial_Closing_Start,135&lt;TaxOpStartMonth),(LandCost+EI$37)*EffTaxRateOnValue/12,0)</f>
        <v/>
      </c>
      <c r="EJ38" s="228">
        <f>IF(AND(136&gt;=MS_Initial_Closing_Start,136&lt;TaxOpStartMonth),(LandCost+EJ$37)*EffTaxRateOnValue/12,0)</f>
        <v/>
      </c>
      <c r="EK38" s="228">
        <f>IF(AND(137&gt;=MS_Initial_Closing_Start,137&lt;TaxOpStartMonth),(LandCost+EK$37)*EffTaxRateOnValue/12,0)</f>
        <v/>
      </c>
      <c r="EL38" s="228">
        <f>IF(AND(138&gt;=MS_Initial_Closing_Start,138&lt;TaxOpStartMonth),(LandCost+EL$37)*EffTaxRateOnValue/12,0)</f>
        <v/>
      </c>
      <c r="EM38" s="228">
        <f>IF(AND(139&gt;=MS_Initial_Closing_Start,139&lt;TaxOpStartMonth),(LandCost+EM$37)*EffTaxRateOnValue/12,0)</f>
        <v/>
      </c>
      <c r="EN38" s="228">
        <f>IF(AND(140&gt;=MS_Initial_Closing_Start,140&lt;TaxOpStartMonth),(LandCost+EN$37)*EffTaxRateOnValue/12,0)</f>
        <v/>
      </c>
      <c r="EO38" s="228">
        <f>IF(AND(141&gt;=MS_Initial_Closing_Start,141&lt;TaxOpStartMonth),(LandCost+EO$37)*EffTaxRateOnValue/12,0)</f>
        <v/>
      </c>
      <c r="EP38" s="228">
        <f>IF(AND(142&gt;=MS_Initial_Closing_Start,142&lt;TaxOpStartMonth),(LandCost+EP$37)*EffTaxRateOnValue/12,0)</f>
        <v/>
      </c>
      <c r="EQ38" s="228">
        <f>IF(AND(143&gt;=MS_Initial_Closing_Start,143&lt;TaxOpStartMonth),(LandCost+EQ$37)*EffTaxRateOnValue/12,0)</f>
        <v/>
      </c>
      <c r="ER38" s="228">
        <f>IF(AND(144&gt;=MS_Initial_Closing_Start,144&lt;TaxOpStartMonth),(LandCost+ER$37)*EffTaxRateOnValue/12,0)</f>
        <v/>
      </c>
      <c r="ES38" s="228">
        <f>IF(AND(145&gt;=MS_Initial_Closing_Start,145&lt;TaxOpStartMonth),(LandCost+ES$37)*EffTaxRateOnValue/12,0)</f>
        <v/>
      </c>
      <c r="ET38" s="228">
        <f>IF(AND(146&gt;=MS_Initial_Closing_Start,146&lt;TaxOpStartMonth),(LandCost+ET$37)*EffTaxRateOnValue/12,0)</f>
        <v/>
      </c>
      <c r="EU38" s="228">
        <f>IF(AND(147&gt;=MS_Initial_Closing_Start,147&lt;TaxOpStartMonth),(LandCost+EU$37)*EffTaxRateOnValue/12,0)</f>
        <v/>
      </c>
      <c r="EV38" s="228">
        <f>IF(AND(148&gt;=MS_Initial_Closing_Start,148&lt;TaxOpStartMonth),(LandCost+EV$37)*EffTaxRateOnValue/12,0)</f>
        <v/>
      </c>
      <c r="EW38" s="228">
        <f>IF(AND(149&gt;=MS_Initial_Closing_Start,149&lt;TaxOpStartMonth),(LandCost+EW$37)*EffTaxRateOnValue/12,0)</f>
        <v/>
      </c>
      <c r="EX38" s="228">
        <f>IF(AND(150&gt;=MS_Initial_Closing_Start,150&lt;TaxOpStartMonth),(LandCost+EX$37)*EffTaxRateOnValue/12,0)</f>
        <v/>
      </c>
      <c r="EY38" s="228">
        <f>IF(AND(151&gt;=MS_Initial_Closing_Start,151&lt;TaxOpStartMonth),(LandCost+EY$37)*EffTaxRateOnValue/12,0)</f>
        <v/>
      </c>
      <c r="EZ38" s="228">
        <f>IF(AND(152&gt;=MS_Initial_Closing_Start,152&lt;TaxOpStartMonth),(LandCost+EZ$37)*EffTaxRateOnValue/12,0)</f>
        <v/>
      </c>
      <c r="FA38" s="228">
        <f>IF(AND(153&gt;=MS_Initial_Closing_Start,153&lt;TaxOpStartMonth),(LandCost+FA$37)*EffTaxRateOnValue/12,0)</f>
        <v/>
      </c>
      <c r="FB38" s="228">
        <f>IF(AND(154&gt;=MS_Initial_Closing_Start,154&lt;TaxOpStartMonth),(LandCost+FB$37)*EffTaxRateOnValue/12,0)</f>
        <v/>
      </c>
      <c r="FC38" s="228">
        <f>IF(AND(155&gt;=MS_Initial_Closing_Start,155&lt;TaxOpStartMonth),(LandCost+FC$37)*EffTaxRateOnValue/12,0)</f>
        <v/>
      </c>
      <c r="FD38" s="228">
        <f>IF(AND(156&gt;=MS_Initial_Closing_Start,156&lt;TaxOpStartMonth),(LandCost+FD$37)*EffTaxRateOnValue/12,0)</f>
        <v/>
      </c>
      <c r="FE38" s="228">
        <f>IF(AND(157&gt;=MS_Initial_Closing_Start,157&lt;TaxOpStartMonth),(LandCost+FE$37)*EffTaxRateOnValue/12,0)</f>
        <v/>
      </c>
      <c r="FF38" s="228">
        <f>IF(AND(158&gt;=MS_Initial_Closing_Start,158&lt;TaxOpStartMonth),(LandCost+FF$37)*EffTaxRateOnValue/12,0)</f>
        <v/>
      </c>
      <c r="FG38" s="228">
        <f>IF(AND(159&gt;=MS_Initial_Closing_Start,159&lt;TaxOpStartMonth),(LandCost+FG$37)*EffTaxRateOnValue/12,0)</f>
        <v/>
      </c>
      <c r="FH38" s="228">
        <f>IF(AND(160&gt;=MS_Initial_Closing_Start,160&lt;TaxOpStartMonth),(LandCost+FH$37)*EffTaxRateOnValue/12,0)</f>
        <v/>
      </c>
      <c r="FI38" s="228">
        <f>IF(AND(161&gt;=MS_Initial_Closing_Start,161&lt;TaxOpStartMonth),(LandCost+FI$37)*EffTaxRateOnValue/12,0)</f>
        <v/>
      </c>
      <c r="FJ38" s="228">
        <f>IF(AND(162&gt;=MS_Initial_Closing_Start,162&lt;TaxOpStartMonth),(LandCost+FJ$37)*EffTaxRateOnValue/12,0)</f>
        <v/>
      </c>
      <c r="FK38" s="228">
        <f>IF(AND(163&gt;=MS_Initial_Closing_Start,163&lt;TaxOpStartMonth),(LandCost+FK$37)*EffTaxRateOnValue/12,0)</f>
        <v/>
      </c>
      <c r="FL38" s="228">
        <f>IF(AND(164&gt;=MS_Initial_Closing_Start,164&lt;TaxOpStartMonth),(LandCost+FL$37)*EffTaxRateOnValue/12,0)</f>
        <v/>
      </c>
      <c r="FM38" s="228">
        <f>IF(AND(165&gt;=MS_Initial_Closing_Start,165&lt;TaxOpStartMonth),(LandCost+FM$37)*EffTaxRateOnValue/12,0)</f>
        <v/>
      </c>
      <c r="FN38" s="228">
        <f>IF(AND(166&gt;=MS_Initial_Closing_Start,166&lt;TaxOpStartMonth),(LandCost+FN$37)*EffTaxRateOnValue/12,0)</f>
        <v/>
      </c>
      <c r="FO38" s="228">
        <f>IF(AND(167&gt;=MS_Initial_Closing_Start,167&lt;TaxOpStartMonth),(LandCost+FO$37)*EffTaxRateOnValue/12,0)</f>
        <v/>
      </c>
      <c r="FP38" s="228">
        <f>IF(AND(168&gt;=MS_Initial_Closing_Start,168&lt;TaxOpStartMonth),(LandCost+FP$37)*EffTaxRateOnValue/12,0)</f>
        <v/>
      </c>
      <c r="FQ38" s="228">
        <f>IF(AND(169&gt;=MS_Initial_Closing_Start,169&lt;TaxOpStartMonth),(LandCost+FQ$37)*EffTaxRateOnValue/12,0)</f>
        <v/>
      </c>
      <c r="FR38" s="228">
        <f>IF(AND(170&gt;=MS_Initial_Closing_Start,170&lt;TaxOpStartMonth),(LandCost+FR$37)*EffTaxRateOnValue/12,0)</f>
        <v/>
      </c>
      <c r="FS38" s="228">
        <f>IF(AND(171&gt;=MS_Initial_Closing_Start,171&lt;TaxOpStartMonth),(LandCost+FS$37)*EffTaxRateOnValue/12,0)</f>
        <v/>
      </c>
      <c r="FT38" s="228">
        <f>IF(AND(172&gt;=MS_Initial_Closing_Start,172&lt;TaxOpStartMonth),(LandCost+FT$37)*EffTaxRateOnValue/12,0)</f>
        <v/>
      </c>
      <c r="FU38" s="228">
        <f>IF(AND(173&gt;=MS_Initial_Closing_Start,173&lt;TaxOpStartMonth),(LandCost+FU$37)*EffTaxRateOnValue/12,0)</f>
        <v/>
      </c>
      <c r="FV38" s="228">
        <f>IF(AND(174&gt;=MS_Initial_Closing_Start,174&lt;TaxOpStartMonth),(LandCost+FV$37)*EffTaxRateOnValue/12,0)</f>
        <v/>
      </c>
      <c r="FW38" s="228">
        <f>IF(AND(175&gt;=MS_Initial_Closing_Start,175&lt;TaxOpStartMonth),(LandCost+FW$37)*EffTaxRateOnValue/12,0)</f>
        <v/>
      </c>
      <c r="FX38" s="228">
        <f>IF(AND(176&gt;=MS_Initial_Closing_Start,176&lt;TaxOpStartMonth),(LandCost+FX$37)*EffTaxRateOnValue/12,0)</f>
        <v/>
      </c>
      <c r="FY38" s="228">
        <f>IF(AND(177&gt;=MS_Initial_Closing_Start,177&lt;TaxOpStartMonth),(LandCost+FY$37)*EffTaxRateOnValue/12,0)</f>
        <v/>
      </c>
      <c r="FZ38" s="228">
        <f>IF(AND(178&gt;=MS_Initial_Closing_Start,178&lt;TaxOpStartMonth),(LandCost+FZ$37)*EffTaxRateOnValue/12,0)</f>
        <v/>
      </c>
      <c r="GA38" s="228">
        <f>IF(AND(179&gt;=MS_Initial_Closing_Start,179&lt;TaxOpStartMonth),(LandCost+GA$37)*EffTaxRateOnValue/12,0)</f>
        <v/>
      </c>
      <c r="GB38" s="228">
        <f>IF(AND(180&gt;=MS_Initial_Closing_Start,180&lt;TaxOpStartMonth),(LandCost+GB$37)*EffTaxRateOnValue/12,0)</f>
        <v/>
      </c>
      <c r="GC38" s="228">
        <f>IF(AND(181&gt;=MS_Initial_Closing_Start,181&lt;TaxOpStartMonth),(LandCost+GC$37)*EffTaxRateOnValue/12,0)</f>
        <v/>
      </c>
      <c r="GD38" s="228">
        <f>IF(AND(182&gt;=MS_Initial_Closing_Start,182&lt;TaxOpStartMonth),(LandCost+GD$37)*EffTaxRateOnValue/12,0)</f>
        <v/>
      </c>
      <c r="GE38" s="228">
        <f>IF(AND(183&gt;=MS_Initial_Closing_Start,183&lt;TaxOpStartMonth),(LandCost+GE$37)*EffTaxRateOnValue/12,0)</f>
        <v/>
      </c>
      <c r="GF38" s="228">
        <f>IF(AND(184&gt;=MS_Initial_Closing_Start,184&lt;TaxOpStartMonth),(LandCost+GF$37)*EffTaxRateOnValue/12,0)</f>
        <v/>
      </c>
      <c r="GG38" s="228">
        <f>IF(AND(185&gt;=MS_Initial_Closing_Start,185&lt;TaxOpStartMonth),(LandCost+GG$37)*EffTaxRateOnValue/12,0)</f>
        <v/>
      </c>
      <c r="GH38" s="228">
        <f>IF(AND(186&gt;=MS_Initial_Closing_Start,186&lt;TaxOpStartMonth),(LandCost+GH$37)*EffTaxRateOnValue/12,0)</f>
        <v/>
      </c>
      <c r="GI38" s="228">
        <f>IF(AND(187&gt;=MS_Initial_Closing_Start,187&lt;TaxOpStartMonth),(LandCost+GI$37)*EffTaxRateOnValue/12,0)</f>
        <v/>
      </c>
      <c r="GJ38" s="228">
        <f>IF(AND(188&gt;=MS_Initial_Closing_Start,188&lt;TaxOpStartMonth),(LandCost+GJ$37)*EffTaxRateOnValue/12,0)</f>
        <v/>
      </c>
      <c r="GK38" s="228">
        <f>IF(AND(189&gt;=MS_Initial_Closing_Start,189&lt;TaxOpStartMonth),(LandCost+GK$37)*EffTaxRateOnValue/12,0)</f>
        <v/>
      </c>
      <c r="GL38" s="228">
        <f>IF(AND(190&gt;=MS_Initial_Closing_Start,190&lt;TaxOpStartMonth),(LandCost+GL$37)*EffTaxRateOnValue/12,0)</f>
        <v/>
      </c>
      <c r="GM38" s="228">
        <f>IF(AND(191&gt;=MS_Initial_Closing_Start,191&lt;TaxOpStartMonth),(LandCost+GM$37)*EffTaxRateOnValue/12,0)</f>
        <v/>
      </c>
      <c r="GN38" s="228">
        <f>IF(AND(192&gt;=MS_Initial_Closing_Start,192&lt;TaxOpStartMonth),(LandCost+GN$37)*EffTaxRateOnValue/12,0)</f>
        <v/>
      </c>
      <c r="GO38" s="228">
        <f>IF(AND(193&gt;=MS_Initial_Closing_Start,193&lt;TaxOpStartMonth),(LandCost+GO$37)*EffTaxRateOnValue/12,0)</f>
        <v/>
      </c>
      <c r="GP38" s="228">
        <f>IF(AND(194&gt;=MS_Initial_Closing_Start,194&lt;TaxOpStartMonth),(LandCost+GP$37)*EffTaxRateOnValue/12,0)</f>
        <v/>
      </c>
      <c r="GQ38" s="228">
        <f>IF(AND(195&gt;=MS_Initial_Closing_Start,195&lt;TaxOpStartMonth),(LandCost+GQ$37)*EffTaxRateOnValue/12,0)</f>
        <v/>
      </c>
      <c r="GR38" s="228">
        <f>IF(AND(196&gt;=MS_Initial_Closing_Start,196&lt;TaxOpStartMonth),(LandCost+GR$37)*EffTaxRateOnValue/12,0)</f>
        <v/>
      </c>
      <c r="GS38" s="228">
        <f>IF(AND(197&gt;=MS_Initial_Closing_Start,197&lt;TaxOpStartMonth),(LandCost+GS$37)*EffTaxRateOnValue/12,0)</f>
        <v/>
      </c>
      <c r="GT38" s="228">
        <f>IF(AND(198&gt;=MS_Initial_Closing_Start,198&lt;TaxOpStartMonth),(LandCost+GT$37)*EffTaxRateOnValue/12,0)</f>
        <v/>
      </c>
      <c r="GU38" s="228">
        <f>IF(AND(199&gt;=MS_Initial_Closing_Start,199&lt;TaxOpStartMonth),(LandCost+GU$37)*EffTaxRateOnValue/12,0)</f>
        <v/>
      </c>
      <c r="GV38" s="228">
        <f>IF(AND(200&gt;=MS_Initial_Closing_Start,200&lt;TaxOpStartMonth),(LandCost+GV$37)*EffTaxRateOnValue/12,0)</f>
        <v/>
      </c>
      <c r="GW38" s="228">
        <f>IF(AND(201&gt;=MS_Initial_Closing_Start,201&lt;TaxOpStartMonth),(LandCost+GW$37)*EffTaxRateOnValue/12,0)</f>
        <v/>
      </c>
      <c r="GX38" s="228">
        <f>IF(AND(202&gt;=MS_Initial_Closing_Start,202&lt;TaxOpStartMonth),(LandCost+GX$37)*EffTaxRateOnValue/12,0)</f>
        <v/>
      </c>
      <c r="GY38" s="228">
        <f>IF(AND(203&gt;=MS_Initial_Closing_Start,203&lt;TaxOpStartMonth),(LandCost+GY$37)*EffTaxRateOnValue/12,0)</f>
        <v/>
      </c>
      <c r="GZ38" s="228">
        <f>IF(AND(204&gt;=MS_Initial_Closing_Start,204&lt;TaxOpStartMonth),(LandCost+GZ$37)*EffTaxRateOnValue/12,0)</f>
        <v/>
      </c>
      <c r="HA38" s="228">
        <f>IF(AND(205&gt;=MS_Initial_Closing_Start,205&lt;TaxOpStartMonth),(LandCost+HA$37)*EffTaxRateOnValue/12,0)</f>
        <v/>
      </c>
      <c r="HB38" s="228">
        <f>IF(AND(206&gt;=MS_Initial_Closing_Start,206&lt;TaxOpStartMonth),(LandCost+HB$37)*EffTaxRateOnValue/12,0)</f>
        <v/>
      </c>
      <c r="HC38" s="228">
        <f>IF(AND(207&gt;=MS_Initial_Closing_Start,207&lt;TaxOpStartMonth),(LandCost+HC$37)*EffTaxRateOnValue/12,0)</f>
        <v/>
      </c>
      <c r="HD38" s="228">
        <f>IF(AND(208&gt;=MS_Initial_Closing_Start,208&lt;TaxOpStartMonth),(LandCost+HD$37)*EffTaxRateOnValue/12,0)</f>
        <v/>
      </c>
      <c r="HE38" s="228">
        <f>IF(AND(209&gt;=MS_Initial_Closing_Start,209&lt;TaxOpStartMonth),(LandCost+HE$37)*EffTaxRateOnValue/12,0)</f>
        <v/>
      </c>
      <c r="HF38" s="228">
        <f>IF(AND(210&gt;=MS_Initial_Closing_Start,210&lt;TaxOpStartMonth),(LandCost+HF$37)*EffTaxRateOnValue/12,0)</f>
        <v/>
      </c>
      <c r="HG38" s="228">
        <f>IF(AND(211&gt;=MS_Initial_Closing_Start,211&lt;TaxOpStartMonth),(LandCost+HG$37)*EffTaxRateOnValue/12,0)</f>
        <v/>
      </c>
      <c r="HH38" s="228">
        <f>IF(AND(212&gt;=MS_Initial_Closing_Start,212&lt;TaxOpStartMonth),(LandCost+HH$37)*EffTaxRateOnValue/12,0)</f>
        <v/>
      </c>
      <c r="HI38" s="228">
        <f>IF(AND(213&gt;=MS_Initial_Closing_Start,213&lt;TaxOpStartMonth),(LandCost+HI$37)*EffTaxRateOnValue/12,0)</f>
        <v/>
      </c>
      <c r="HJ38" s="228">
        <f>IF(AND(214&gt;=MS_Initial_Closing_Start,214&lt;TaxOpStartMonth),(LandCost+HJ$37)*EffTaxRateOnValue/12,0)</f>
        <v/>
      </c>
      <c r="HK38" s="228">
        <f>IF(AND(215&gt;=MS_Initial_Closing_Start,215&lt;TaxOpStartMonth),(LandCost+HK$37)*EffTaxRateOnValue/12,0)</f>
        <v/>
      </c>
      <c r="HL38" s="228">
        <f>IF(AND(216&gt;=MS_Initial_Closing_Start,216&lt;TaxOpStartMonth),(LandCost+HL$37)*EffTaxRateOnValue/12,0)</f>
        <v/>
      </c>
      <c r="HM38" s="228">
        <f>IF(AND(217&gt;=MS_Initial_Closing_Start,217&lt;TaxOpStartMonth),(LandCost+HM$37)*EffTaxRateOnValue/12,0)</f>
        <v/>
      </c>
      <c r="HN38" s="228">
        <f>IF(AND(218&gt;=MS_Initial_Closing_Start,218&lt;TaxOpStartMonth),(LandCost+HN$37)*EffTaxRateOnValue/12,0)</f>
        <v/>
      </c>
      <c r="HO38" s="228">
        <f>IF(AND(219&gt;=MS_Initial_Closing_Start,219&lt;TaxOpStartMonth),(LandCost+HO$37)*EffTaxRateOnValue/12,0)</f>
        <v/>
      </c>
      <c r="HP38" s="228">
        <f>IF(AND(220&gt;=MS_Initial_Closing_Start,220&lt;TaxOpStartMonth),(LandCost+HP$37)*EffTaxRateOnValue/12,0)</f>
        <v/>
      </c>
      <c r="HQ38" s="228">
        <f>IF(AND(221&gt;=MS_Initial_Closing_Start,221&lt;TaxOpStartMonth),(LandCost+HQ$37)*EffTaxRateOnValue/12,0)</f>
        <v/>
      </c>
      <c r="HR38" s="228">
        <f>IF(AND(222&gt;=MS_Initial_Closing_Start,222&lt;TaxOpStartMonth),(LandCost+HR$37)*EffTaxRateOnValue/12,0)</f>
        <v/>
      </c>
      <c r="HS38" s="228">
        <f>IF(AND(223&gt;=MS_Initial_Closing_Start,223&lt;TaxOpStartMonth),(LandCost+HS$37)*EffTaxRateOnValue/12,0)</f>
        <v/>
      </c>
      <c r="HT38" s="228">
        <f>IF(AND(224&gt;=MS_Initial_Closing_Start,224&lt;TaxOpStartMonth),(LandCost+HT$37)*EffTaxRateOnValue/12,0)</f>
        <v/>
      </c>
      <c r="HU38" s="228">
        <f>IF(AND(225&gt;=MS_Initial_Closing_Start,225&lt;TaxOpStartMonth),(LandCost+HU$37)*EffTaxRateOnValue/12,0)</f>
        <v/>
      </c>
      <c r="HV38" s="228">
        <f>IF(AND(226&gt;=MS_Initial_Closing_Start,226&lt;TaxOpStartMonth),(LandCost+HV$37)*EffTaxRateOnValue/12,0)</f>
        <v/>
      </c>
      <c r="HW38" s="228">
        <f>IF(AND(227&gt;=MS_Initial_Closing_Start,227&lt;TaxOpStartMonth),(LandCost+HW$37)*EffTaxRateOnValue/12,0)</f>
        <v/>
      </c>
      <c r="HX38" s="228">
        <f>IF(AND(228&gt;=MS_Initial_Closing_Start,228&lt;TaxOpStartMonth),(LandCost+HX$37)*EffTaxRateOnValue/12,0)</f>
        <v/>
      </c>
      <c r="HY38" s="228">
        <f>IF(AND(229&gt;=MS_Initial_Closing_Start,229&lt;TaxOpStartMonth),(LandCost+HY$37)*EffTaxRateOnValue/12,0)</f>
        <v/>
      </c>
      <c r="HZ38" s="228">
        <f>IF(AND(230&gt;=MS_Initial_Closing_Start,230&lt;TaxOpStartMonth),(LandCost+HZ$37)*EffTaxRateOnValue/12,0)</f>
        <v/>
      </c>
      <c r="IA38" s="228">
        <f>IF(AND(231&gt;=MS_Initial_Closing_Start,231&lt;TaxOpStartMonth),(LandCost+IA$37)*EffTaxRateOnValue/12,0)</f>
        <v/>
      </c>
      <c r="IB38" s="228">
        <f>IF(AND(232&gt;=MS_Initial_Closing_Start,232&lt;TaxOpStartMonth),(LandCost+IB$37)*EffTaxRateOnValue/12,0)</f>
        <v/>
      </c>
      <c r="IC38" s="228">
        <f>IF(AND(233&gt;=MS_Initial_Closing_Start,233&lt;TaxOpStartMonth),(LandCost+IC$37)*EffTaxRateOnValue/12,0)</f>
        <v/>
      </c>
      <c r="ID38" s="228">
        <f>IF(AND(234&gt;=MS_Initial_Closing_Start,234&lt;TaxOpStartMonth),(LandCost+ID$37)*EffTaxRateOnValue/12,0)</f>
        <v/>
      </c>
      <c r="IE38" s="228">
        <f>IF(AND(235&gt;=MS_Initial_Closing_Start,235&lt;TaxOpStartMonth),(LandCost+IE$37)*EffTaxRateOnValue/12,0)</f>
        <v/>
      </c>
      <c r="IF38" s="228">
        <f>IF(AND(236&gt;=MS_Initial_Closing_Start,236&lt;TaxOpStartMonth),(LandCost+IF$37)*EffTaxRateOnValue/12,0)</f>
        <v/>
      </c>
      <c r="IG38" s="228">
        <f>IF(AND(237&gt;=MS_Initial_Closing_Start,237&lt;TaxOpStartMonth),(LandCost+IG$37)*EffTaxRateOnValue/12,0)</f>
        <v/>
      </c>
      <c r="IH38" s="228">
        <f>IF(AND(238&gt;=MS_Initial_Closing_Start,238&lt;TaxOpStartMonth),(LandCost+IH$37)*EffTaxRateOnValue/12,0)</f>
        <v/>
      </c>
      <c r="II38" s="228">
        <f>IF(AND(239&gt;=MS_Initial_Closing_Start,239&lt;TaxOpStartMonth),(LandCost+II$37)*EffTaxRateOnValue/12,0)</f>
        <v/>
      </c>
      <c r="IJ38" s="228">
        <f>IF(AND(240&gt;=MS_Initial_Closing_Start,240&lt;TaxOpStartMonth),(LandCost+IJ$37)*EffTaxRateOnValue/12,0)</f>
        <v/>
      </c>
      <c r="IK38" s="228">
        <f>IF(AND(241&gt;=MS_Initial_Closing_Start,241&lt;TaxOpStartMonth),(LandCost+IK$37)*EffTaxRateOnValue/12,0)</f>
        <v/>
      </c>
      <c r="IL38" s="228">
        <f>IF(AND(242&gt;=MS_Initial_Closing_Start,242&lt;TaxOpStartMonth),(LandCost+IL$37)*EffTaxRateOnValue/12,0)</f>
        <v/>
      </c>
      <c r="IM38" s="228">
        <f>IF(AND(243&gt;=MS_Initial_Closing_Start,243&lt;TaxOpStartMonth),(LandCost+IM$37)*EffTaxRateOnValue/12,0)</f>
        <v/>
      </c>
      <c r="IN38" s="228">
        <f>IF(AND(244&gt;=MS_Initial_Closing_Start,244&lt;TaxOpStartMonth),(LandCost+IN$37)*EffTaxRateOnValue/12,0)</f>
        <v/>
      </c>
      <c r="IO38" s="228">
        <f>IF(AND(245&gt;=MS_Initial_Closing_Start,245&lt;TaxOpStartMonth),(LandCost+IO$37)*EffTaxRateOnValue/12,0)</f>
        <v/>
      </c>
      <c r="IP38" s="228">
        <f>IF(AND(246&gt;=MS_Initial_Closing_Start,246&lt;TaxOpStartMonth),(LandCost+IP$37)*EffTaxRateOnValue/12,0)</f>
        <v/>
      </c>
      <c r="IQ38" s="228">
        <f>IF(AND(247&gt;=MS_Initial_Closing_Start,247&lt;TaxOpStartMonth),(LandCost+IQ$37)*EffTaxRateOnValue/12,0)</f>
        <v/>
      </c>
      <c r="IR38" s="228">
        <f>IF(AND(248&gt;=MS_Initial_Closing_Start,248&lt;TaxOpStartMonth),(LandCost+IR$37)*EffTaxRateOnValue/12,0)</f>
        <v/>
      </c>
      <c r="IS38" s="228">
        <f>IF(AND(249&gt;=MS_Initial_Closing_Start,249&lt;TaxOpStartMonth),(LandCost+IS$37)*EffTaxRateOnValue/12,0)</f>
        <v/>
      </c>
      <c r="IT38" s="228">
        <f>IF(AND(250&gt;=MS_Initial_Closing_Start,250&lt;TaxOpStartMonth),(LandCost+IT$37)*EffTaxRateOnValue/12,0)</f>
        <v/>
      </c>
      <c r="IU38" s="228">
        <f>IF(AND(251&gt;=MS_Initial_Closing_Start,251&lt;TaxOpStartMonth),(LandCost+IU$37)*EffTaxRateOnValue/12,0)</f>
        <v/>
      </c>
      <c r="IV38" s="228">
        <f>IF(AND(252&gt;=MS_Initial_Closing_Start,252&lt;TaxOpStartMonth),(LandCost+IV$37)*EffTaxRateOnValue/12,0)</f>
        <v/>
      </c>
      <c r="IW38" s="228">
        <f>IF(AND(253&gt;=MS_Initial_Closing_Start,253&lt;TaxOpStartMonth),(LandCost+IW$37)*EffTaxRateOnValue/12,0)</f>
        <v/>
      </c>
      <c r="IX38" s="228">
        <f>IF(AND(254&gt;=MS_Initial_Closing_Start,254&lt;TaxOpStartMonth),(LandCost+IX$37)*EffTaxRateOnValue/12,0)</f>
        <v/>
      </c>
      <c r="IY38" s="228">
        <f>IF(AND(255&gt;=MS_Initial_Closing_Start,255&lt;TaxOpStartMonth),(LandCost+IY$37)*EffTaxRateOnValue/12,0)</f>
        <v/>
      </c>
      <c r="IZ38" s="228">
        <f>IF(AND(256&gt;=MS_Initial_Closing_Start,256&lt;TaxOpStartMonth),(LandCost+IZ$37)*EffTaxRateOnValue/12,0)</f>
        <v/>
      </c>
      <c r="JA38" s="228">
        <f>IF(AND(257&gt;=MS_Initial_Closing_Start,257&lt;TaxOpStartMonth),(LandCost+JA$37)*EffTaxRateOnValue/12,0)</f>
        <v/>
      </c>
      <c r="JB38" s="228">
        <f>IF(AND(258&gt;=MS_Initial_Closing_Start,258&lt;TaxOpStartMonth),(LandCost+JB$37)*EffTaxRateOnValue/12,0)</f>
        <v/>
      </c>
      <c r="JC38" s="228">
        <f>IF(AND(259&gt;=MS_Initial_Closing_Start,259&lt;TaxOpStartMonth),(LandCost+JC$37)*EffTaxRateOnValue/12,0)</f>
        <v/>
      </c>
      <c r="JD38" s="228">
        <f>IF(AND(260&gt;=MS_Initial_Closing_Start,260&lt;TaxOpStartMonth),(LandCost+JD$37)*EffTaxRateOnValue/12,0)</f>
        <v/>
      </c>
      <c r="JE38" s="228">
        <f>IF(AND(261&gt;=MS_Initial_Closing_Start,261&lt;TaxOpStartMonth),(LandCost+JE$37)*EffTaxRateOnValue/12,0)</f>
        <v/>
      </c>
      <c r="JF38" s="228">
        <f>IF(AND(262&gt;=MS_Initial_Closing_Start,262&lt;TaxOpStartMonth),(LandCost+JF$37)*EffTaxRateOnValue/12,0)</f>
        <v/>
      </c>
      <c r="JG38" s="228">
        <f>IF(AND(263&gt;=MS_Initial_Closing_Start,263&lt;TaxOpStartMonth),(LandCost+JG$37)*EffTaxRateOnValue/12,0)</f>
        <v/>
      </c>
      <c r="JH38" s="228">
        <f>IF(AND(264&gt;=MS_Initial_Closing_Start,264&lt;TaxOpStartMonth),(LandCost+JH$37)*EffTaxRateOnValue/12,0)</f>
        <v/>
      </c>
      <c r="JI38" s="228">
        <f>IF(AND(265&gt;=MS_Initial_Closing_Start,265&lt;TaxOpStartMonth),(LandCost+JI$37)*EffTaxRateOnValue/12,0)</f>
        <v/>
      </c>
      <c r="JJ38" s="228">
        <f>IF(AND(266&gt;=MS_Initial_Closing_Start,266&lt;TaxOpStartMonth),(LandCost+JJ$37)*EffTaxRateOnValue/12,0)</f>
        <v/>
      </c>
      <c r="JK38" s="228">
        <f>IF(AND(267&gt;=MS_Initial_Closing_Start,267&lt;TaxOpStartMonth),(LandCost+JK$37)*EffTaxRateOnValue/12,0)</f>
        <v/>
      </c>
      <c r="JL38" s="228">
        <f>IF(AND(268&gt;=MS_Initial_Closing_Start,268&lt;TaxOpStartMonth),(LandCost+JL$37)*EffTaxRateOnValue/12,0)</f>
        <v/>
      </c>
      <c r="JM38" s="228">
        <f>IF(AND(269&gt;=MS_Initial_Closing_Start,269&lt;TaxOpStartMonth),(LandCost+JM$37)*EffTaxRateOnValue/12,0)</f>
        <v/>
      </c>
      <c r="JN38" s="228">
        <f>IF(AND(270&gt;=MS_Initial_Closing_Start,270&lt;TaxOpStartMonth),(LandCost+JN$37)*EffTaxRateOnValue/12,0)</f>
        <v/>
      </c>
      <c r="JO38" s="228">
        <f>IF(AND(271&gt;=MS_Initial_Closing_Start,271&lt;TaxOpStartMonth),(LandCost+JO$37)*EffTaxRateOnValue/12,0)</f>
        <v/>
      </c>
      <c r="JP38" s="228">
        <f>IF(AND(272&gt;=MS_Initial_Closing_Start,272&lt;TaxOpStartMonth),(LandCost+JP$37)*EffTaxRateOnValue/12,0)</f>
        <v/>
      </c>
      <c r="JQ38" s="228">
        <f>IF(AND(273&gt;=MS_Initial_Closing_Start,273&lt;TaxOpStartMonth),(LandCost+JQ$37)*EffTaxRateOnValue/12,0)</f>
        <v/>
      </c>
      <c r="JR38" s="228">
        <f>IF(AND(274&gt;=MS_Initial_Closing_Start,274&lt;TaxOpStartMonth),(LandCost+JR$37)*EffTaxRateOnValue/12,0)</f>
        <v/>
      </c>
      <c r="JS38" s="228">
        <f>IF(AND(275&gt;=MS_Initial_Closing_Start,275&lt;TaxOpStartMonth),(LandCost+JS$37)*EffTaxRateOnValue/12,0)</f>
        <v/>
      </c>
      <c r="JT38" s="228">
        <f>IF(AND(276&gt;=MS_Initial_Closing_Start,276&lt;TaxOpStartMonth),(LandCost+JT$37)*EffTaxRateOnValue/12,0)</f>
        <v/>
      </c>
      <c r="JU38" s="228">
        <f>IF(AND(277&gt;=MS_Initial_Closing_Start,277&lt;TaxOpStartMonth),(LandCost+JU$37)*EffTaxRateOnValue/12,0)</f>
        <v/>
      </c>
      <c r="JV38" s="228">
        <f>IF(AND(278&gt;=MS_Initial_Closing_Start,278&lt;TaxOpStartMonth),(LandCost+JV$37)*EffTaxRateOnValue/12,0)</f>
        <v/>
      </c>
      <c r="JW38" s="228">
        <f>IF(AND(279&gt;=MS_Initial_Closing_Start,279&lt;TaxOpStartMonth),(LandCost+JW$37)*EffTaxRateOnValue/12,0)</f>
        <v/>
      </c>
      <c r="JX38" s="228">
        <f>IF(AND(280&gt;=MS_Initial_Closing_Start,280&lt;TaxOpStartMonth),(LandCost+JX$37)*EffTaxRateOnValue/12,0)</f>
        <v/>
      </c>
      <c r="JY38" s="228">
        <f>IF(AND(281&gt;=MS_Initial_Closing_Start,281&lt;TaxOpStartMonth),(LandCost+JY$37)*EffTaxRateOnValue/12,0)</f>
        <v/>
      </c>
      <c r="JZ38" s="228">
        <f>IF(AND(282&gt;=MS_Initial_Closing_Start,282&lt;TaxOpStartMonth),(LandCost+JZ$37)*EffTaxRateOnValue/12,0)</f>
        <v/>
      </c>
      <c r="KA38" s="228">
        <f>IF(AND(283&gt;=MS_Initial_Closing_Start,283&lt;TaxOpStartMonth),(LandCost+KA$37)*EffTaxRateOnValue/12,0)</f>
        <v/>
      </c>
      <c r="KB38" s="228">
        <f>IF(AND(284&gt;=MS_Initial_Closing_Start,284&lt;TaxOpStartMonth),(LandCost+KB$37)*EffTaxRateOnValue/12,0)</f>
        <v/>
      </c>
      <c r="KC38" s="228">
        <f>IF(AND(285&gt;=MS_Initial_Closing_Start,285&lt;TaxOpStartMonth),(LandCost+KC$37)*EffTaxRateOnValue/12,0)</f>
        <v/>
      </c>
      <c r="KD38" s="228">
        <f>IF(AND(286&gt;=MS_Initial_Closing_Start,286&lt;TaxOpStartMonth),(LandCost+KD$37)*EffTaxRateOnValue/12,0)</f>
        <v/>
      </c>
      <c r="KE38" s="228">
        <f>IF(AND(287&gt;=MS_Initial_Closing_Start,287&lt;TaxOpStartMonth),(LandCost+KE$37)*EffTaxRateOnValue/12,0)</f>
        <v/>
      </c>
      <c r="KF38" s="228">
        <f>IF(AND(288&gt;=MS_Initial_Closing_Start,288&lt;TaxOpStartMonth),(LandCost+KF$37)*EffTaxRateOnValue/12,0)</f>
        <v/>
      </c>
      <c r="KG38" s="228">
        <f>IF(AND(289&gt;=MS_Initial_Closing_Start,289&lt;TaxOpStartMonth),(LandCost+KG$37)*EffTaxRateOnValue/12,0)</f>
        <v/>
      </c>
      <c r="KH38" s="228">
        <f>IF(AND(290&gt;=MS_Initial_Closing_Start,290&lt;TaxOpStartMonth),(LandCost+KH$37)*EffTaxRateOnValue/12,0)</f>
        <v/>
      </c>
      <c r="KI38" s="228">
        <f>IF(AND(291&gt;=MS_Initial_Closing_Start,291&lt;TaxOpStartMonth),(LandCost+KI$37)*EffTaxRateOnValue/12,0)</f>
        <v/>
      </c>
      <c r="KJ38" s="228">
        <f>IF(AND(292&gt;=MS_Initial_Closing_Start,292&lt;TaxOpStartMonth),(LandCost+KJ$37)*EffTaxRateOnValue/12,0)</f>
        <v/>
      </c>
      <c r="KK38" s="228">
        <f>IF(AND(293&gt;=MS_Initial_Closing_Start,293&lt;TaxOpStartMonth),(LandCost+KK$37)*EffTaxRateOnValue/12,0)</f>
        <v/>
      </c>
      <c r="KL38" s="228">
        <f>IF(AND(294&gt;=MS_Initial_Closing_Start,294&lt;TaxOpStartMonth),(LandCost+KL$37)*EffTaxRateOnValue/12,0)</f>
        <v/>
      </c>
      <c r="KM38" s="228">
        <f>IF(AND(295&gt;=MS_Initial_Closing_Start,295&lt;TaxOpStartMonth),(LandCost+KM$37)*EffTaxRateOnValue/12,0)</f>
        <v/>
      </c>
      <c r="KN38" s="228">
        <f>IF(AND(296&gt;=MS_Initial_Closing_Start,296&lt;TaxOpStartMonth),(LandCost+KN$37)*EffTaxRateOnValue/12,0)</f>
        <v/>
      </c>
      <c r="KO38" s="228">
        <f>IF(AND(297&gt;=MS_Initial_Closing_Start,297&lt;TaxOpStartMonth),(LandCost+KO$37)*EffTaxRateOnValue/12,0)</f>
        <v/>
      </c>
      <c r="KP38" s="228">
        <f>IF(AND(298&gt;=MS_Initial_Closing_Start,298&lt;TaxOpStartMonth),(LandCost+KP$37)*EffTaxRateOnValue/12,0)</f>
        <v/>
      </c>
      <c r="KQ38" s="228">
        <f>IF(AND(299&gt;=MS_Initial_Closing_Start,299&lt;TaxOpStartMonth),(LandCost+KQ$37)*EffTaxRateOnValue/12,0)</f>
        <v/>
      </c>
      <c r="KR38" s="228">
        <f>IF(AND(300&gt;=MS_Initial_Closing_Start,300&lt;TaxOpStartMonth),(LandCost+KR$37)*EffTaxRateOnValue/12,0)</f>
        <v/>
      </c>
      <c r="KS38" s="228">
        <f>IF(AND(301&gt;=MS_Initial_Closing_Start,301&lt;TaxOpStartMonth),(LandCost+KS$37)*EffTaxRateOnValue/12,0)</f>
        <v/>
      </c>
      <c r="KT38" s="228">
        <f>IF(AND(302&gt;=MS_Initial_Closing_Start,302&lt;TaxOpStartMonth),(LandCost+KT$37)*EffTaxRateOnValue/12,0)</f>
        <v/>
      </c>
      <c r="KU38" s="228">
        <f>IF(AND(303&gt;=MS_Initial_Closing_Start,303&lt;TaxOpStartMonth),(LandCost+KU$37)*EffTaxRateOnValue/12,0)</f>
        <v/>
      </c>
      <c r="KV38" s="228">
        <f>IF(AND(304&gt;=MS_Initial_Closing_Start,304&lt;TaxOpStartMonth),(LandCost+KV$37)*EffTaxRateOnValue/12,0)</f>
        <v/>
      </c>
      <c r="KW38" s="228">
        <f>IF(AND(305&gt;=MS_Initial_Closing_Start,305&lt;TaxOpStartMonth),(LandCost+KW$37)*EffTaxRateOnValue/12,0)</f>
        <v/>
      </c>
      <c r="KX38" s="228">
        <f>IF(AND(306&gt;=MS_Initial_Closing_Start,306&lt;TaxOpStartMonth),(LandCost+KX$37)*EffTaxRateOnValue/12,0)</f>
        <v/>
      </c>
      <c r="KY38" s="228">
        <f>IF(AND(307&gt;=MS_Initial_Closing_Start,307&lt;TaxOpStartMonth),(LandCost+KY$37)*EffTaxRateOnValue/12,0)</f>
        <v/>
      </c>
      <c r="KZ38" s="228">
        <f>IF(AND(308&gt;=MS_Initial_Closing_Start,308&lt;TaxOpStartMonth),(LandCost+KZ$37)*EffTaxRateOnValue/12,0)</f>
        <v/>
      </c>
      <c r="LA38" s="228">
        <f>IF(AND(309&gt;=MS_Initial_Closing_Start,309&lt;TaxOpStartMonth),(LandCost+LA$37)*EffTaxRateOnValue/12,0)</f>
        <v/>
      </c>
      <c r="LB38" s="228">
        <f>IF(AND(310&gt;=MS_Initial_Closing_Start,310&lt;TaxOpStartMonth),(LandCost+LB$37)*EffTaxRateOnValue/12,0)</f>
        <v/>
      </c>
      <c r="LC38" s="228">
        <f>IF(AND(311&gt;=MS_Initial_Closing_Start,311&lt;TaxOpStartMonth),(LandCost+LC$37)*EffTaxRateOnValue/12,0)</f>
        <v/>
      </c>
      <c r="LD38" s="228">
        <f>IF(AND(312&gt;=MS_Initial_Closing_Start,312&lt;TaxOpStartMonth),(LandCost+LD$37)*EffTaxRateOnValue/12,0)</f>
        <v/>
      </c>
      <c r="LE38" s="228">
        <f>IF(AND(313&gt;=MS_Initial_Closing_Start,313&lt;TaxOpStartMonth),(LandCost+LE$37)*EffTaxRateOnValue/12,0)</f>
        <v/>
      </c>
      <c r="LF38" s="228">
        <f>IF(AND(314&gt;=MS_Initial_Closing_Start,314&lt;TaxOpStartMonth),(LandCost+LF$37)*EffTaxRateOnValue/12,0)</f>
        <v/>
      </c>
      <c r="LG38" s="228">
        <f>IF(AND(315&gt;=MS_Initial_Closing_Start,315&lt;TaxOpStartMonth),(LandCost+LG$37)*EffTaxRateOnValue/12,0)</f>
        <v/>
      </c>
      <c r="LH38" s="228">
        <f>IF(AND(316&gt;=MS_Initial_Closing_Start,316&lt;TaxOpStartMonth),(LandCost+LH$37)*EffTaxRateOnValue/12,0)</f>
        <v/>
      </c>
      <c r="LI38" s="228">
        <f>IF(AND(317&gt;=MS_Initial_Closing_Start,317&lt;TaxOpStartMonth),(LandCost+LI$37)*EffTaxRateOnValue/12,0)</f>
        <v/>
      </c>
      <c r="LJ38" s="228">
        <f>IF(AND(318&gt;=MS_Initial_Closing_Start,318&lt;TaxOpStartMonth),(LandCost+LJ$37)*EffTaxRateOnValue/12,0)</f>
        <v/>
      </c>
      <c r="LK38" s="228">
        <f>IF(AND(319&gt;=MS_Initial_Closing_Start,319&lt;TaxOpStartMonth),(LandCost+LK$37)*EffTaxRateOnValue/12,0)</f>
        <v/>
      </c>
      <c r="LL38" s="228">
        <f>IF(AND(320&gt;=MS_Initial_Closing_Start,320&lt;TaxOpStartMonth),(LandCost+LL$37)*EffTaxRateOnValue/12,0)</f>
        <v/>
      </c>
      <c r="LM38" s="228">
        <f>IF(AND(321&gt;=MS_Initial_Closing_Start,321&lt;TaxOpStartMonth),(LandCost+LM$37)*EffTaxRateOnValue/12,0)</f>
        <v/>
      </c>
      <c r="LN38" s="228">
        <f>IF(AND(322&gt;=MS_Initial_Closing_Start,322&lt;TaxOpStartMonth),(LandCost+LN$37)*EffTaxRateOnValue/12,0)</f>
        <v/>
      </c>
      <c r="LO38" s="228">
        <f>IF(AND(323&gt;=MS_Initial_Closing_Start,323&lt;TaxOpStartMonth),(LandCost+LO$37)*EffTaxRateOnValue/12,0)</f>
        <v/>
      </c>
      <c r="LP38" s="228">
        <f>IF(AND(324&gt;=MS_Initial_Closing_Start,324&lt;TaxOpStartMonth),(LandCost+LP$37)*EffTaxRateOnValue/12,0)</f>
        <v/>
      </c>
      <c r="LQ38" s="228">
        <f>IF(AND(325&gt;=MS_Initial_Closing_Start,325&lt;TaxOpStartMonth),(LandCost+LQ$37)*EffTaxRateOnValue/12,0)</f>
        <v/>
      </c>
      <c r="LR38" s="228">
        <f>IF(AND(326&gt;=MS_Initial_Closing_Start,326&lt;TaxOpStartMonth),(LandCost+LR$37)*EffTaxRateOnValue/12,0)</f>
        <v/>
      </c>
      <c r="LS38" s="228">
        <f>IF(AND(327&gt;=MS_Initial_Closing_Start,327&lt;TaxOpStartMonth),(LandCost+LS$37)*EffTaxRateOnValue/12,0)</f>
        <v/>
      </c>
      <c r="LT38" s="228">
        <f>IF(AND(328&gt;=MS_Initial_Closing_Start,328&lt;TaxOpStartMonth),(LandCost+LT$37)*EffTaxRateOnValue/12,0)</f>
        <v/>
      </c>
      <c r="LU38" s="228">
        <f>IF(AND(329&gt;=MS_Initial_Closing_Start,329&lt;TaxOpStartMonth),(LandCost+LU$37)*EffTaxRateOnValue/12,0)</f>
        <v/>
      </c>
      <c r="LV38" s="228">
        <f>IF(AND(330&gt;=MS_Initial_Closing_Start,330&lt;TaxOpStartMonth),(LandCost+LV$37)*EffTaxRateOnValue/12,0)</f>
        <v/>
      </c>
      <c r="LW38" s="228">
        <f>IF(AND(331&gt;=MS_Initial_Closing_Start,331&lt;TaxOpStartMonth),(LandCost+LW$37)*EffTaxRateOnValue/12,0)</f>
        <v/>
      </c>
      <c r="LX38" s="228">
        <f>IF(AND(332&gt;=MS_Initial_Closing_Start,332&lt;TaxOpStartMonth),(LandCost+LX$37)*EffTaxRateOnValue/12,0)</f>
        <v/>
      </c>
      <c r="LY38" s="228">
        <f>IF(AND(333&gt;=MS_Initial_Closing_Start,333&lt;TaxOpStartMonth),(LandCost+LY$37)*EffTaxRateOnValue/12,0)</f>
        <v/>
      </c>
      <c r="LZ38" s="228">
        <f>IF(AND(334&gt;=MS_Initial_Closing_Start,334&lt;TaxOpStartMonth),(LandCost+LZ$37)*EffTaxRateOnValue/12,0)</f>
        <v/>
      </c>
      <c r="MA38" s="228">
        <f>IF(AND(335&gt;=MS_Initial_Closing_Start,335&lt;TaxOpStartMonth),(LandCost+MA$37)*EffTaxRateOnValue/12,0)</f>
        <v/>
      </c>
      <c r="MB38" s="228">
        <f>IF(AND(336&gt;=MS_Initial_Closing_Start,336&lt;TaxOpStartMonth),(LandCost+MB$37)*EffTaxRateOnValue/12,0)</f>
        <v/>
      </c>
      <c r="MC38" s="228">
        <f>IF(AND(337&gt;=MS_Initial_Closing_Start,337&lt;TaxOpStartMonth),(LandCost+MC$37)*EffTaxRateOnValue/12,0)</f>
        <v/>
      </c>
      <c r="MD38" s="228">
        <f>IF(AND(338&gt;=MS_Initial_Closing_Start,338&lt;TaxOpStartMonth),(LandCost+MD$37)*EffTaxRateOnValue/12,0)</f>
        <v/>
      </c>
      <c r="ME38" s="228">
        <f>IF(AND(339&gt;=MS_Initial_Closing_Start,339&lt;TaxOpStartMonth),(LandCost+ME$37)*EffTaxRateOnValue/12,0)</f>
        <v/>
      </c>
      <c r="MF38" s="228">
        <f>IF(AND(340&gt;=MS_Initial_Closing_Start,340&lt;TaxOpStartMonth),(LandCost+MF$37)*EffTaxRateOnValue/12,0)</f>
        <v/>
      </c>
      <c r="MG38" s="228">
        <f>IF(AND(341&gt;=MS_Initial_Closing_Start,341&lt;TaxOpStartMonth),(LandCost+MG$37)*EffTaxRateOnValue/12,0)</f>
        <v/>
      </c>
      <c r="MH38" s="228">
        <f>IF(AND(342&gt;=MS_Initial_Closing_Start,342&lt;TaxOpStartMonth),(LandCost+MH$37)*EffTaxRateOnValue/12,0)</f>
        <v/>
      </c>
      <c r="MI38" s="228">
        <f>IF(AND(343&gt;=MS_Initial_Closing_Start,343&lt;TaxOpStartMonth),(LandCost+MI$37)*EffTaxRateOnValue/12,0)</f>
        <v/>
      </c>
      <c r="MJ38" s="228">
        <f>IF(AND(344&gt;=MS_Initial_Closing_Start,344&lt;TaxOpStartMonth),(LandCost+MJ$37)*EffTaxRateOnValue/12,0)</f>
        <v/>
      </c>
      <c r="MK38" s="228">
        <f>IF(AND(345&gt;=MS_Initial_Closing_Start,345&lt;TaxOpStartMonth),(LandCost+MK$37)*EffTaxRateOnValue/12,0)</f>
        <v/>
      </c>
      <c r="ML38" s="228">
        <f>IF(AND(346&gt;=MS_Initial_Closing_Start,346&lt;TaxOpStartMonth),(LandCost+ML$37)*EffTaxRateOnValue/12,0)</f>
        <v/>
      </c>
      <c r="MM38" s="228">
        <f>IF(AND(347&gt;=MS_Initial_Closing_Start,347&lt;TaxOpStartMonth),(LandCost+MM$37)*EffTaxRateOnValue/12,0)</f>
        <v/>
      </c>
      <c r="MN38" s="228">
        <f>IF(AND(348&gt;=MS_Initial_Closing_Start,348&lt;TaxOpStartMonth),(LandCost+MN$37)*EffTaxRateOnValue/12,0)</f>
        <v/>
      </c>
      <c r="MO38" s="228">
        <f>IF(AND(349&gt;=MS_Initial_Closing_Start,349&lt;TaxOpStartMonth),(LandCost+MO$37)*EffTaxRateOnValue/12,0)</f>
        <v/>
      </c>
      <c r="MP38" s="228">
        <f>IF(AND(350&gt;=MS_Initial_Closing_Start,350&lt;TaxOpStartMonth),(LandCost+MP$37)*EffTaxRateOnValue/12,0)</f>
        <v/>
      </c>
      <c r="MQ38" s="228">
        <f>IF(AND(351&gt;=MS_Initial_Closing_Start,351&lt;TaxOpStartMonth),(LandCost+MQ$37)*EffTaxRateOnValue/12,0)</f>
        <v/>
      </c>
      <c r="MR38" s="228">
        <f>IF(AND(352&gt;=MS_Initial_Closing_Start,352&lt;TaxOpStartMonth),(LandCost+MR$37)*EffTaxRateOnValue/12,0)</f>
        <v/>
      </c>
      <c r="MS38" s="228">
        <f>IF(AND(353&gt;=MS_Initial_Closing_Start,353&lt;TaxOpStartMonth),(LandCost+MS$37)*EffTaxRateOnValue/12,0)</f>
        <v/>
      </c>
      <c r="MT38" s="228">
        <f>IF(AND(354&gt;=MS_Initial_Closing_Start,354&lt;TaxOpStartMonth),(LandCost+MT$37)*EffTaxRateOnValue/12,0)</f>
        <v/>
      </c>
      <c r="MU38" s="228">
        <f>IF(AND(355&gt;=MS_Initial_Closing_Start,355&lt;TaxOpStartMonth),(LandCost+MU$37)*EffTaxRateOnValue/12,0)</f>
        <v/>
      </c>
      <c r="MV38" s="228">
        <f>IF(AND(356&gt;=MS_Initial_Closing_Start,356&lt;TaxOpStartMonth),(LandCost+MV$37)*EffTaxRateOnValue/12,0)</f>
        <v/>
      </c>
      <c r="MW38" s="228">
        <f>IF(AND(357&gt;=MS_Initial_Closing_Start,357&lt;TaxOpStartMonth),(LandCost+MW$37)*EffTaxRateOnValue/12,0)</f>
        <v/>
      </c>
      <c r="MX38" s="228">
        <f>IF(AND(358&gt;=MS_Initial_Closing_Start,358&lt;TaxOpStartMonth),(LandCost+MX$37)*EffTaxRateOnValue/12,0)</f>
        <v/>
      </c>
      <c r="MY38" s="228">
        <f>IF(AND(359&gt;=MS_Initial_Closing_Start,359&lt;TaxOpStartMonth),(LandCost+MY$37)*EffTaxRateOnValue/12,0)</f>
        <v/>
      </c>
      <c r="MZ38" s="228">
        <f>IF(AND(360&gt;=MS_Initial_Closing_Start,360&lt;TaxOpStartMonth),(LandCost+MZ$37)*EffTaxRateOnValue/12,0)</f>
        <v/>
      </c>
      <c r="NA38" s="228">
        <f>IF(AND(361&gt;=MS_Initial_Closing_Start,361&lt;TaxOpStartMonth),(LandCost+NA$37)*EffTaxRateOnValue/12,0)</f>
        <v/>
      </c>
      <c r="NB38" s="228">
        <f>IF(AND(362&gt;=MS_Initial_Closing_Start,362&lt;TaxOpStartMonth),(LandCost+NB$37)*EffTaxRateOnValue/12,0)</f>
        <v/>
      </c>
      <c r="NC38" s="228">
        <f>IF(AND(363&gt;=MS_Initial_Closing_Start,363&lt;TaxOpStartMonth),(LandCost+NC$37)*EffTaxRateOnValue/12,0)</f>
        <v/>
      </c>
      <c r="ND38" s="228">
        <f>IF(AND(364&gt;=MS_Initial_Closing_Start,364&lt;TaxOpStartMonth),(LandCost+ND$37)*EffTaxRateOnValue/12,0)</f>
        <v/>
      </c>
      <c r="NE38" s="228">
        <f>IF(AND(365&gt;=MS_Initial_Closing_Start,365&lt;TaxOpStartMonth),(LandCost+NE$37)*EffTaxRateOnValue/12,0)</f>
        <v/>
      </c>
      <c r="NF38" s="228">
        <f>IF(AND(366&gt;=MS_Initial_Closing_Start,366&lt;TaxOpStartMonth),(LandCost+NF$37)*EffTaxRateOnValue/12,0)</f>
        <v/>
      </c>
      <c r="NG38" s="228">
        <f>IF(AND(367&gt;=MS_Initial_Closing_Start,367&lt;TaxOpStartMonth),(LandCost+NG$37)*EffTaxRateOnValue/12,0)</f>
        <v/>
      </c>
      <c r="NH38" s="228">
        <f>IF(AND(368&gt;=MS_Initial_Closing_Start,368&lt;TaxOpStartMonth),(LandCost+NH$37)*EffTaxRateOnValue/12,0)</f>
        <v/>
      </c>
      <c r="NI38" s="228">
        <f>IF(AND(369&gt;=MS_Initial_Closing_Start,369&lt;TaxOpStartMonth),(LandCost+NI$37)*EffTaxRateOnValue/12,0)</f>
        <v/>
      </c>
      <c r="NJ38" s="228">
        <f>IF(AND(370&gt;=MS_Initial_Closing_Start,370&lt;TaxOpStartMonth),(LandCost+NJ$37)*EffTaxRateOnValue/12,0)</f>
        <v/>
      </c>
      <c r="NK38" s="228">
        <f>IF(AND(371&gt;=MS_Initial_Closing_Start,371&lt;TaxOpStartMonth),(LandCost+NK$37)*EffTaxRateOnValue/12,0)</f>
        <v/>
      </c>
      <c r="NL38" s="247">
        <f>IF(AND(372&gt;=MS_Initial_Closing_Start,372&lt;TaxOpStartMonth),(LandCost+NL$37)*EffTaxRateOnValue/12,0)</f>
        <v/>
      </c>
    </row>
    <row r="39">
      <c r="B39" s="57" t="inlineStr">
        <is>
          <t>Construction-Period Tax — Total</t>
        </is>
      </c>
      <c r="C39" s="79" t="n"/>
      <c r="D39" s="236">
        <f>DevSpend!$D$38</f>
        <v/>
      </c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79" t="n"/>
      <c r="AB39" s="79" t="n"/>
      <c r="AC39" s="79" t="n"/>
      <c r="AD39" s="79" t="n"/>
      <c r="AE39" s="79" t="n"/>
      <c r="AF39" s="79" t="n"/>
      <c r="AG39" s="79" t="n"/>
      <c r="AH39" s="79" t="n"/>
      <c r="AI39" s="79" t="n"/>
      <c r="AJ39" s="79" t="n"/>
      <c r="AK39" s="79" t="n"/>
      <c r="AL39" s="79" t="n"/>
      <c r="AM39" s="79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79" t="n"/>
      <c r="AW39" s="79" t="n"/>
      <c r="AX39" s="79" t="n"/>
      <c r="AY39" s="79" t="n"/>
      <c r="AZ39" s="79" t="n"/>
      <c r="BA39" s="79" t="n"/>
      <c r="BB39" s="79" t="n"/>
      <c r="BC39" s="79" t="n"/>
      <c r="BD39" s="79" t="n"/>
      <c r="BE39" s="79" t="n"/>
      <c r="BF39" s="79" t="n"/>
      <c r="BG39" s="79" t="n"/>
      <c r="BH39" s="79" t="n"/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79" t="n"/>
      <c r="BR39" s="79" t="n"/>
      <c r="BS39" s="79" t="n"/>
      <c r="BT39" s="79" t="n"/>
      <c r="BU39" s="79" t="n"/>
      <c r="BV39" s="79" t="n"/>
      <c r="BW39" s="79" t="n"/>
      <c r="BX39" s="79" t="n"/>
      <c r="BY39" s="79" t="n"/>
      <c r="BZ39" s="79" t="n"/>
      <c r="CA39" s="79" t="n"/>
      <c r="CB39" s="79" t="n"/>
      <c r="CC39" s="79" t="n"/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79" t="n"/>
      <c r="CM39" s="79" t="n"/>
      <c r="CN39" s="79" t="n"/>
      <c r="CO39" s="79" t="n"/>
      <c r="CP39" s="79" t="n"/>
      <c r="CQ39" s="79" t="n"/>
      <c r="CR39" s="79" t="n"/>
      <c r="CS39" s="79" t="n"/>
      <c r="CT39" s="79" t="n"/>
      <c r="CU39" s="79" t="n"/>
      <c r="CV39" s="79" t="n"/>
      <c r="CW39" s="79" t="n"/>
      <c r="CX39" s="79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79" t="n"/>
      <c r="DH39" s="79" t="n"/>
      <c r="DI39" s="79" t="n"/>
      <c r="DJ39" s="79" t="n"/>
      <c r="DK39" s="79" t="n"/>
      <c r="DL39" s="79" t="n"/>
      <c r="DM39" s="79" t="n"/>
      <c r="DN39" s="79" t="n"/>
      <c r="DO39" s="79" t="n"/>
      <c r="DP39" s="79" t="n"/>
      <c r="DQ39" s="79" t="n"/>
      <c r="DR39" s="79" t="n"/>
      <c r="DS39" s="79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79" t="n"/>
      <c r="EC39" s="79" t="n"/>
      <c r="ED39" s="79" t="n"/>
      <c r="EE39" s="79" t="n"/>
      <c r="EF39" s="79" t="n"/>
      <c r="EG39" s="79" t="n"/>
      <c r="EH39" s="79" t="n"/>
      <c r="EI39" s="79" t="n"/>
      <c r="EJ39" s="79" t="n"/>
      <c r="EK39" s="79" t="n"/>
      <c r="EL39" s="79" t="n"/>
      <c r="EM39" s="79" t="n"/>
      <c r="EN39" s="79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79" t="n"/>
      <c r="EX39" s="79" t="n"/>
      <c r="EY39" s="79" t="n"/>
      <c r="EZ39" s="79" t="n"/>
      <c r="FA39" s="79" t="n"/>
      <c r="FB39" s="79" t="n"/>
      <c r="FC39" s="79" t="n"/>
      <c r="FD39" s="79" t="n"/>
      <c r="FE39" s="79" t="n"/>
      <c r="FF39" s="79" t="n"/>
      <c r="FG39" s="79" t="n"/>
      <c r="FH39" s="79" t="n"/>
      <c r="FI39" s="79" t="n"/>
      <c r="FJ39" s="79" t="n"/>
      <c r="FK39" s="79" t="n"/>
      <c r="FL39" s="79" t="n"/>
      <c r="FM39" s="79" t="n"/>
      <c r="FN39" s="79" t="n"/>
      <c r="FO39" s="79" t="n"/>
      <c r="FP39" s="79" t="n"/>
      <c r="FQ39" s="79" t="n"/>
      <c r="FR39" s="79" t="n"/>
      <c r="FS39" s="79" t="n"/>
      <c r="FT39" s="79" t="n"/>
      <c r="FU39" s="79" t="n"/>
      <c r="FV39" s="79" t="n"/>
      <c r="FW39" s="79" t="n"/>
      <c r="FX39" s="79" t="n"/>
      <c r="FY39" s="79" t="n"/>
      <c r="FZ39" s="79" t="n"/>
      <c r="GA39" s="79" t="n"/>
      <c r="GB39" s="79" t="n"/>
      <c r="GC39" s="79" t="n"/>
      <c r="GD39" s="79" t="n"/>
      <c r="GE39" s="79" t="n"/>
      <c r="GF39" s="79" t="n"/>
      <c r="GG39" s="79" t="n"/>
      <c r="GH39" s="79" t="n"/>
      <c r="GI39" s="79" t="n"/>
      <c r="GJ39" s="79" t="n"/>
      <c r="GK39" s="79" t="n"/>
      <c r="GL39" s="79" t="n"/>
      <c r="GM39" s="79" t="n"/>
      <c r="GN39" s="79" t="n"/>
      <c r="GO39" s="79" t="n"/>
      <c r="GP39" s="79" t="n"/>
      <c r="GQ39" s="79" t="n"/>
      <c r="GR39" s="79" t="n"/>
      <c r="GS39" s="79" t="n"/>
      <c r="GT39" s="79" t="n"/>
      <c r="GU39" s="79" t="n"/>
      <c r="GV39" s="79" t="n"/>
      <c r="GW39" s="79" t="n"/>
      <c r="GX39" s="79" t="n"/>
      <c r="GY39" s="79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79" t="n"/>
      <c r="HI39" s="79" t="n"/>
      <c r="HJ39" s="79" t="n"/>
      <c r="HK39" s="79" t="n"/>
      <c r="HL39" s="79" t="n"/>
      <c r="HM39" s="79" t="n"/>
      <c r="HN39" s="79" t="n"/>
      <c r="HO39" s="79" t="n"/>
      <c r="HP39" s="79" t="n"/>
      <c r="HQ39" s="79" t="n"/>
      <c r="HR39" s="79" t="n"/>
      <c r="HS39" s="79" t="n"/>
      <c r="HT39" s="79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79" t="n"/>
      <c r="ID39" s="79" t="n"/>
      <c r="IE39" s="79" t="n"/>
      <c r="IF39" s="79" t="n"/>
      <c r="IG39" s="79" t="n"/>
      <c r="IH39" s="79" t="n"/>
      <c r="II39" s="79" t="n"/>
      <c r="IJ39" s="79" t="n"/>
      <c r="IK39" s="79" t="n"/>
      <c r="IL39" s="79" t="n"/>
      <c r="IM39" s="79" t="n"/>
      <c r="IN39" s="79" t="n"/>
      <c r="IO39" s="79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79" t="n"/>
      <c r="IY39" s="79" t="n"/>
      <c r="IZ39" s="79" t="n"/>
      <c r="JA39" s="79" t="n"/>
      <c r="JB39" s="79" t="n"/>
      <c r="JC39" s="79" t="n"/>
      <c r="JD39" s="79" t="n"/>
      <c r="JE39" s="79" t="n"/>
      <c r="JF39" s="79" t="n"/>
      <c r="JG39" s="79" t="n"/>
      <c r="JH39" s="79" t="n"/>
      <c r="JI39" s="79" t="n"/>
      <c r="JJ39" s="79" t="n"/>
      <c r="JK39" s="79" t="n"/>
      <c r="JL39" s="79" t="n"/>
      <c r="JM39" s="79" t="n"/>
      <c r="JN39" s="79" t="n"/>
      <c r="JO39" s="79" t="n"/>
      <c r="JP39" s="79" t="n"/>
      <c r="JQ39" s="79" t="n"/>
      <c r="JR39" s="79" t="n"/>
      <c r="JS39" s="79" t="n"/>
      <c r="JT39" s="79" t="n"/>
      <c r="JU39" s="79" t="n"/>
      <c r="JV39" s="79" t="n"/>
      <c r="JW39" s="79" t="n"/>
      <c r="JX39" s="79" t="n"/>
      <c r="JY39" s="79" t="n"/>
      <c r="JZ39" s="79" t="n"/>
      <c r="KA39" s="79" t="n"/>
      <c r="KB39" s="79" t="n"/>
      <c r="KC39" s="79" t="n"/>
      <c r="KD39" s="79" t="n"/>
      <c r="KE39" s="79" t="n"/>
      <c r="KF39" s="79" t="n"/>
      <c r="KG39" s="79" t="n"/>
      <c r="KH39" s="79" t="n"/>
      <c r="KI39" s="79" t="n"/>
      <c r="KJ39" s="79" t="n"/>
      <c r="KK39" s="79" t="n"/>
      <c r="KL39" s="79" t="n"/>
      <c r="KM39" s="79" t="n"/>
      <c r="KN39" s="79" t="n"/>
      <c r="KO39" s="79" t="n"/>
      <c r="KP39" s="79" t="n"/>
      <c r="KQ39" s="79" t="n"/>
      <c r="KR39" s="79" t="n"/>
      <c r="KS39" s="79" t="n"/>
      <c r="KT39" s="79" t="n"/>
      <c r="KU39" s="79" t="n"/>
      <c r="KV39" s="79" t="n"/>
      <c r="KW39" s="79" t="n"/>
      <c r="KX39" s="79" t="n"/>
      <c r="KY39" s="79" t="n"/>
      <c r="KZ39" s="79" t="n"/>
      <c r="LA39" s="79" t="n"/>
      <c r="LB39" s="79" t="n"/>
      <c r="LC39" s="79" t="n"/>
      <c r="LD39" s="79" t="n"/>
      <c r="LE39" s="79" t="n"/>
      <c r="LF39" s="79" t="n"/>
      <c r="LG39" s="79" t="n"/>
      <c r="LH39" s="79" t="n"/>
      <c r="LI39" s="79" t="n"/>
      <c r="LJ39" s="79" t="n"/>
      <c r="LK39" s="79" t="n"/>
      <c r="LL39" s="79" t="n"/>
      <c r="LM39" s="79" t="n"/>
      <c r="LN39" s="79" t="n"/>
      <c r="LO39" s="79" t="n"/>
      <c r="LP39" s="79" t="n"/>
      <c r="LQ39" s="79" t="n"/>
      <c r="LR39" s="79" t="n"/>
      <c r="LS39" s="79" t="n"/>
      <c r="LT39" s="79" t="n"/>
      <c r="LU39" s="79" t="n"/>
      <c r="LV39" s="79" t="n"/>
      <c r="LW39" s="79" t="n"/>
      <c r="LX39" s="79" t="n"/>
      <c r="LY39" s="79" t="n"/>
      <c r="LZ39" s="79" t="n"/>
      <c r="MA39" s="79" t="n"/>
      <c r="MB39" s="79" t="n"/>
      <c r="MC39" s="79" t="n"/>
      <c r="MD39" s="79" t="n"/>
      <c r="ME39" s="79" t="n"/>
      <c r="MF39" s="79" t="n"/>
      <c r="MG39" s="79" t="n"/>
      <c r="MH39" s="79" t="n"/>
      <c r="MI39" s="79" t="n"/>
      <c r="MJ39" s="79" t="n"/>
      <c r="MK39" s="79" t="n"/>
      <c r="ML39" s="79" t="n"/>
      <c r="MM39" s="79" t="n"/>
      <c r="MN39" s="79" t="n"/>
      <c r="MO39" s="79" t="n"/>
      <c r="MP39" s="79" t="n"/>
      <c r="MQ39" s="79" t="n"/>
      <c r="MR39" s="79" t="n"/>
      <c r="MS39" s="79" t="n"/>
      <c r="MT39" s="79" t="n"/>
      <c r="MU39" s="79" t="n"/>
      <c r="MV39" s="79" t="n"/>
      <c r="MW39" s="79" t="n"/>
      <c r="MX39" s="79" t="n"/>
      <c r="MY39" s="79" t="n"/>
      <c r="MZ39" s="79" t="n"/>
      <c r="NA39" s="79" t="n"/>
      <c r="NB39" s="79" t="n"/>
      <c r="NC39" s="79" t="n"/>
      <c r="ND39" s="79" t="n"/>
      <c r="NE39" s="79" t="n"/>
      <c r="NF39" s="79" t="n"/>
      <c r="NG39" s="79" t="n"/>
      <c r="NH39" s="79" t="n"/>
      <c r="NI39" s="79" t="n"/>
      <c r="NJ39" s="79" t="n"/>
      <c r="NK39" s="79" t="n"/>
      <c r="NL39" s="66" t="n"/>
    </row>
    <row r="41">
      <c r="B41" s="34" t="inlineStr">
        <is>
          <t>Cost-Curve Reconciliation</t>
        </is>
      </c>
      <c r="C41" s="60" t="n"/>
      <c r="D41" s="35" t="n"/>
    </row>
    <row r="42">
      <c r="B42" s="36" t="inlineStr">
        <is>
          <t>Max |line curve sum − Budget total|</t>
        </is>
      </c>
      <c r="D42" s="253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)</f>
        <v/>
      </c>
    </row>
    <row r="43">
      <c r="B43" s="40" t="inlineStr">
        <is>
          <t>Dev fee curve sum − DevFee</t>
        </is>
      </c>
      <c r="C43" s="79" t="n"/>
      <c r="D43" s="254">
        <f>DevSpend!$D$35-DevFee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L48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</cols>
  <sheetData>
    <row r="1" ht="21" customHeight="1" s="97">
      <c r="B1" s="1" t="inlineStr">
        <is>
          <t>Construction Loan — Sizing &amp; Monthly Draw Schedule</t>
        </is>
      </c>
    </row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TargetLTC*ConCostBasis</f>
        <v/>
      </c>
      <c r="D5" s="53" t="n"/>
    </row>
    <row r="6">
      <c r="B6" s="36" t="inlineStr">
        <is>
          <t>Max Loan by Min Debt Yield</t>
        </is>
      </c>
      <c r="C6" s="255">
        <f>StabNOI/ConMinDebtYield</f>
        <v/>
      </c>
      <c r="D6" s="53" t="n"/>
    </row>
    <row r="7">
      <c r="B7" s="36" t="inlineStr">
        <is>
          <t>Max Loan by Min DSCR (I/O)</t>
        </is>
      </c>
      <c r="C7" s="255">
        <f>StabNOI/(ConMinDSCR*ConRate)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StabNOI/ConCostCommit</f>
        <v/>
      </c>
      <c r="D16" s="53" t="n"/>
    </row>
    <row r="17">
      <c r="B17" s="36" t="inlineStr">
        <is>
          <t>DSCR at Commitment (I/O)</t>
        </is>
      </c>
      <c r="C17" s="257">
        <f>StabNOI/(ConRate*ConCostCommit)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DevSpend!E$34+DevSpend!E$35+DevSpend!E$38+IF(1=MS_Initial_Closing_Start,ConOtherCosts+ConPoints+RecourseFee+OpReserve,0)</f>
        <v/>
      </c>
      <c r="F26" s="218">
        <f>DevSpend!F$34+DevSpend!F$35+DevSpend!F$38+IF(2=MS_Initial_Closing_Start,ConOtherCosts+ConPoints+RecourseFee+OpReserve,0)</f>
        <v/>
      </c>
      <c r="G26" s="218">
        <f>DevSpend!G$34+DevSpend!G$35+DevSpend!G$38+IF(3=MS_Initial_Closing_Start,ConOtherCosts+ConPoints+RecourseFee+OpReserve,0)</f>
        <v/>
      </c>
      <c r="H26" s="218">
        <f>DevSpend!H$34+DevSpend!H$35+DevSpend!H$38+IF(4=MS_Initial_Closing_Start,ConOtherCosts+ConPoints+RecourseFee+OpReserve,0)</f>
        <v/>
      </c>
      <c r="I26" s="218">
        <f>DevSpend!I$34+DevSpend!I$35+DevSpend!I$38+IF(5=MS_Initial_Closing_Start,ConOtherCosts+ConPoints+RecourseFee+OpReserve,0)</f>
        <v/>
      </c>
      <c r="J26" s="218">
        <f>DevSpend!J$34+DevSpend!J$35+DevSpend!J$38+IF(6=MS_Initial_Closing_Start,ConOtherCosts+ConPoints+RecourseFee+OpReserve,0)</f>
        <v/>
      </c>
      <c r="K26" s="218">
        <f>DevSpend!K$34+DevSpend!K$35+DevSpend!K$38+IF(7=MS_Initial_Closing_Start,ConOtherCosts+ConPoints+RecourseFee+OpReserve,0)</f>
        <v/>
      </c>
      <c r="L26" s="218">
        <f>DevSpend!L$34+DevSpend!L$35+DevSpend!L$38+IF(8=MS_Initial_Closing_Start,ConOtherCosts+ConPoints+RecourseFee+OpReserve,0)</f>
        <v/>
      </c>
      <c r="M26" s="218">
        <f>DevSpend!M$34+DevSpend!M$35+DevSpend!M$38+IF(9=MS_Initial_Closing_Start,ConOtherCosts+ConPoints+RecourseFee+OpReserve,0)</f>
        <v/>
      </c>
      <c r="N26" s="218">
        <f>DevSpend!N$34+DevSpend!N$35+DevSpend!N$38+IF(10=MS_Initial_Closing_Start,ConOtherCosts+ConPoints+RecourseFee+OpReserve,0)</f>
        <v/>
      </c>
      <c r="O26" s="218">
        <f>DevSpend!O$34+DevSpend!O$35+DevSpend!O$38+IF(11=MS_Initial_Closing_Start,ConOtherCosts+ConPoints+RecourseFee+OpReserve,0)</f>
        <v/>
      </c>
      <c r="P26" s="218">
        <f>DevSpend!P$34+DevSpend!P$35+DevSpend!P$38+IF(12=MS_Initial_Closing_Start,ConOtherCosts+ConPoints+RecourseFee+OpReserve,0)</f>
        <v/>
      </c>
      <c r="Q26" s="218">
        <f>DevSpend!Q$34+DevSpend!Q$35+DevSpend!Q$38+IF(13=MS_Initial_Closing_Start,ConOtherCosts+ConPoints+RecourseFee+OpReserve,0)</f>
        <v/>
      </c>
      <c r="R26" s="218">
        <f>DevSpend!R$34+DevSpend!R$35+DevSpend!R$38+IF(14=MS_Initial_Closing_Start,ConOtherCosts+ConPoints+RecourseFee+OpReserve,0)</f>
        <v/>
      </c>
      <c r="S26" s="218">
        <f>DevSpend!S$34+DevSpend!S$35+DevSpend!S$38+IF(15=MS_Initial_Closing_Start,ConOtherCosts+ConPoints+RecourseFee+OpReserve,0)</f>
        <v/>
      </c>
      <c r="T26" s="218">
        <f>DevSpend!T$34+DevSpend!T$35+DevSpend!T$38+IF(16=MS_Initial_Closing_Start,ConOtherCosts+ConPoints+RecourseFee+OpReserve,0)</f>
        <v/>
      </c>
      <c r="U26" s="218">
        <f>DevSpend!U$34+DevSpend!U$35+DevSpend!U$38+IF(17=MS_Initial_Closing_Start,ConOtherCosts+ConPoints+RecourseFee+OpReserve,0)</f>
        <v/>
      </c>
      <c r="V26" s="218">
        <f>DevSpend!V$34+DevSpend!V$35+DevSpend!V$38+IF(18=MS_Initial_Closing_Start,ConOtherCosts+ConPoints+RecourseFee+OpReserve,0)</f>
        <v/>
      </c>
      <c r="W26" s="218">
        <f>DevSpend!W$34+DevSpend!W$35+DevSpend!W$38+IF(19=MS_Initial_Closing_Start,ConOtherCosts+ConPoints+RecourseFee+OpReserve,0)</f>
        <v/>
      </c>
      <c r="X26" s="218">
        <f>DevSpend!X$34+DevSpend!X$35+DevSpend!X$38+IF(20=MS_Initial_Closing_Start,ConOtherCosts+ConPoints+RecourseFee+OpReserve,0)</f>
        <v/>
      </c>
      <c r="Y26" s="218">
        <f>DevSpend!Y$34+DevSpend!Y$35+DevSpend!Y$38+IF(21=MS_Initial_Closing_Start,ConOtherCosts+ConPoints+RecourseFee+OpReserve,0)</f>
        <v/>
      </c>
      <c r="Z26" s="218">
        <f>DevSpend!Z$34+DevSpend!Z$35+DevSpend!Z$38+IF(22=MS_Initial_Closing_Start,ConOtherCosts+ConPoints+RecourseFee+OpReserve,0)</f>
        <v/>
      </c>
      <c r="AA26" s="218">
        <f>DevSpend!AA$34+DevSpend!AA$35+DevSpend!AA$38+IF(23=MS_Initial_Closing_Start,ConOtherCosts+ConPoints+RecourseFee+OpReserve,0)</f>
        <v/>
      </c>
      <c r="AB26" s="218">
        <f>DevSpend!AB$34+DevSpend!AB$35+DevSpend!AB$38+IF(24=MS_Initial_Closing_Start,ConOtherCosts+ConPoints+RecourseFee+OpReserve,0)</f>
        <v/>
      </c>
      <c r="AC26" s="218">
        <f>DevSpend!AC$34+DevSpend!AC$35+DevSpend!AC$38+IF(25=MS_Initial_Closing_Start,ConOtherCosts+ConPoints+RecourseFee+OpReserve,0)</f>
        <v/>
      </c>
      <c r="AD26" s="218">
        <f>DevSpend!AD$34+DevSpend!AD$35+DevSpend!AD$38+IF(26=MS_Initial_Closing_Start,ConOtherCosts+ConPoints+RecourseFee+OpReserve,0)</f>
        <v/>
      </c>
      <c r="AE26" s="218">
        <f>DevSpend!AE$34+DevSpend!AE$35+DevSpend!AE$38+IF(27=MS_Initial_Closing_Start,ConOtherCosts+ConPoints+RecourseFee+OpReserve,0)</f>
        <v/>
      </c>
      <c r="AF26" s="218">
        <f>DevSpend!AF$34+DevSpend!AF$35+DevSpend!AF$38+IF(28=MS_Initial_Closing_Start,ConOtherCosts+ConPoints+RecourseFee+OpReserve,0)</f>
        <v/>
      </c>
      <c r="AG26" s="218">
        <f>DevSpend!AG$34+DevSpend!AG$35+DevSpend!AG$38+IF(29=MS_Initial_Closing_Start,ConOtherCosts+ConPoints+RecourseFee+OpReserve,0)</f>
        <v/>
      </c>
      <c r="AH26" s="218">
        <f>DevSpend!AH$34+DevSpend!AH$35+DevSpend!AH$38+IF(30=MS_Initial_Closing_Start,ConOtherCosts+ConPoints+RecourseFee+OpReserve,0)</f>
        <v/>
      </c>
      <c r="AI26" s="218">
        <f>DevSpend!AI$34+DevSpend!AI$35+DevSpend!AI$38+IF(31=MS_Initial_Closing_Start,ConOtherCosts+ConPoints+RecourseFee+OpReserve,0)</f>
        <v/>
      </c>
      <c r="AJ26" s="218">
        <f>DevSpend!AJ$34+DevSpend!AJ$35+DevSpend!AJ$38+IF(32=MS_Initial_Closing_Start,ConOtherCosts+ConPoints+RecourseFee+OpReserve,0)</f>
        <v/>
      </c>
      <c r="AK26" s="218">
        <f>DevSpend!AK$34+DevSpend!AK$35+DevSpend!AK$38+IF(33=MS_Initial_Closing_Start,ConOtherCosts+ConPoints+RecourseFee+OpReserve,0)</f>
        <v/>
      </c>
      <c r="AL26" s="218">
        <f>DevSpend!AL$34+DevSpend!AL$35+DevSpend!AL$38+IF(34=MS_Initial_Closing_Start,ConOtherCosts+ConPoints+RecourseFee+OpReserve,0)</f>
        <v/>
      </c>
      <c r="AM26" s="218">
        <f>DevSpend!AM$34+DevSpend!AM$35+DevSpend!AM$38+IF(35=MS_Initial_Closing_Start,ConOtherCosts+ConPoints+RecourseFee+OpReserve,0)</f>
        <v/>
      </c>
      <c r="AN26" s="218">
        <f>DevSpend!AN$34+DevSpend!AN$35+DevSpend!AN$38+IF(36=MS_Initial_Closing_Start,ConOtherCosts+ConPoints+RecourseFee+OpReserve,0)</f>
        <v/>
      </c>
      <c r="AO26" s="218">
        <f>DevSpend!AO$34+DevSpend!AO$35+DevSpend!AO$38+IF(37=MS_Initial_Closing_Start,ConOtherCosts+ConPoints+RecourseFee+OpReserve,0)</f>
        <v/>
      </c>
      <c r="AP26" s="218">
        <f>DevSpend!AP$34+DevSpend!AP$35+DevSpend!AP$38+IF(38=MS_Initial_Closing_Start,ConOtherCosts+ConPoints+RecourseFee+OpReserve,0)</f>
        <v/>
      </c>
      <c r="AQ26" s="218">
        <f>DevSpend!AQ$34+DevSpend!AQ$35+DevSpend!AQ$38+IF(39=MS_Initial_Closing_Start,ConOtherCosts+ConPoints+RecourseFee+OpReserve,0)</f>
        <v/>
      </c>
      <c r="AR26" s="218">
        <f>DevSpend!AR$34+DevSpend!AR$35+DevSpend!AR$38+IF(40=MS_Initial_Closing_Start,ConOtherCosts+ConPoints+RecourseFee+OpReserve,0)</f>
        <v/>
      </c>
      <c r="AS26" s="218">
        <f>DevSpend!AS$34+DevSpend!AS$35+DevSpend!AS$38+IF(41=MS_Initial_Closing_Start,ConOtherCosts+ConPoints+RecourseFee+OpReserve,0)</f>
        <v/>
      </c>
      <c r="AT26" s="218">
        <f>DevSpend!AT$34+DevSpend!AT$35+DevSpend!AT$38+IF(42=MS_Initial_Closing_Start,ConOtherCosts+ConPoints+RecourseFee+OpReserve,0)</f>
        <v/>
      </c>
      <c r="AU26" s="218">
        <f>DevSpend!AU$34+DevSpend!AU$35+DevSpend!AU$38+IF(43=MS_Initial_Closing_Start,ConOtherCosts+ConPoints+RecourseFee+OpReserve,0)</f>
        <v/>
      </c>
      <c r="AV26" s="218">
        <f>DevSpend!AV$34+DevSpend!AV$35+DevSpend!AV$38+IF(44=MS_Initial_Closing_Start,ConOtherCosts+ConPoints+RecourseFee+OpReserve,0)</f>
        <v/>
      </c>
      <c r="AW26" s="218">
        <f>DevSpend!AW$34+DevSpend!AW$35+DevSpend!AW$38+IF(45=MS_Initial_Closing_Start,ConOtherCosts+ConPoints+RecourseFee+OpReserve,0)</f>
        <v/>
      </c>
      <c r="AX26" s="218">
        <f>DevSpend!AX$34+DevSpend!AX$35+DevSpend!AX$38+IF(46=MS_Initial_Closing_Start,ConOtherCosts+ConPoints+RecourseFee+OpReserve,0)</f>
        <v/>
      </c>
      <c r="AY26" s="218">
        <f>DevSpend!AY$34+DevSpend!AY$35+DevSpend!AY$38+IF(47=MS_Initial_Closing_Start,ConOtherCosts+ConPoints+RecourseFee+OpReserve,0)</f>
        <v/>
      </c>
      <c r="AZ26" s="218">
        <f>DevSpend!AZ$34+DevSpend!AZ$35+DevSpend!AZ$38+IF(48=MS_Initial_Closing_Start,ConOtherCosts+ConPoints+RecourseFee+OpReserve,0)</f>
        <v/>
      </c>
      <c r="BA26" s="218">
        <f>DevSpend!BA$34+DevSpend!BA$35+DevSpend!BA$38+IF(49=MS_Initial_Closing_Start,ConOtherCosts+ConPoints+RecourseFee+OpReserve,0)</f>
        <v/>
      </c>
      <c r="BB26" s="218">
        <f>DevSpend!BB$34+DevSpend!BB$35+DevSpend!BB$38+IF(50=MS_Initial_Closing_Start,ConOtherCosts+ConPoints+RecourseFee+OpReserve,0)</f>
        <v/>
      </c>
      <c r="BC26" s="218">
        <f>DevSpend!BC$34+DevSpend!BC$35+DevSpend!BC$38+IF(51=MS_Initial_Closing_Start,ConOtherCosts+ConPoints+RecourseFee+OpReserve,0)</f>
        <v/>
      </c>
      <c r="BD26" s="218">
        <f>DevSpend!BD$34+DevSpend!BD$35+DevSpend!BD$38+IF(52=MS_Initial_Closing_Start,ConOtherCosts+ConPoints+RecourseFee+OpReserve,0)</f>
        <v/>
      </c>
      <c r="BE26" s="218">
        <f>DevSpend!BE$34+DevSpend!BE$35+DevSpend!BE$38+IF(53=MS_Initial_Closing_Start,ConOtherCosts+ConPoints+RecourseFee+OpReserve,0)</f>
        <v/>
      </c>
      <c r="BF26" s="218">
        <f>DevSpend!BF$34+DevSpend!BF$35+DevSpend!BF$38+IF(54=MS_Initial_Closing_Start,ConOtherCosts+ConPoints+RecourseFee+OpReserve,0)</f>
        <v/>
      </c>
      <c r="BG26" s="218">
        <f>DevSpend!BG$34+DevSpend!BG$35+DevSpend!BG$38+IF(55=MS_Initial_Closing_Start,ConOtherCosts+ConPoints+RecourseFee+OpReserve,0)</f>
        <v/>
      </c>
      <c r="BH26" s="218">
        <f>DevSpend!BH$34+DevSpend!BH$35+DevSpend!BH$38+IF(56=MS_Initial_Closing_Start,ConOtherCosts+ConPoints+RecourseFee+OpReserve,0)</f>
        <v/>
      </c>
      <c r="BI26" s="218">
        <f>DevSpend!BI$34+DevSpend!BI$35+DevSpend!BI$38+IF(57=MS_Initial_Closing_Start,ConOtherCosts+ConPoints+RecourseFee+OpReserve,0)</f>
        <v/>
      </c>
      <c r="BJ26" s="218">
        <f>DevSpend!BJ$34+DevSpend!BJ$35+DevSpend!BJ$38+IF(58=MS_Initial_Closing_Start,ConOtherCosts+ConPoints+RecourseFee+OpReserve,0)</f>
        <v/>
      </c>
      <c r="BK26" s="218">
        <f>DevSpend!BK$34+DevSpend!BK$35+DevSpend!BK$38+IF(59=MS_Initial_Closing_Start,ConOtherCosts+ConPoints+RecourseFee+OpReserve,0)</f>
        <v/>
      </c>
      <c r="BL26" s="218">
        <f>DevSpend!BL$34+DevSpend!BL$35+DevSpend!BL$38+IF(60=MS_Initial_Closing_Start,ConOtherCosts+ConPoints+RecourseFee+OpReserve,0)</f>
        <v/>
      </c>
      <c r="BM26" s="218">
        <f>DevSpend!BM$34+DevSpend!BM$35+DevSpend!BM$38+IF(61=MS_Initial_Closing_Start,ConOtherCosts+ConPoints+RecourseFee+OpReserve,0)</f>
        <v/>
      </c>
      <c r="BN26" s="218">
        <f>DevSpend!BN$34+DevSpend!BN$35+DevSpend!BN$38+IF(62=MS_Initial_Closing_Start,ConOtherCosts+ConPoints+RecourseFee+OpReserve,0)</f>
        <v/>
      </c>
      <c r="BO26" s="218">
        <f>DevSpend!BO$34+DevSpend!BO$35+DevSpend!BO$38+IF(63=MS_Initial_Closing_Start,ConOtherCosts+ConPoints+RecourseFee+OpReserve,0)</f>
        <v/>
      </c>
      <c r="BP26" s="218">
        <f>DevSpend!BP$34+DevSpend!BP$35+DevSpend!BP$38+IF(64=MS_Initial_Closing_Start,ConOtherCosts+ConPoints+RecourseFee+OpReserve,0)</f>
        <v/>
      </c>
      <c r="BQ26" s="218">
        <f>DevSpend!BQ$34+DevSpend!BQ$35+DevSpend!BQ$38+IF(65=MS_Initial_Closing_Start,ConOtherCosts+ConPoints+RecourseFee+OpReserve,0)</f>
        <v/>
      </c>
      <c r="BR26" s="218">
        <f>DevSpend!BR$34+DevSpend!BR$35+DevSpend!BR$38+IF(66=MS_Initial_Closing_Start,ConOtherCosts+ConPoints+RecourseFee+OpReserve,0)</f>
        <v/>
      </c>
      <c r="BS26" s="218">
        <f>DevSpend!BS$34+DevSpend!BS$35+DevSpend!BS$38+IF(67=MS_Initial_Closing_Start,ConOtherCosts+ConPoints+RecourseFee+OpReserve,0)</f>
        <v/>
      </c>
      <c r="BT26" s="218">
        <f>DevSpend!BT$34+DevSpend!BT$35+DevSpend!BT$38+IF(68=MS_Initial_Closing_Start,ConOtherCosts+ConPoints+RecourseFee+OpReserve,0)</f>
        <v/>
      </c>
      <c r="BU26" s="218">
        <f>DevSpend!BU$34+DevSpend!BU$35+DevSpend!BU$38+IF(69=MS_Initial_Closing_Start,ConOtherCosts+ConPoints+RecourseFee+OpReserve,0)</f>
        <v/>
      </c>
      <c r="BV26" s="218">
        <f>DevSpend!BV$34+DevSpend!BV$35+DevSpend!BV$38+IF(70=MS_Initial_Closing_Start,ConOtherCosts+ConPoints+RecourseFee+OpReserve,0)</f>
        <v/>
      </c>
      <c r="BW26" s="218">
        <f>DevSpend!BW$34+DevSpend!BW$35+DevSpend!BW$38+IF(71=MS_Initial_Closing_Start,ConOtherCosts+ConPoints+RecourseFee+OpReserve,0)</f>
        <v/>
      </c>
      <c r="BX26" s="218">
        <f>DevSpend!BX$34+DevSpend!BX$35+DevSpend!BX$38+IF(72=MS_Initial_Closing_Start,ConOtherCosts+ConPoints+RecourseFee+OpReserve,0)</f>
        <v/>
      </c>
      <c r="BY26" s="218">
        <f>DevSpend!BY$34+DevSpend!BY$35+DevSpend!BY$38+IF(73=MS_Initial_Closing_Start,ConOtherCosts+ConPoints+RecourseFee+OpReserve,0)</f>
        <v/>
      </c>
      <c r="BZ26" s="218">
        <f>DevSpend!BZ$34+DevSpend!BZ$35+DevSpend!BZ$38+IF(74=MS_Initial_Closing_Start,ConOtherCosts+ConPoints+RecourseFee+OpReserve,0)</f>
        <v/>
      </c>
      <c r="CA26" s="218">
        <f>DevSpend!CA$34+DevSpend!CA$35+DevSpend!CA$38+IF(75=MS_Initial_Closing_Start,ConOtherCosts+ConPoints+RecourseFee+OpReserve,0)</f>
        <v/>
      </c>
      <c r="CB26" s="218">
        <f>DevSpend!CB$34+DevSpend!CB$35+DevSpend!CB$38+IF(76=MS_Initial_Closing_Start,ConOtherCosts+ConPoints+RecourseFee+OpReserve,0)</f>
        <v/>
      </c>
      <c r="CC26" s="218">
        <f>DevSpend!CC$34+DevSpend!CC$35+DevSpend!CC$38+IF(77=MS_Initial_Closing_Start,ConOtherCosts+ConPoints+RecourseFee+OpReserve,0)</f>
        <v/>
      </c>
      <c r="CD26" s="218">
        <f>DevSpend!CD$34+DevSpend!CD$35+DevSpend!CD$38+IF(78=MS_Initial_Closing_Start,ConOtherCosts+ConPoints+RecourseFee+OpReserve,0)</f>
        <v/>
      </c>
      <c r="CE26" s="218">
        <f>DevSpend!CE$34+DevSpend!CE$35+DevSpend!CE$38+IF(79=MS_Initial_Closing_Start,ConOtherCosts+ConPoints+RecourseFee+OpReserve,0)</f>
        <v/>
      </c>
      <c r="CF26" s="218">
        <f>DevSpend!CF$34+DevSpend!CF$35+DevSpend!CF$38+IF(80=MS_Initial_Closing_Start,ConOtherCosts+ConPoints+RecourseFee+OpReserve,0)</f>
        <v/>
      </c>
      <c r="CG26" s="218">
        <f>DevSpend!CG$34+DevSpend!CG$35+DevSpend!CG$38+IF(81=MS_Initial_Closing_Start,ConOtherCosts+ConPoints+RecourseFee+OpReserve,0)</f>
        <v/>
      </c>
      <c r="CH26" s="218">
        <f>DevSpend!CH$34+DevSpend!CH$35+DevSpend!CH$38+IF(82=MS_Initial_Closing_Start,ConOtherCosts+ConPoints+RecourseFee+OpReserve,0)</f>
        <v/>
      </c>
      <c r="CI26" s="218">
        <f>DevSpend!CI$34+DevSpend!CI$35+DevSpend!CI$38+IF(83=MS_Initial_Closing_Start,ConOtherCosts+ConPoints+RecourseFee+OpReserve,0)</f>
        <v/>
      </c>
      <c r="CJ26" s="218">
        <f>DevSpend!CJ$34+DevSpend!CJ$35+DevSpend!CJ$38+IF(84=MS_Initial_Closing_Start,ConOtherCosts+ConPoints+RecourseFee+OpReserve,0)</f>
        <v/>
      </c>
      <c r="CK26" s="218">
        <f>DevSpend!CK$34+DevSpend!CK$35+DevSpend!CK$38+IF(85=MS_Initial_Closing_Start,ConOtherCosts+ConPoints+RecourseFee+OpReserve,0)</f>
        <v/>
      </c>
      <c r="CL26" s="218">
        <f>DevSpend!CL$34+DevSpend!CL$35+DevSpend!CL$38+IF(86=MS_Initial_Closing_Start,ConOtherCosts+ConPoints+RecourseFee+OpReserve,0)</f>
        <v/>
      </c>
      <c r="CM26" s="218">
        <f>DevSpend!CM$34+DevSpend!CM$35+DevSpend!CM$38+IF(87=MS_Initial_Closing_Start,ConOtherCosts+ConPoints+RecourseFee+OpReserve,0)</f>
        <v/>
      </c>
      <c r="CN26" s="218">
        <f>DevSpend!CN$34+DevSpend!CN$35+DevSpend!CN$38+IF(88=MS_Initial_Closing_Start,ConOtherCosts+ConPoints+RecourseFee+OpReserve,0)</f>
        <v/>
      </c>
      <c r="CO26" s="218">
        <f>DevSpend!CO$34+DevSpend!CO$35+DevSpend!CO$38+IF(89=MS_Initial_Closing_Start,ConOtherCosts+ConPoints+RecourseFee+OpReserve,0)</f>
        <v/>
      </c>
      <c r="CP26" s="218">
        <f>DevSpend!CP$34+DevSpend!CP$35+DevSpend!CP$38+IF(90=MS_Initial_Closing_Start,ConOtherCosts+ConPoints+RecourseFee+OpReserve,0)</f>
        <v/>
      </c>
      <c r="CQ26" s="218">
        <f>DevSpend!CQ$34+DevSpend!CQ$35+DevSpend!CQ$38+IF(91=MS_Initial_Closing_Start,ConOtherCosts+ConPoints+RecourseFee+OpReserve,0)</f>
        <v/>
      </c>
      <c r="CR26" s="218">
        <f>DevSpend!CR$34+DevSpend!CR$35+DevSpend!CR$38+IF(92=MS_Initial_Closing_Start,ConOtherCosts+ConPoints+RecourseFee+OpReserve,0)</f>
        <v/>
      </c>
      <c r="CS26" s="218">
        <f>DevSpend!CS$34+DevSpend!CS$35+DevSpend!CS$38+IF(93=MS_Initial_Closing_Start,ConOtherCosts+ConPoints+RecourseFee+OpReserve,0)</f>
        <v/>
      </c>
      <c r="CT26" s="218">
        <f>DevSpend!CT$34+DevSpend!CT$35+DevSpend!CT$38+IF(94=MS_Initial_Closing_Start,ConOtherCosts+ConPoints+RecourseFee+OpReserve,0)</f>
        <v/>
      </c>
      <c r="CU26" s="218">
        <f>DevSpend!CU$34+DevSpend!CU$35+DevSpend!CU$38+IF(95=MS_Initial_Closing_Start,ConOtherCosts+ConPoints+RecourseFee+OpReserve,0)</f>
        <v/>
      </c>
      <c r="CV26" s="218">
        <f>DevSpend!CV$34+DevSpend!CV$35+DevSpend!CV$38+IF(96=MS_Initial_Closing_Start,ConOtherCosts+ConPoints+RecourseFee+OpReserve,0)</f>
        <v/>
      </c>
      <c r="CW26" s="218">
        <f>DevSpend!CW$34+DevSpend!CW$35+DevSpend!CW$38+IF(97=MS_Initial_Closing_Start,ConOtherCosts+ConPoints+RecourseFee+OpReserve,0)</f>
        <v/>
      </c>
      <c r="CX26" s="218">
        <f>DevSpend!CX$34+DevSpend!CX$35+DevSpend!CX$38+IF(98=MS_Initial_Closing_Start,ConOtherCosts+ConPoints+RecourseFee+OpReserve,0)</f>
        <v/>
      </c>
      <c r="CY26" s="218">
        <f>DevSpend!CY$34+DevSpend!CY$35+DevSpend!CY$38+IF(99=MS_Initial_Closing_Start,ConOtherCosts+ConPoints+RecourseFee+OpReserve,0)</f>
        <v/>
      </c>
      <c r="CZ26" s="218">
        <f>DevSpend!CZ$34+DevSpend!CZ$35+DevSpend!CZ$38+IF(100=MS_Initial_Closing_Start,ConOtherCosts+ConPoints+RecourseFee+OpReserve,0)</f>
        <v/>
      </c>
      <c r="DA26" s="218">
        <f>DevSpend!DA$34+DevSpend!DA$35+DevSpend!DA$38+IF(101=MS_Initial_Closing_Start,ConOtherCosts+ConPoints+RecourseFee+OpReserve,0)</f>
        <v/>
      </c>
      <c r="DB26" s="218">
        <f>DevSpend!DB$34+DevSpend!DB$35+DevSpend!DB$38+IF(102=MS_Initial_Closing_Start,ConOtherCosts+ConPoints+RecourseFee+OpReserve,0)</f>
        <v/>
      </c>
      <c r="DC26" s="218">
        <f>DevSpend!DC$34+DevSpend!DC$35+DevSpend!DC$38+IF(103=MS_Initial_Closing_Start,ConOtherCosts+ConPoints+RecourseFee+OpReserve,0)</f>
        <v/>
      </c>
      <c r="DD26" s="218">
        <f>DevSpend!DD$34+DevSpend!DD$35+DevSpend!DD$38+IF(104=MS_Initial_Closing_Start,ConOtherCosts+ConPoints+RecourseFee+OpReserve,0)</f>
        <v/>
      </c>
      <c r="DE26" s="218">
        <f>DevSpend!DE$34+DevSpend!DE$35+DevSpend!DE$38+IF(105=MS_Initial_Closing_Start,ConOtherCosts+ConPoints+RecourseFee+OpReserve,0)</f>
        <v/>
      </c>
      <c r="DF26" s="218">
        <f>DevSpend!DF$34+DevSpend!DF$35+DevSpend!DF$38+IF(106=MS_Initial_Closing_Start,ConOtherCosts+ConPoints+RecourseFee+OpReserve,0)</f>
        <v/>
      </c>
      <c r="DG26" s="218">
        <f>DevSpend!DG$34+DevSpend!DG$35+DevSpend!DG$38+IF(107=MS_Initial_Closing_Start,ConOtherCosts+ConPoints+RecourseFee+OpReserve,0)</f>
        <v/>
      </c>
      <c r="DH26" s="218">
        <f>DevSpend!DH$34+DevSpend!DH$35+DevSpend!DH$38+IF(108=MS_Initial_Closing_Start,ConOtherCosts+ConPoints+RecourseFee+OpReserve,0)</f>
        <v/>
      </c>
      <c r="DI26" s="218">
        <f>DevSpend!DI$34+DevSpend!DI$35+DevSpend!DI$38+IF(109=MS_Initial_Closing_Start,ConOtherCosts+ConPoints+RecourseFee+OpReserve,0)</f>
        <v/>
      </c>
      <c r="DJ26" s="218">
        <f>DevSpend!DJ$34+DevSpend!DJ$35+DevSpend!DJ$38+IF(110=MS_Initial_Closing_Start,ConOtherCosts+ConPoints+RecourseFee+OpReserve,0)</f>
        <v/>
      </c>
      <c r="DK26" s="218">
        <f>DevSpend!DK$34+DevSpend!DK$35+DevSpend!DK$38+IF(111=MS_Initial_Closing_Start,ConOtherCosts+ConPoints+RecourseFee+OpReserve,0)</f>
        <v/>
      </c>
      <c r="DL26" s="218">
        <f>DevSpend!DL$34+DevSpend!DL$35+DevSpend!DL$38+IF(112=MS_Initial_Closing_Start,ConOtherCosts+ConPoints+RecourseFee+OpReserve,0)</f>
        <v/>
      </c>
      <c r="DM26" s="218">
        <f>DevSpend!DM$34+DevSpend!DM$35+DevSpend!DM$38+IF(113=MS_Initial_Closing_Start,ConOtherCosts+ConPoints+RecourseFee+OpReserve,0)</f>
        <v/>
      </c>
      <c r="DN26" s="218">
        <f>DevSpend!DN$34+DevSpend!DN$35+DevSpend!DN$38+IF(114=MS_Initial_Closing_Start,ConOtherCosts+ConPoints+RecourseFee+OpReserve,0)</f>
        <v/>
      </c>
      <c r="DO26" s="218">
        <f>DevSpend!DO$34+DevSpend!DO$35+DevSpend!DO$38+IF(115=MS_Initial_Closing_Start,ConOtherCosts+ConPoints+RecourseFee+OpReserve,0)</f>
        <v/>
      </c>
      <c r="DP26" s="218">
        <f>DevSpend!DP$34+DevSpend!DP$35+DevSpend!DP$38+IF(116=MS_Initial_Closing_Start,ConOtherCosts+ConPoints+RecourseFee+OpReserve,0)</f>
        <v/>
      </c>
      <c r="DQ26" s="218">
        <f>DevSpend!DQ$34+DevSpend!DQ$35+DevSpend!DQ$38+IF(117=MS_Initial_Closing_Start,ConOtherCosts+ConPoints+RecourseFee+OpReserve,0)</f>
        <v/>
      </c>
      <c r="DR26" s="218">
        <f>DevSpend!DR$34+DevSpend!DR$35+DevSpend!DR$38+IF(118=MS_Initial_Closing_Start,ConOtherCosts+ConPoints+RecourseFee+OpReserve,0)</f>
        <v/>
      </c>
      <c r="DS26" s="218">
        <f>DevSpend!DS$34+DevSpend!DS$35+DevSpend!DS$38+IF(119=MS_Initial_Closing_Start,ConOtherCosts+ConPoints+RecourseFee+OpReserve,0)</f>
        <v/>
      </c>
      <c r="DT26" s="218">
        <f>DevSpend!DT$34+DevSpend!DT$35+DevSpend!DT$38+IF(120=MS_Initial_Closing_Start,ConOtherCosts+ConPoints+RecourseFee+OpReserve,0)</f>
        <v/>
      </c>
      <c r="DU26" s="218">
        <f>DevSpend!DU$34+DevSpend!DU$35+DevSpend!DU$38+IF(121=MS_Initial_Closing_Start,ConOtherCosts+ConPoints+RecourseFee+OpReserve,0)</f>
        <v/>
      </c>
      <c r="DV26" s="218">
        <f>DevSpend!DV$34+DevSpend!DV$35+DevSpend!DV$38+IF(122=MS_Initial_Closing_Start,ConOtherCosts+ConPoints+RecourseFee+OpReserve,0)</f>
        <v/>
      </c>
      <c r="DW26" s="218">
        <f>DevSpend!DW$34+DevSpend!DW$35+DevSpend!DW$38+IF(123=MS_Initial_Closing_Start,ConOtherCosts+ConPoints+RecourseFee+OpReserve,0)</f>
        <v/>
      </c>
      <c r="DX26" s="218">
        <f>DevSpend!DX$34+DevSpend!DX$35+DevSpend!DX$38+IF(124=MS_Initial_Closing_Start,ConOtherCosts+ConPoints+RecourseFee+OpReserve,0)</f>
        <v/>
      </c>
      <c r="DY26" s="218">
        <f>DevSpend!DY$34+DevSpend!DY$35+DevSpend!DY$38+IF(125=MS_Initial_Closing_Start,ConOtherCosts+ConPoints+RecourseFee+OpReserve,0)</f>
        <v/>
      </c>
      <c r="DZ26" s="218">
        <f>DevSpend!DZ$34+DevSpend!DZ$35+DevSpend!DZ$38+IF(126=MS_Initial_Closing_Start,ConOtherCosts+ConPoints+RecourseFee+OpReserve,0)</f>
        <v/>
      </c>
      <c r="EA26" s="218">
        <f>DevSpend!EA$34+DevSpend!EA$35+DevSpend!EA$38+IF(127=MS_Initial_Closing_Start,ConOtherCosts+ConPoints+RecourseFee+OpReserve,0)</f>
        <v/>
      </c>
      <c r="EB26" s="218">
        <f>DevSpend!EB$34+DevSpend!EB$35+DevSpend!EB$38+IF(128=MS_Initial_Closing_Start,ConOtherCosts+ConPoints+RecourseFee+OpReserve,0)</f>
        <v/>
      </c>
      <c r="EC26" s="218">
        <f>DevSpend!EC$34+DevSpend!EC$35+DevSpend!EC$38+IF(129=MS_Initial_Closing_Start,ConOtherCosts+ConPoints+RecourseFee+OpReserve,0)</f>
        <v/>
      </c>
      <c r="ED26" s="218">
        <f>DevSpend!ED$34+DevSpend!ED$35+DevSpend!ED$38+IF(130=MS_Initial_Closing_Start,ConOtherCosts+ConPoints+RecourseFee+OpReserve,0)</f>
        <v/>
      </c>
      <c r="EE26" s="218">
        <f>DevSpend!EE$34+DevSpend!EE$35+DevSpend!EE$38+IF(131=MS_Initial_Closing_Start,ConOtherCosts+ConPoints+RecourseFee+OpReserve,0)</f>
        <v/>
      </c>
      <c r="EF26" s="218">
        <f>DevSpend!EF$34+DevSpend!EF$35+DevSpend!EF$38+IF(132=MS_Initial_Closing_Start,ConOtherCosts+ConPoints+RecourseFee+OpReserve,0)</f>
        <v/>
      </c>
      <c r="EG26" s="218">
        <f>DevSpend!EG$34+DevSpend!EG$35+DevSpend!EG$38+IF(133=MS_Initial_Closing_Start,ConOtherCosts+ConPoints+RecourseFee+OpReserve,0)</f>
        <v/>
      </c>
      <c r="EH26" s="218">
        <f>DevSpend!EH$34+DevSpend!EH$35+DevSpend!EH$38+IF(134=MS_Initial_Closing_Start,ConOtherCosts+ConPoints+RecourseFee+OpReserve,0)</f>
        <v/>
      </c>
      <c r="EI26" s="218">
        <f>DevSpend!EI$34+DevSpend!EI$35+DevSpend!EI$38+IF(135=MS_Initial_Closing_Start,ConOtherCosts+ConPoints+RecourseFee+OpReserve,0)</f>
        <v/>
      </c>
      <c r="EJ26" s="218">
        <f>DevSpend!EJ$34+DevSpend!EJ$35+DevSpend!EJ$38+IF(136=MS_Initial_Closing_Start,ConOtherCosts+ConPoints+RecourseFee+OpReserve,0)</f>
        <v/>
      </c>
      <c r="EK26" s="218">
        <f>DevSpend!EK$34+DevSpend!EK$35+DevSpend!EK$38+IF(137=MS_Initial_Closing_Start,ConOtherCosts+ConPoints+RecourseFee+OpReserve,0)</f>
        <v/>
      </c>
      <c r="EL26" s="218">
        <f>DevSpend!EL$34+DevSpend!EL$35+DevSpend!EL$38+IF(138=MS_Initial_Closing_Start,ConOtherCosts+ConPoints+RecourseFee+OpReserve,0)</f>
        <v/>
      </c>
      <c r="EM26" s="218">
        <f>DevSpend!EM$34+DevSpend!EM$35+DevSpend!EM$38+IF(139=MS_Initial_Closing_Start,ConOtherCosts+ConPoints+RecourseFee+OpReserve,0)</f>
        <v/>
      </c>
      <c r="EN26" s="218">
        <f>DevSpend!EN$34+DevSpend!EN$35+DevSpend!EN$38+IF(140=MS_Initial_Closing_Start,ConOtherCosts+ConPoints+RecourseFee+OpReserve,0)</f>
        <v/>
      </c>
      <c r="EO26" s="218">
        <f>DevSpend!EO$34+DevSpend!EO$35+DevSpend!EO$38+IF(141=MS_Initial_Closing_Start,ConOtherCosts+ConPoints+RecourseFee+OpReserve,0)</f>
        <v/>
      </c>
      <c r="EP26" s="218">
        <f>DevSpend!EP$34+DevSpend!EP$35+DevSpend!EP$38+IF(142=MS_Initial_Closing_Start,ConOtherCosts+ConPoints+RecourseFee+OpReserve,0)</f>
        <v/>
      </c>
      <c r="EQ26" s="218">
        <f>DevSpend!EQ$34+DevSpend!EQ$35+DevSpend!EQ$38+IF(143=MS_Initial_Closing_Start,ConOtherCosts+ConPoints+RecourseFee+OpReserve,0)</f>
        <v/>
      </c>
      <c r="ER26" s="218">
        <f>DevSpend!ER$34+DevSpend!ER$35+DevSpend!ER$38+IF(144=MS_Initial_Closing_Start,ConOtherCosts+ConPoints+RecourseFee+OpReserve,0)</f>
        <v/>
      </c>
      <c r="ES26" s="218">
        <f>DevSpend!ES$34+DevSpend!ES$35+DevSpend!ES$38+IF(145=MS_Initial_Closing_Start,ConOtherCosts+ConPoints+RecourseFee+OpReserve,0)</f>
        <v/>
      </c>
      <c r="ET26" s="218">
        <f>DevSpend!ET$34+DevSpend!ET$35+DevSpend!ET$38+IF(146=MS_Initial_Closing_Start,ConOtherCosts+ConPoints+RecourseFee+OpReserve,0)</f>
        <v/>
      </c>
      <c r="EU26" s="218">
        <f>DevSpend!EU$34+DevSpend!EU$35+DevSpend!EU$38+IF(147=MS_Initial_Closing_Start,ConOtherCosts+ConPoints+RecourseFee+OpReserve,0)</f>
        <v/>
      </c>
      <c r="EV26" s="218">
        <f>DevSpend!EV$34+DevSpend!EV$35+DevSpend!EV$38+IF(148=MS_Initial_Closing_Start,ConOtherCosts+ConPoints+RecourseFee+OpReserve,0)</f>
        <v/>
      </c>
      <c r="EW26" s="218">
        <f>DevSpend!EW$34+DevSpend!EW$35+DevSpend!EW$38+IF(149=MS_Initial_Closing_Start,ConOtherCosts+ConPoints+RecourseFee+OpReserve,0)</f>
        <v/>
      </c>
      <c r="EX26" s="218">
        <f>DevSpend!EX$34+DevSpend!EX$35+DevSpend!EX$38+IF(150=MS_Initial_Closing_Start,ConOtherCosts+ConPoints+RecourseFee+OpReserve,0)</f>
        <v/>
      </c>
      <c r="EY26" s="218">
        <f>DevSpend!EY$34+DevSpend!EY$35+DevSpend!EY$38+IF(151=MS_Initial_Closing_Start,ConOtherCosts+ConPoints+RecourseFee+OpReserve,0)</f>
        <v/>
      </c>
      <c r="EZ26" s="218">
        <f>DevSpend!EZ$34+DevSpend!EZ$35+DevSpend!EZ$38+IF(152=MS_Initial_Closing_Start,ConOtherCosts+ConPoints+RecourseFee+OpReserve,0)</f>
        <v/>
      </c>
      <c r="FA26" s="218">
        <f>DevSpend!FA$34+DevSpend!FA$35+DevSpend!FA$38+IF(153=MS_Initial_Closing_Start,ConOtherCosts+ConPoints+RecourseFee+OpReserve,0)</f>
        <v/>
      </c>
      <c r="FB26" s="218">
        <f>DevSpend!FB$34+DevSpend!FB$35+DevSpend!FB$38+IF(154=MS_Initial_Closing_Start,ConOtherCosts+ConPoints+RecourseFee+OpReserve,0)</f>
        <v/>
      </c>
      <c r="FC26" s="218">
        <f>DevSpend!FC$34+DevSpend!FC$35+DevSpend!FC$38+IF(155=MS_Initial_Closing_Start,ConOtherCosts+ConPoints+RecourseFee+OpReserve,0)</f>
        <v/>
      </c>
      <c r="FD26" s="218">
        <f>DevSpend!FD$34+DevSpend!FD$35+DevSpend!FD$38+IF(156=MS_Initial_Closing_Start,ConOtherCosts+ConPoints+RecourseFee+OpReserve,0)</f>
        <v/>
      </c>
      <c r="FE26" s="218">
        <f>DevSpend!FE$34+DevSpend!FE$35+DevSpend!FE$38+IF(157=MS_Initial_Closing_Start,ConOtherCosts+ConPoints+RecourseFee+OpReserve,0)</f>
        <v/>
      </c>
      <c r="FF26" s="218">
        <f>DevSpend!FF$34+DevSpend!FF$35+DevSpend!FF$38+IF(158=MS_Initial_Closing_Start,ConOtherCosts+ConPoints+RecourseFee+OpReserve,0)</f>
        <v/>
      </c>
      <c r="FG26" s="218">
        <f>DevSpend!FG$34+DevSpend!FG$35+DevSpend!FG$38+IF(159=MS_Initial_Closing_Start,ConOtherCosts+ConPoints+RecourseFee+OpReserve,0)</f>
        <v/>
      </c>
      <c r="FH26" s="218">
        <f>DevSpend!FH$34+DevSpend!FH$35+DevSpend!FH$38+IF(160=MS_Initial_Closing_Start,ConOtherCosts+ConPoints+RecourseFee+OpReserve,0)</f>
        <v/>
      </c>
      <c r="FI26" s="218">
        <f>DevSpend!FI$34+DevSpend!FI$35+DevSpend!FI$38+IF(161=MS_Initial_Closing_Start,ConOtherCosts+ConPoints+RecourseFee+OpReserve,0)</f>
        <v/>
      </c>
      <c r="FJ26" s="218">
        <f>DevSpend!FJ$34+DevSpend!FJ$35+DevSpend!FJ$38+IF(162=MS_Initial_Closing_Start,ConOtherCosts+ConPoints+RecourseFee+OpReserve,0)</f>
        <v/>
      </c>
      <c r="FK26" s="218">
        <f>DevSpend!FK$34+DevSpend!FK$35+DevSpend!FK$38+IF(163=MS_Initial_Closing_Start,ConOtherCosts+ConPoints+RecourseFee+OpReserve,0)</f>
        <v/>
      </c>
      <c r="FL26" s="218">
        <f>DevSpend!FL$34+DevSpend!FL$35+DevSpend!FL$38+IF(164=MS_Initial_Closing_Start,ConOtherCosts+ConPoints+RecourseFee+OpReserve,0)</f>
        <v/>
      </c>
      <c r="FM26" s="218">
        <f>DevSpend!FM$34+DevSpend!FM$35+DevSpend!FM$38+IF(165=MS_Initial_Closing_Start,ConOtherCosts+ConPoints+RecourseFee+OpReserve,0)</f>
        <v/>
      </c>
      <c r="FN26" s="218">
        <f>DevSpend!FN$34+DevSpend!FN$35+DevSpend!FN$38+IF(166=MS_Initial_Closing_Start,ConOtherCosts+ConPoints+RecourseFee+OpReserve,0)</f>
        <v/>
      </c>
      <c r="FO26" s="218">
        <f>DevSpend!FO$34+DevSpend!FO$35+DevSpend!FO$38+IF(167=MS_Initial_Closing_Start,ConOtherCosts+ConPoints+RecourseFee+OpReserve,0)</f>
        <v/>
      </c>
      <c r="FP26" s="218">
        <f>DevSpend!FP$34+DevSpend!FP$35+DevSpend!FP$38+IF(168=MS_Initial_Closing_Start,ConOtherCosts+ConPoints+RecourseFee+OpReserve,0)</f>
        <v/>
      </c>
      <c r="FQ26" s="218">
        <f>DevSpend!FQ$34+DevSpend!FQ$35+DevSpend!FQ$38+IF(169=MS_Initial_Closing_Start,ConOtherCosts+ConPoints+RecourseFee+OpReserve,0)</f>
        <v/>
      </c>
      <c r="FR26" s="218">
        <f>DevSpend!FR$34+DevSpend!FR$35+DevSpend!FR$38+IF(170=MS_Initial_Closing_Start,ConOtherCosts+ConPoints+RecourseFee+OpReserve,0)</f>
        <v/>
      </c>
      <c r="FS26" s="218">
        <f>DevSpend!FS$34+DevSpend!FS$35+DevSpend!FS$38+IF(171=MS_Initial_Closing_Start,ConOtherCosts+ConPoints+RecourseFee+OpReserve,0)</f>
        <v/>
      </c>
      <c r="FT26" s="218">
        <f>DevSpend!FT$34+DevSpend!FT$35+DevSpend!FT$38+IF(172=MS_Initial_Closing_Start,ConOtherCosts+ConPoints+RecourseFee+OpReserve,0)</f>
        <v/>
      </c>
      <c r="FU26" s="218">
        <f>DevSpend!FU$34+DevSpend!FU$35+DevSpend!FU$38+IF(173=MS_Initial_Closing_Start,ConOtherCosts+ConPoints+RecourseFee+OpReserve,0)</f>
        <v/>
      </c>
      <c r="FV26" s="218">
        <f>DevSpend!FV$34+DevSpend!FV$35+DevSpend!FV$38+IF(174=MS_Initial_Closing_Start,ConOtherCosts+ConPoints+RecourseFee+OpReserve,0)</f>
        <v/>
      </c>
      <c r="FW26" s="218">
        <f>DevSpend!FW$34+DevSpend!FW$35+DevSpend!FW$38+IF(175=MS_Initial_Closing_Start,ConOtherCosts+ConPoints+RecourseFee+OpReserve,0)</f>
        <v/>
      </c>
      <c r="FX26" s="218">
        <f>DevSpend!FX$34+DevSpend!FX$35+DevSpend!FX$38+IF(176=MS_Initial_Closing_Start,ConOtherCosts+ConPoints+RecourseFee+OpReserve,0)</f>
        <v/>
      </c>
      <c r="FY26" s="218">
        <f>DevSpend!FY$34+DevSpend!FY$35+DevSpend!FY$38+IF(177=MS_Initial_Closing_Start,ConOtherCosts+ConPoints+RecourseFee+OpReserve,0)</f>
        <v/>
      </c>
      <c r="FZ26" s="218">
        <f>DevSpend!FZ$34+DevSpend!FZ$35+DevSpend!FZ$38+IF(178=MS_Initial_Closing_Start,ConOtherCosts+ConPoints+RecourseFee+OpReserve,0)</f>
        <v/>
      </c>
      <c r="GA26" s="218">
        <f>DevSpend!GA$34+DevSpend!GA$35+DevSpend!GA$38+IF(179=MS_Initial_Closing_Start,ConOtherCosts+ConPoints+RecourseFee+OpReserve,0)</f>
        <v/>
      </c>
      <c r="GB26" s="218">
        <f>DevSpend!GB$34+DevSpend!GB$35+DevSpend!GB$38+IF(180=MS_Initial_Closing_Start,ConOtherCosts+ConPoints+RecourseFee+OpReserve,0)</f>
        <v/>
      </c>
      <c r="GC26" s="218">
        <f>DevSpend!GC$34+DevSpend!GC$35+DevSpend!GC$38+IF(181=MS_Initial_Closing_Start,ConOtherCosts+ConPoints+RecourseFee+OpReserve,0)</f>
        <v/>
      </c>
      <c r="GD26" s="218">
        <f>DevSpend!GD$34+DevSpend!GD$35+DevSpend!GD$38+IF(182=MS_Initial_Closing_Start,ConOtherCosts+ConPoints+RecourseFee+OpReserve,0)</f>
        <v/>
      </c>
      <c r="GE26" s="218">
        <f>DevSpend!GE$34+DevSpend!GE$35+DevSpend!GE$38+IF(183=MS_Initial_Closing_Start,ConOtherCosts+ConPoints+RecourseFee+OpReserve,0)</f>
        <v/>
      </c>
      <c r="GF26" s="218">
        <f>DevSpend!GF$34+DevSpend!GF$35+DevSpend!GF$38+IF(184=MS_Initial_Closing_Start,ConOtherCosts+ConPoints+RecourseFee+OpReserve,0)</f>
        <v/>
      </c>
      <c r="GG26" s="218">
        <f>DevSpend!GG$34+DevSpend!GG$35+DevSpend!GG$38+IF(185=MS_Initial_Closing_Start,ConOtherCosts+ConPoints+RecourseFee+OpReserve,0)</f>
        <v/>
      </c>
      <c r="GH26" s="218">
        <f>DevSpend!GH$34+DevSpend!GH$35+DevSpend!GH$38+IF(186=MS_Initial_Closing_Start,ConOtherCosts+ConPoints+RecourseFee+OpReserve,0)</f>
        <v/>
      </c>
      <c r="GI26" s="218">
        <f>DevSpend!GI$34+DevSpend!GI$35+DevSpend!GI$38+IF(187=MS_Initial_Closing_Start,ConOtherCosts+ConPoints+RecourseFee+OpReserve,0)</f>
        <v/>
      </c>
      <c r="GJ26" s="218">
        <f>DevSpend!GJ$34+DevSpend!GJ$35+DevSpend!GJ$38+IF(188=MS_Initial_Closing_Start,ConOtherCosts+ConPoints+RecourseFee+OpReserve,0)</f>
        <v/>
      </c>
      <c r="GK26" s="218">
        <f>DevSpend!GK$34+DevSpend!GK$35+DevSpend!GK$38+IF(189=MS_Initial_Closing_Start,ConOtherCosts+ConPoints+RecourseFee+OpReserve,0)</f>
        <v/>
      </c>
      <c r="GL26" s="218">
        <f>DevSpend!GL$34+DevSpend!GL$35+DevSpend!GL$38+IF(190=MS_Initial_Closing_Start,ConOtherCosts+ConPoints+RecourseFee+OpReserve,0)</f>
        <v/>
      </c>
      <c r="GM26" s="218">
        <f>DevSpend!GM$34+DevSpend!GM$35+DevSpend!GM$38+IF(191=MS_Initial_Closing_Start,ConOtherCosts+ConPoints+RecourseFee+OpReserve,0)</f>
        <v/>
      </c>
      <c r="GN26" s="218">
        <f>DevSpend!GN$34+DevSpend!GN$35+DevSpend!GN$38+IF(192=MS_Initial_Closing_Start,ConOtherCosts+ConPoints+RecourseFee+OpReserve,0)</f>
        <v/>
      </c>
      <c r="GO26" s="218">
        <f>DevSpend!GO$34+DevSpend!GO$35+DevSpend!GO$38+IF(193=MS_Initial_Closing_Start,ConOtherCosts+ConPoints+RecourseFee+OpReserve,0)</f>
        <v/>
      </c>
      <c r="GP26" s="218">
        <f>DevSpend!GP$34+DevSpend!GP$35+DevSpend!GP$38+IF(194=MS_Initial_Closing_Start,ConOtherCosts+ConPoints+RecourseFee+OpReserve,0)</f>
        <v/>
      </c>
      <c r="GQ26" s="218">
        <f>DevSpend!GQ$34+DevSpend!GQ$35+DevSpend!GQ$38+IF(195=MS_Initial_Closing_Start,ConOtherCosts+ConPoints+RecourseFee+OpReserve,0)</f>
        <v/>
      </c>
      <c r="GR26" s="218">
        <f>DevSpend!GR$34+DevSpend!GR$35+DevSpend!GR$38+IF(196=MS_Initial_Closing_Start,ConOtherCosts+ConPoints+RecourseFee+OpReserve,0)</f>
        <v/>
      </c>
      <c r="GS26" s="218">
        <f>DevSpend!GS$34+DevSpend!GS$35+DevSpend!GS$38+IF(197=MS_Initial_Closing_Start,ConOtherCosts+ConPoints+RecourseFee+OpReserve,0)</f>
        <v/>
      </c>
      <c r="GT26" s="218">
        <f>DevSpend!GT$34+DevSpend!GT$35+DevSpend!GT$38+IF(198=MS_Initial_Closing_Start,ConOtherCosts+ConPoints+RecourseFee+OpReserve,0)</f>
        <v/>
      </c>
      <c r="GU26" s="218">
        <f>DevSpend!GU$34+DevSpend!GU$35+DevSpend!GU$38+IF(199=MS_Initial_Closing_Start,ConOtherCosts+ConPoints+RecourseFee+OpReserve,0)</f>
        <v/>
      </c>
      <c r="GV26" s="218">
        <f>DevSpend!GV$34+DevSpend!GV$35+DevSpend!GV$38+IF(200=MS_Initial_Closing_Start,ConOtherCosts+ConPoints+RecourseFee+OpReserve,0)</f>
        <v/>
      </c>
      <c r="GW26" s="218">
        <f>DevSpend!GW$34+DevSpend!GW$35+DevSpend!GW$38+IF(201=MS_Initial_Closing_Start,ConOtherCosts+ConPoints+RecourseFee+OpReserve,0)</f>
        <v/>
      </c>
      <c r="GX26" s="218">
        <f>DevSpend!GX$34+DevSpend!GX$35+DevSpend!GX$38+IF(202=MS_Initial_Closing_Start,ConOtherCosts+ConPoints+RecourseFee+OpReserve,0)</f>
        <v/>
      </c>
      <c r="GY26" s="218">
        <f>DevSpend!GY$34+DevSpend!GY$35+DevSpend!GY$38+IF(203=MS_Initial_Closing_Start,ConOtherCosts+ConPoints+RecourseFee+OpReserve,0)</f>
        <v/>
      </c>
      <c r="GZ26" s="218">
        <f>DevSpend!GZ$34+DevSpend!GZ$35+DevSpend!GZ$38+IF(204=MS_Initial_Closing_Start,ConOtherCosts+ConPoints+RecourseFee+OpReserve,0)</f>
        <v/>
      </c>
      <c r="HA26" s="218">
        <f>DevSpend!HA$34+DevSpend!HA$35+DevSpend!HA$38+IF(205=MS_Initial_Closing_Start,ConOtherCosts+ConPoints+RecourseFee+OpReserve,0)</f>
        <v/>
      </c>
      <c r="HB26" s="218">
        <f>DevSpend!HB$34+DevSpend!HB$35+DevSpend!HB$38+IF(206=MS_Initial_Closing_Start,ConOtherCosts+ConPoints+RecourseFee+OpReserve,0)</f>
        <v/>
      </c>
      <c r="HC26" s="218">
        <f>DevSpend!HC$34+DevSpend!HC$35+DevSpend!HC$38+IF(207=MS_Initial_Closing_Start,ConOtherCosts+ConPoints+RecourseFee+OpReserve,0)</f>
        <v/>
      </c>
      <c r="HD26" s="218">
        <f>DevSpend!HD$34+DevSpend!HD$35+DevSpend!HD$38+IF(208=MS_Initial_Closing_Start,ConOtherCosts+ConPoints+RecourseFee+OpReserve,0)</f>
        <v/>
      </c>
      <c r="HE26" s="218">
        <f>DevSpend!HE$34+DevSpend!HE$35+DevSpend!HE$38+IF(209=MS_Initial_Closing_Start,ConOtherCosts+ConPoints+RecourseFee+OpReserve,0)</f>
        <v/>
      </c>
      <c r="HF26" s="218">
        <f>DevSpend!HF$34+DevSpend!HF$35+DevSpend!HF$38+IF(210=MS_Initial_Closing_Start,ConOtherCosts+ConPoints+RecourseFee+OpReserve,0)</f>
        <v/>
      </c>
      <c r="HG26" s="218">
        <f>DevSpend!HG$34+DevSpend!HG$35+DevSpend!HG$38+IF(211=MS_Initial_Closing_Start,ConOtherCosts+ConPoints+RecourseFee+OpReserve,0)</f>
        <v/>
      </c>
      <c r="HH26" s="218">
        <f>DevSpend!HH$34+DevSpend!HH$35+DevSpend!HH$38+IF(212=MS_Initial_Closing_Start,ConOtherCosts+ConPoints+RecourseFee+OpReserve,0)</f>
        <v/>
      </c>
      <c r="HI26" s="218">
        <f>DevSpend!HI$34+DevSpend!HI$35+DevSpend!HI$38+IF(213=MS_Initial_Closing_Start,ConOtherCosts+ConPoints+RecourseFee+OpReserve,0)</f>
        <v/>
      </c>
      <c r="HJ26" s="218">
        <f>DevSpend!HJ$34+DevSpend!HJ$35+DevSpend!HJ$38+IF(214=MS_Initial_Closing_Start,ConOtherCosts+ConPoints+RecourseFee+OpReserve,0)</f>
        <v/>
      </c>
      <c r="HK26" s="218">
        <f>DevSpend!HK$34+DevSpend!HK$35+DevSpend!HK$38+IF(215=MS_Initial_Closing_Start,ConOtherCosts+ConPoints+RecourseFee+OpReserve,0)</f>
        <v/>
      </c>
      <c r="HL26" s="218">
        <f>DevSpend!HL$34+DevSpend!HL$35+DevSpend!HL$38+IF(216=MS_Initial_Closing_Start,ConOtherCosts+ConPoints+RecourseFee+OpReserve,0)</f>
        <v/>
      </c>
      <c r="HM26" s="218">
        <f>DevSpend!HM$34+DevSpend!HM$35+DevSpend!HM$38+IF(217=MS_Initial_Closing_Start,ConOtherCosts+ConPoints+RecourseFee+OpReserve,0)</f>
        <v/>
      </c>
      <c r="HN26" s="218">
        <f>DevSpend!HN$34+DevSpend!HN$35+DevSpend!HN$38+IF(218=MS_Initial_Closing_Start,ConOtherCosts+ConPoints+RecourseFee+OpReserve,0)</f>
        <v/>
      </c>
      <c r="HO26" s="218">
        <f>DevSpend!HO$34+DevSpend!HO$35+DevSpend!HO$38+IF(219=MS_Initial_Closing_Start,ConOtherCosts+ConPoints+RecourseFee+OpReserve,0)</f>
        <v/>
      </c>
      <c r="HP26" s="218">
        <f>DevSpend!HP$34+DevSpend!HP$35+DevSpend!HP$38+IF(220=MS_Initial_Closing_Start,ConOtherCosts+ConPoints+RecourseFee+OpReserve,0)</f>
        <v/>
      </c>
      <c r="HQ26" s="218">
        <f>DevSpend!HQ$34+DevSpend!HQ$35+DevSpend!HQ$38+IF(221=MS_Initial_Closing_Start,ConOtherCosts+ConPoints+RecourseFee+OpReserve,0)</f>
        <v/>
      </c>
      <c r="HR26" s="218">
        <f>DevSpend!HR$34+DevSpend!HR$35+DevSpend!HR$38+IF(222=MS_Initial_Closing_Start,ConOtherCosts+ConPoints+RecourseFee+OpReserve,0)</f>
        <v/>
      </c>
      <c r="HS26" s="218">
        <f>DevSpend!HS$34+DevSpend!HS$35+DevSpend!HS$38+IF(223=MS_Initial_Closing_Start,ConOtherCosts+ConPoints+RecourseFee+OpReserve,0)</f>
        <v/>
      </c>
      <c r="HT26" s="218">
        <f>DevSpend!HT$34+DevSpend!HT$35+DevSpend!HT$38+IF(224=MS_Initial_Closing_Start,ConOtherCosts+ConPoints+RecourseFee+OpReserve,0)</f>
        <v/>
      </c>
      <c r="HU26" s="218">
        <f>DevSpend!HU$34+DevSpend!HU$35+DevSpend!HU$38+IF(225=MS_Initial_Closing_Start,ConOtherCosts+ConPoints+RecourseFee+OpReserve,0)</f>
        <v/>
      </c>
      <c r="HV26" s="218">
        <f>DevSpend!HV$34+DevSpend!HV$35+DevSpend!HV$38+IF(226=MS_Initial_Closing_Start,ConOtherCosts+ConPoints+RecourseFee+OpReserve,0)</f>
        <v/>
      </c>
      <c r="HW26" s="218">
        <f>DevSpend!HW$34+DevSpend!HW$35+DevSpend!HW$38+IF(227=MS_Initial_Closing_Start,ConOtherCosts+ConPoints+RecourseFee+OpReserve,0)</f>
        <v/>
      </c>
      <c r="HX26" s="218">
        <f>DevSpend!HX$34+DevSpend!HX$35+DevSpend!HX$38+IF(228=MS_Initial_Closing_Start,ConOtherCosts+ConPoints+RecourseFee+OpReserve,0)</f>
        <v/>
      </c>
      <c r="HY26" s="218">
        <f>DevSpend!HY$34+DevSpend!HY$35+DevSpend!HY$38+IF(229=MS_Initial_Closing_Start,ConOtherCosts+ConPoints+RecourseFee+OpReserve,0)</f>
        <v/>
      </c>
      <c r="HZ26" s="218">
        <f>DevSpend!HZ$34+DevSpend!HZ$35+DevSpend!HZ$38+IF(230=MS_Initial_Closing_Start,ConOtherCosts+ConPoints+RecourseFee+OpReserve,0)</f>
        <v/>
      </c>
      <c r="IA26" s="218">
        <f>DevSpend!IA$34+DevSpend!IA$35+DevSpend!IA$38+IF(231=MS_Initial_Closing_Start,ConOtherCosts+ConPoints+RecourseFee+OpReserve,0)</f>
        <v/>
      </c>
      <c r="IB26" s="218">
        <f>DevSpend!IB$34+DevSpend!IB$35+DevSpend!IB$38+IF(232=MS_Initial_Closing_Start,ConOtherCosts+ConPoints+RecourseFee+OpReserve,0)</f>
        <v/>
      </c>
      <c r="IC26" s="218">
        <f>DevSpend!IC$34+DevSpend!IC$35+DevSpend!IC$38+IF(233=MS_Initial_Closing_Start,ConOtherCosts+ConPoints+RecourseFee+OpReserve,0)</f>
        <v/>
      </c>
      <c r="ID26" s="218">
        <f>DevSpend!ID$34+DevSpend!ID$35+DevSpend!ID$38+IF(234=MS_Initial_Closing_Start,ConOtherCosts+ConPoints+RecourseFee+OpReserve,0)</f>
        <v/>
      </c>
      <c r="IE26" s="218">
        <f>DevSpend!IE$34+DevSpend!IE$35+DevSpend!IE$38+IF(235=MS_Initial_Closing_Start,ConOtherCosts+ConPoints+RecourseFee+OpReserve,0)</f>
        <v/>
      </c>
      <c r="IF26" s="218">
        <f>DevSpend!IF$34+DevSpend!IF$35+DevSpend!IF$38+IF(236=MS_Initial_Closing_Start,ConOtherCosts+ConPoints+RecourseFee+OpReserve,0)</f>
        <v/>
      </c>
      <c r="IG26" s="218">
        <f>DevSpend!IG$34+DevSpend!IG$35+DevSpend!IG$38+IF(237=MS_Initial_Closing_Start,ConOtherCosts+ConPoints+RecourseFee+OpReserve,0)</f>
        <v/>
      </c>
      <c r="IH26" s="218">
        <f>DevSpend!IH$34+DevSpend!IH$35+DevSpend!IH$38+IF(238=MS_Initial_Closing_Start,ConOtherCosts+ConPoints+RecourseFee+OpReserve,0)</f>
        <v/>
      </c>
      <c r="II26" s="218">
        <f>DevSpend!II$34+DevSpend!II$35+DevSpend!II$38+IF(239=MS_Initial_Closing_Start,ConOtherCosts+ConPoints+RecourseFee+OpReserve,0)</f>
        <v/>
      </c>
      <c r="IJ26" s="218">
        <f>DevSpend!IJ$34+DevSpend!IJ$35+DevSpend!IJ$38+IF(240=MS_Initial_Closing_Start,ConOtherCosts+ConPoints+RecourseFee+OpReserve,0)</f>
        <v/>
      </c>
      <c r="IK26" s="218">
        <f>DevSpend!IK$34+DevSpend!IK$35+DevSpend!IK$38+IF(241=MS_Initial_Closing_Start,ConOtherCosts+ConPoints+RecourseFee+OpReserve,0)</f>
        <v/>
      </c>
      <c r="IL26" s="218">
        <f>DevSpend!IL$34+DevSpend!IL$35+DevSpend!IL$38+IF(242=MS_Initial_Closing_Start,ConOtherCosts+ConPoints+RecourseFee+OpReserve,0)</f>
        <v/>
      </c>
      <c r="IM26" s="218">
        <f>DevSpend!IM$34+DevSpend!IM$35+DevSpend!IM$38+IF(243=MS_Initial_Closing_Start,ConOtherCosts+ConPoints+RecourseFee+OpReserve,0)</f>
        <v/>
      </c>
      <c r="IN26" s="218">
        <f>DevSpend!IN$34+DevSpend!IN$35+DevSpend!IN$38+IF(244=MS_Initial_Closing_Start,ConOtherCosts+ConPoints+RecourseFee+OpReserve,0)</f>
        <v/>
      </c>
      <c r="IO26" s="218">
        <f>DevSpend!IO$34+DevSpend!IO$35+DevSpend!IO$38+IF(245=MS_Initial_Closing_Start,ConOtherCosts+ConPoints+RecourseFee+OpReserve,0)</f>
        <v/>
      </c>
      <c r="IP26" s="218">
        <f>DevSpend!IP$34+DevSpend!IP$35+DevSpend!IP$38+IF(246=MS_Initial_Closing_Start,ConOtherCosts+ConPoints+RecourseFee+OpReserve,0)</f>
        <v/>
      </c>
      <c r="IQ26" s="218">
        <f>DevSpend!IQ$34+DevSpend!IQ$35+DevSpend!IQ$38+IF(247=MS_Initial_Closing_Start,ConOtherCosts+ConPoints+RecourseFee+OpReserve,0)</f>
        <v/>
      </c>
      <c r="IR26" s="218">
        <f>DevSpend!IR$34+DevSpend!IR$35+DevSpend!IR$38+IF(248=MS_Initial_Closing_Start,ConOtherCosts+ConPoints+RecourseFee+OpReserve,0)</f>
        <v/>
      </c>
      <c r="IS26" s="218">
        <f>DevSpend!IS$34+DevSpend!IS$35+DevSpend!IS$38+IF(249=MS_Initial_Closing_Start,ConOtherCosts+ConPoints+RecourseFee+OpReserve,0)</f>
        <v/>
      </c>
      <c r="IT26" s="218">
        <f>DevSpend!IT$34+DevSpend!IT$35+DevSpend!IT$38+IF(250=MS_Initial_Closing_Start,ConOtherCosts+ConPoints+RecourseFee+OpReserve,0)</f>
        <v/>
      </c>
      <c r="IU26" s="218">
        <f>DevSpend!IU$34+DevSpend!IU$35+DevSpend!IU$38+IF(251=MS_Initial_Closing_Start,ConOtherCosts+ConPoints+RecourseFee+OpReserve,0)</f>
        <v/>
      </c>
      <c r="IV26" s="218">
        <f>DevSpend!IV$34+DevSpend!IV$35+DevSpend!IV$38+IF(252=MS_Initial_Closing_Start,ConOtherCosts+ConPoints+RecourseFee+OpReserve,0)</f>
        <v/>
      </c>
      <c r="IW26" s="218">
        <f>DevSpend!IW$34+DevSpend!IW$35+DevSpend!IW$38+IF(253=MS_Initial_Closing_Start,ConOtherCosts+ConPoints+RecourseFee+OpReserve,0)</f>
        <v/>
      </c>
      <c r="IX26" s="218">
        <f>DevSpend!IX$34+DevSpend!IX$35+DevSpend!IX$38+IF(254=MS_Initial_Closing_Start,ConOtherCosts+ConPoints+RecourseFee+OpReserve,0)</f>
        <v/>
      </c>
      <c r="IY26" s="218">
        <f>DevSpend!IY$34+DevSpend!IY$35+DevSpend!IY$38+IF(255=MS_Initial_Closing_Start,ConOtherCosts+ConPoints+RecourseFee+OpReserve,0)</f>
        <v/>
      </c>
      <c r="IZ26" s="218">
        <f>DevSpend!IZ$34+DevSpend!IZ$35+DevSpend!IZ$38+IF(256=MS_Initial_Closing_Start,ConOtherCosts+ConPoints+RecourseFee+OpReserve,0)</f>
        <v/>
      </c>
      <c r="JA26" s="218">
        <f>DevSpend!JA$34+DevSpend!JA$35+DevSpend!JA$38+IF(257=MS_Initial_Closing_Start,ConOtherCosts+ConPoints+RecourseFee+OpReserve,0)</f>
        <v/>
      </c>
      <c r="JB26" s="218">
        <f>DevSpend!JB$34+DevSpend!JB$35+DevSpend!JB$38+IF(258=MS_Initial_Closing_Start,ConOtherCosts+ConPoints+RecourseFee+OpReserve,0)</f>
        <v/>
      </c>
      <c r="JC26" s="218">
        <f>DevSpend!JC$34+DevSpend!JC$35+DevSpend!JC$38+IF(259=MS_Initial_Closing_Start,ConOtherCosts+ConPoints+RecourseFee+OpReserve,0)</f>
        <v/>
      </c>
      <c r="JD26" s="218">
        <f>DevSpend!JD$34+DevSpend!JD$35+DevSpend!JD$38+IF(260=MS_Initial_Closing_Start,ConOtherCosts+ConPoints+RecourseFee+OpReserve,0)</f>
        <v/>
      </c>
      <c r="JE26" s="218">
        <f>DevSpend!JE$34+DevSpend!JE$35+DevSpend!JE$38+IF(261=MS_Initial_Closing_Start,ConOtherCosts+ConPoints+RecourseFee+OpReserve,0)</f>
        <v/>
      </c>
      <c r="JF26" s="218">
        <f>DevSpend!JF$34+DevSpend!JF$35+DevSpend!JF$38+IF(262=MS_Initial_Closing_Start,ConOtherCosts+ConPoints+RecourseFee+OpReserve,0)</f>
        <v/>
      </c>
      <c r="JG26" s="218">
        <f>DevSpend!JG$34+DevSpend!JG$35+DevSpend!JG$38+IF(263=MS_Initial_Closing_Start,ConOtherCosts+ConPoints+RecourseFee+OpReserve,0)</f>
        <v/>
      </c>
      <c r="JH26" s="218">
        <f>DevSpend!JH$34+DevSpend!JH$35+DevSpend!JH$38+IF(264=MS_Initial_Closing_Start,ConOtherCosts+ConPoints+RecourseFee+OpReserve,0)</f>
        <v/>
      </c>
      <c r="JI26" s="218">
        <f>DevSpend!JI$34+DevSpend!JI$35+DevSpend!JI$38+IF(265=MS_Initial_Closing_Start,ConOtherCosts+ConPoints+RecourseFee+OpReserve,0)</f>
        <v/>
      </c>
      <c r="JJ26" s="218">
        <f>DevSpend!JJ$34+DevSpend!JJ$35+DevSpend!JJ$38+IF(266=MS_Initial_Closing_Start,ConOtherCosts+ConPoints+RecourseFee+OpReserve,0)</f>
        <v/>
      </c>
      <c r="JK26" s="218">
        <f>DevSpend!JK$34+DevSpend!JK$35+DevSpend!JK$38+IF(267=MS_Initial_Closing_Start,ConOtherCosts+ConPoints+RecourseFee+OpReserve,0)</f>
        <v/>
      </c>
      <c r="JL26" s="218">
        <f>DevSpend!JL$34+DevSpend!JL$35+DevSpend!JL$38+IF(268=MS_Initial_Closing_Start,ConOtherCosts+ConPoints+RecourseFee+OpReserve,0)</f>
        <v/>
      </c>
      <c r="JM26" s="218">
        <f>DevSpend!JM$34+DevSpend!JM$35+DevSpend!JM$38+IF(269=MS_Initial_Closing_Start,ConOtherCosts+ConPoints+RecourseFee+OpReserve,0)</f>
        <v/>
      </c>
      <c r="JN26" s="218">
        <f>DevSpend!JN$34+DevSpend!JN$35+DevSpend!JN$38+IF(270=MS_Initial_Closing_Start,ConOtherCosts+ConPoints+RecourseFee+OpReserve,0)</f>
        <v/>
      </c>
      <c r="JO26" s="218">
        <f>DevSpend!JO$34+DevSpend!JO$35+DevSpend!JO$38+IF(271=MS_Initial_Closing_Start,ConOtherCosts+ConPoints+RecourseFee+OpReserve,0)</f>
        <v/>
      </c>
      <c r="JP26" s="218">
        <f>DevSpend!JP$34+DevSpend!JP$35+DevSpend!JP$38+IF(272=MS_Initial_Closing_Start,ConOtherCosts+ConPoints+RecourseFee+OpReserve,0)</f>
        <v/>
      </c>
      <c r="JQ26" s="218">
        <f>DevSpend!JQ$34+DevSpend!JQ$35+DevSpend!JQ$38+IF(273=MS_Initial_Closing_Start,ConOtherCosts+ConPoints+RecourseFee+OpReserve,0)</f>
        <v/>
      </c>
      <c r="JR26" s="218">
        <f>DevSpend!JR$34+DevSpend!JR$35+DevSpend!JR$38+IF(274=MS_Initial_Closing_Start,ConOtherCosts+ConPoints+RecourseFee+OpReserve,0)</f>
        <v/>
      </c>
      <c r="JS26" s="218">
        <f>DevSpend!JS$34+DevSpend!JS$35+DevSpend!JS$38+IF(275=MS_Initial_Closing_Start,ConOtherCosts+ConPoints+RecourseFee+OpReserve,0)</f>
        <v/>
      </c>
      <c r="JT26" s="218">
        <f>DevSpend!JT$34+DevSpend!JT$35+DevSpend!JT$38+IF(276=MS_Initial_Closing_Start,ConOtherCosts+ConPoints+RecourseFee+OpReserve,0)</f>
        <v/>
      </c>
      <c r="JU26" s="218">
        <f>DevSpend!JU$34+DevSpend!JU$35+DevSpend!JU$38+IF(277=MS_Initial_Closing_Start,ConOtherCosts+ConPoints+RecourseFee+OpReserve,0)</f>
        <v/>
      </c>
      <c r="JV26" s="218">
        <f>DevSpend!JV$34+DevSpend!JV$35+DevSpend!JV$38+IF(278=MS_Initial_Closing_Start,ConOtherCosts+ConPoints+RecourseFee+OpReserve,0)</f>
        <v/>
      </c>
      <c r="JW26" s="218">
        <f>DevSpend!JW$34+DevSpend!JW$35+DevSpend!JW$38+IF(279=MS_Initial_Closing_Start,ConOtherCosts+ConPoints+RecourseFee+OpReserve,0)</f>
        <v/>
      </c>
      <c r="JX26" s="218">
        <f>DevSpend!JX$34+DevSpend!JX$35+DevSpend!JX$38+IF(280=MS_Initial_Closing_Start,ConOtherCosts+ConPoints+RecourseFee+OpReserve,0)</f>
        <v/>
      </c>
      <c r="JY26" s="218">
        <f>DevSpend!JY$34+DevSpend!JY$35+DevSpend!JY$38+IF(281=MS_Initial_Closing_Start,ConOtherCosts+ConPoints+RecourseFee+OpReserve,0)</f>
        <v/>
      </c>
      <c r="JZ26" s="218">
        <f>DevSpend!JZ$34+DevSpend!JZ$35+DevSpend!JZ$38+IF(282=MS_Initial_Closing_Start,ConOtherCosts+ConPoints+RecourseFee+OpReserve,0)</f>
        <v/>
      </c>
      <c r="KA26" s="218">
        <f>DevSpend!KA$34+DevSpend!KA$35+DevSpend!KA$38+IF(283=MS_Initial_Closing_Start,ConOtherCosts+ConPoints+RecourseFee+OpReserve,0)</f>
        <v/>
      </c>
      <c r="KB26" s="218">
        <f>DevSpend!KB$34+DevSpend!KB$35+DevSpend!KB$38+IF(284=MS_Initial_Closing_Start,ConOtherCosts+ConPoints+RecourseFee+OpReserve,0)</f>
        <v/>
      </c>
      <c r="KC26" s="218">
        <f>DevSpend!KC$34+DevSpend!KC$35+DevSpend!KC$38+IF(285=MS_Initial_Closing_Start,ConOtherCosts+ConPoints+RecourseFee+OpReserve,0)</f>
        <v/>
      </c>
      <c r="KD26" s="218">
        <f>DevSpend!KD$34+DevSpend!KD$35+DevSpend!KD$38+IF(286=MS_Initial_Closing_Start,ConOtherCosts+ConPoints+RecourseFee+OpReserve,0)</f>
        <v/>
      </c>
      <c r="KE26" s="218">
        <f>DevSpend!KE$34+DevSpend!KE$35+DevSpend!KE$38+IF(287=MS_Initial_Closing_Start,ConOtherCosts+ConPoints+RecourseFee+OpReserve,0)</f>
        <v/>
      </c>
      <c r="KF26" s="218">
        <f>DevSpend!KF$34+DevSpend!KF$35+DevSpend!KF$38+IF(288=MS_Initial_Closing_Start,ConOtherCosts+ConPoints+RecourseFee+OpReserve,0)</f>
        <v/>
      </c>
      <c r="KG26" s="218">
        <f>DevSpend!KG$34+DevSpend!KG$35+DevSpend!KG$38+IF(289=MS_Initial_Closing_Start,ConOtherCosts+ConPoints+RecourseFee+OpReserve,0)</f>
        <v/>
      </c>
      <c r="KH26" s="218">
        <f>DevSpend!KH$34+DevSpend!KH$35+DevSpend!KH$38+IF(290=MS_Initial_Closing_Start,ConOtherCosts+ConPoints+RecourseFee+OpReserve,0)</f>
        <v/>
      </c>
      <c r="KI26" s="218">
        <f>DevSpend!KI$34+DevSpend!KI$35+DevSpend!KI$38+IF(291=MS_Initial_Closing_Start,ConOtherCosts+ConPoints+RecourseFee+OpReserve,0)</f>
        <v/>
      </c>
      <c r="KJ26" s="218">
        <f>DevSpend!KJ$34+DevSpend!KJ$35+DevSpend!KJ$38+IF(292=MS_Initial_Closing_Start,ConOtherCosts+ConPoints+RecourseFee+OpReserve,0)</f>
        <v/>
      </c>
      <c r="KK26" s="218">
        <f>DevSpend!KK$34+DevSpend!KK$35+DevSpend!KK$38+IF(293=MS_Initial_Closing_Start,ConOtherCosts+ConPoints+RecourseFee+OpReserve,0)</f>
        <v/>
      </c>
      <c r="KL26" s="218">
        <f>DevSpend!KL$34+DevSpend!KL$35+DevSpend!KL$38+IF(294=MS_Initial_Closing_Start,ConOtherCosts+ConPoints+RecourseFee+OpReserve,0)</f>
        <v/>
      </c>
      <c r="KM26" s="218">
        <f>DevSpend!KM$34+DevSpend!KM$35+DevSpend!KM$38+IF(295=MS_Initial_Closing_Start,ConOtherCosts+ConPoints+RecourseFee+OpReserve,0)</f>
        <v/>
      </c>
      <c r="KN26" s="218">
        <f>DevSpend!KN$34+DevSpend!KN$35+DevSpend!KN$38+IF(296=MS_Initial_Closing_Start,ConOtherCosts+ConPoints+RecourseFee+OpReserve,0)</f>
        <v/>
      </c>
      <c r="KO26" s="218">
        <f>DevSpend!KO$34+DevSpend!KO$35+DevSpend!KO$38+IF(297=MS_Initial_Closing_Start,ConOtherCosts+ConPoints+RecourseFee+OpReserve,0)</f>
        <v/>
      </c>
      <c r="KP26" s="218">
        <f>DevSpend!KP$34+DevSpend!KP$35+DevSpend!KP$38+IF(298=MS_Initial_Closing_Start,ConOtherCosts+ConPoints+RecourseFee+OpReserve,0)</f>
        <v/>
      </c>
      <c r="KQ26" s="218">
        <f>DevSpend!KQ$34+DevSpend!KQ$35+DevSpend!KQ$38+IF(299=MS_Initial_Closing_Start,ConOtherCosts+ConPoints+RecourseFee+OpReserve,0)</f>
        <v/>
      </c>
      <c r="KR26" s="218">
        <f>DevSpend!KR$34+DevSpend!KR$35+DevSpend!KR$38+IF(300=MS_Initial_Closing_Start,ConOtherCosts+ConPoints+RecourseFee+OpReserve,0)</f>
        <v/>
      </c>
      <c r="KS26" s="218">
        <f>DevSpend!KS$34+DevSpend!KS$35+DevSpend!KS$38+IF(301=MS_Initial_Closing_Start,ConOtherCosts+ConPoints+RecourseFee+OpReserve,0)</f>
        <v/>
      </c>
      <c r="KT26" s="218">
        <f>DevSpend!KT$34+DevSpend!KT$35+DevSpend!KT$38+IF(302=MS_Initial_Closing_Start,ConOtherCosts+ConPoints+RecourseFee+OpReserve,0)</f>
        <v/>
      </c>
      <c r="KU26" s="218">
        <f>DevSpend!KU$34+DevSpend!KU$35+DevSpend!KU$38+IF(303=MS_Initial_Closing_Start,ConOtherCosts+ConPoints+RecourseFee+OpReserve,0)</f>
        <v/>
      </c>
      <c r="KV26" s="218">
        <f>DevSpend!KV$34+DevSpend!KV$35+DevSpend!KV$38+IF(304=MS_Initial_Closing_Start,ConOtherCosts+ConPoints+RecourseFee+OpReserve,0)</f>
        <v/>
      </c>
      <c r="KW26" s="218">
        <f>DevSpend!KW$34+DevSpend!KW$35+DevSpend!KW$38+IF(305=MS_Initial_Closing_Start,ConOtherCosts+ConPoints+RecourseFee+OpReserve,0)</f>
        <v/>
      </c>
      <c r="KX26" s="218">
        <f>DevSpend!KX$34+DevSpend!KX$35+DevSpend!KX$38+IF(306=MS_Initial_Closing_Start,ConOtherCosts+ConPoints+RecourseFee+OpReserve,0)</f>
        <v/>
      </c>
      <c r="KY26" s="218">
        <f>DevSpend!KY$34+DevSpend!KY$35+DevSpend!KY$38+IF(307=MS_Initial_Closing_Start,ConOtherCosts+ConPoints+RecourseFee+OpReserve,0)</f>
        <v/>
      </c>
      <c r="KZ26" s="218">
        <f>DevSpend!KZ$34+DevSpend!KZ$35+DevSpend!KZ$38+IF(308=MS_Initial_Closing_Start,ConOtherCosts+ConPoints+RecourseFee+OpReserve,0)</f>
        <v/>
      </c>
      <c r="LA26" s="218">
        <f>DevSpend!LA$34+DevSpend!LA$35+DevSpend!LA$38+IF(309=MS_Initial_Closing_Start,ConOtherCosts+ConPoints+RecourseFee+OpReserve,0)</f>
        <v/>
      </c>
      <c r="LB26" s="218">
        <f>DevSpend!LB$34+DevSpend!LB$35+DevSpend!LB$38+IF(310=MS_Initial_Closing_Start,ConOtherCosts+ConPoints+RecourseFee+OpReserve,0)</f>
        <v/>
      </c>
      <c r="LC26" s="218">
        <f>DevSpend!LC$34+DevSpend!LC$35+DevSpend!LC$38+IF(311=MS_Initial_Closing_Start,ConOtherCosts+ConPoints+RecourseFee+OpReserve,0)</f>
        <v/>
      </c>
      <c r="LD26" s="218">
        <f>DevSpend!LD$34+DevSpend!LD$35+DevSpend!LD$38+IF(312=MS_Initial_Closing_Start,ConOtherCosts+ConPoints+RecourseFee+OpReserve,0)</f>
        <v/>
      </c>
      <c r="LE26" s="218">
        <f>DevSpend!LE$34+DevSpend!LE$35+DevSpend!LE$38+IF(313=MS_Initial_Closing_Start,ConOtherCosts+ConPoints+RecourseFee+OpReserve,0)</f>
        <v/>
      </c>
      <c r="LF26" s="218">
        <f>DevSpend!LF$34+DevSpend!LF$35+DevSpend!LF$38+IF(314=MS_Initial_Closing_Start,ConOtherCosts+ConPoints+RecourseFee+OpReserve,0)</f>
        <v/>
      </c>
      <c r="LG26" s="218">
        <f>DevSpend!LG$34+DevSpend!LG$35+DevSpend!LG$38+IF(315=MS_Initial_Closing_Start,ConOtherCosts+ConPoints+RecourseFee+OpReserve,0)</f>
        <v/>
      </c>
      <c r="LH26" s="218">
        <f>DevSpend!LH$34+DevSpend!LH$35+DevSpend!LH$38+IF(316=MS_Initial_Closing_Start,ConOtherCosts+ConPoints+RecourseFee+OpReserve,0)</f>
        <v/>
      </c>
      <c r="LI26" s="218">
        <f>DevSpend!LI$34+DevSpend!LI$35+DevSpend!LI$38+IF(317=MS_Initial_Closing_Start,ConOtherCosts+ConPoints+RecourseFee+OpReserve,0)</f>
        <v/>
      </c>
      <c r="LJ26" s="218">
        <f>DevSpend!LJ$34+DevSpend!LJ$35+DevSpend!LJ$38+IF(318=MS_Initial_Closing_Start,ConOtherCosts+ConPoints+RecourseFee+OpReserve,0)</f>
        <v/>
      </c>
      <c r="LK26" s="218">
        <f>DevSpend!LK$34+DevSpend!LK$35+DevSpend!LK$38+IF(319=MS_Initial_Closing_Start,ConOtherCosts+ConPoints+RecourseFee+OpReserve,0)</f>
        <v/>
      </c>
      <c r="LL26" s="218">
        <f>DevSpend!LL$34+DevSpend!LL$35+DevSpend!LL$38+IF(320=MS_Initial_Closing_Start,ConOtherCosts+ConPoints+RecourseFee+OpReserve,0)</f>
        <v/>
      </c>
      <c r="LM26" s="218">
        <f>DevSpend!LM$34+DevSpend!LM$35+DevSpend!LM$38+IF(321=MS_Initial_Closing_Start,ConOtherCosts+ConPoints+RecourseFee+OpReserve,0)</f>
        <v/>
      </c>
      <c r="LN26" s="218">
        <f>DevSpend!LN$34+DevSpend!LN$35+DevSpend!LN$38+IF(322=MS_Initial_Closing_Start,ConOtherCosts+ConPoints+RecourseFee+OpReserve,0)</f>
        <v/>
      </c>
      <c r="LO26" s="218">
        <f>DevSpend!LO$34+DevSpend!LO$35+DevSpend!LO$38+IF(323=MS_Initial_Closing_Start,ConOtherCosts+ConPoints+RecourseFee+OpReserve,0)</f>
        <v/>
      </c>
      <c r="LP26" s="218">
        <f>DevSpend!LP$34+DevSpend!LP$35+DevSpend!LP$38+IF(324=MS_Initial_Closing_Start,ConOtherCosts+ConPoints+RecourseFee+OpReserve,0)</f>
        <v/>
      </c>
      <c r="LQ26" s="218">
        <f>DevSpend!LQ$34+DevSpend!LQ$35+DevSpend!LQ$38+IF(325=MS_Initial_Closing_Start,ConOtherCosts+ConPoints+RecourseFee+OpReserve,0)</f>
        <v/>
      </c>
      <c r="LR26" s="218">
        <f>DevSpend!LR$34+DevSpend!LR$35+DevSpend!LR$38+IF(326=MS_Initial_Closing_Start,ConOtherCosts+ConPoints+RecourseFee+OpReserve,0)</f>
        <v/>
      </c>
      <c r="LS26" s="218">
        <f>DevSpend!LS$34+DevSpend!LS$35+DevSpend!LS$38+IF(327=MS_Initial_Closing_Start,ConOtherCosts+ConPoints+RecourseFee+OpReserve,0)</f>
        <v/>
      </c>
      <c r="LT26" s="218">
        <f>DevSpend!LT$34+DevSpend!LT$35+DevSpend!LT$38+IF(328=MS_Initial_Closing_Start,ConOtherCosts+ConPoints+RecourseFee+OpReserve,0)</f>
        <v/>
      </c>
      <c r="LU26" s="218">
        <f>DevSpend!LU$34+DevSpend!LU$35+DevSpend!LU$38+IF(329=MS_Initial_Closing_Start,ConOtherCosts+ConPoints+RecourseFee+OpReserve,0)</f>
        <v/>
      </c>
      <c r="LV26" s="218">
        <f>DevSpend!LV$34+DevSpend!LV$35+DevSpend!LV$38+IF(330=MS_Initial_Closing_Start,ConOtherCosts+ConPoints+RecourseFee+OpReserve,0)</f>
        <v/>
      </c>
      <c r="LW26" s="218">
        <f>DevSpend!LW$34+DevSpend!LW$35+DevSpend!LW$38+IF(331=MS_Initial_Closing_Start,ConOtherCosts+ConPoints+RecourseFee+OpReserve,0)</f>
        <v/>
      </c>
      <c r="LX26" s="218">
        <f>DevSpend!LX$34+DevSpend!LX$35+DevSpend!LX$38+IF(332=MS_Initial_Closing_Start,ConOtherCosts+ConPoints+RecourseFee+OpReserve,0)</f>
        <v/>
      </c>
      <c r="LY26" s="218">
        <f>DevSpend!LY$34+DevSpend!LY$35+DevSpend!LY$38+IF(333=MS_Initial_Closing_Start,ConOtherCosts+ConPoints+RecourseFee+OpReserve,0)</f>
        <v/>
      </c>
      <c r="LZ26" s="218">
        <f>DevSpend!LZ$34+DevSpend!LZ$35+DevSpend!LZ$38+IF(334=MS_Initial_Closing_Start,ConOtherCosts+ConPoints+RecourseFee+OpReserve,0)</f>
        <v/>
      </c>
      <c r="MA26" s="218">
        <f>DevSpend!MA$34+DevSpend!MA$35+DevSpend!MA$38+IF(335=MS_Initial_Closing_Start,ConOtherCosts+ConPoints+RecourseFee+OpReserve,0)</f>
        <v/>
      </c>
      <c r="MB26" s="218">
        <f>DevSpend!MB$34+DevSpend!MB$35+DevSpend!MB$38+IF(336=MS_Initial_Closing_Start,ConOtherCosts+ConPoints+RecourseFee+OpReserve,0)</f>
        <v/>
      </c>
      <c r="MC26" s="218">
        <f>DevSpend!MC$34+DevSpend!MC$35+DevSpend!MC$38+IF(337=MS_Initial_Closing_Start,ConOtherCosts+ConPoints+RecourseFee+OpReserve,0)</f>
        <v/>
      </c>
      <c r="MD26" s="218">
        <f>DevSpend!MD$34+DevSpend!MD$35+DevSpend!MD$38+IF(338=MS_Initial_Closing_Start,ConOtherCosts+ConPoints+RecourseFee+OpReserve,0)</f>
        <v/>
      </c>
      <c r="ME26" s="218">
        <f>DevSpend!ME$34+DevSpend!ME$35+DevSpend!ME$38+IF(339=MS_Initial_Closing_Start,ConOtherCosts+ConPoints+RecourseFee+OpReserve,0)</f>
        <v/>
      </c>
      <c r="MF26" s="218">
        <f>DevSpend!MF$34+DevSpend!MF$35+DevSpend!MF$38+IF(340=MS_Initial_Closing_Start,ConOtherCosts+ConPoints+RecourseFee+OpReserve,0)</f>
        <v/>
      </c>
      <c r="MG26" s="218">
        <f>DevSpend!MG$34+DevSpend!MG$35+DevSpend!MG$38+IF(341=MS_Initial_Closing_Start,ConOtherCosts+ConPoints+RecourseFee+OpReserve,0)</f>
        <v/>
      </c>
      <c r="MH26" s="218">
        <f>DevSpend!MH$34+DevSpend!MH$35+DevSpend!MH$38+IF(342=MS_Initial_Closing_Start,ConOtherCosts+ConPoints+RecourseFee+OpReserve,0)</f>
        <v/>
      </c>
      <c r="MI26" s="218">
        <f>DevSpend!MI$34+DevSpend!MI$35+DevSpend!MI$38+IF(343=MS_Initial_Closing_Start,ConOtherCosts+ConPoints+RecourseFee+OpReserve,0)</f>
        <v/>
      </c>
      <c r="MJ26" s="218">
        <f>DevSpend!MJ$34+DevSpend!MJ$35+DevSpend!MJ$38+IF(344=MS_Initial_Closing_Start,ConOtherCosts+ConPoints+RecourseFee+OpReserve,0)</f>
        <v/>
      </c>
      <c r="MK26" s="218">
        <f>DevSpend!MK$34+DevSpend!MK$35+DevSpend!MK$38+IF(345=MS_Initial_Closing_Start,ConOtherCosts+ConPoints+RecourseFee+OpReserve,0)</f>
        <v/>
      </c>
      <c r="ML26" s="218">
        <f>DevSpend!ML$34+DevSpend!ML$35+DevSpend!ML$38+IF(346=MS_Initial_Closing_Start,ConOtherCosts+ConPoints+RecourseFee+OpReserve,0)</f>
        <v/>
      </c>
      <c r="MM26" s="218">
        <f>DevSpend!MM$34+DevSpend!MM$35+DevSpend!MM$38+IF(347=MS_Initial_Closing_Start,ConOtherCosts+ConPoints+RecourseFee+OpReserve,0)</f>
        <v/>
      </c>
      <c r="MN26" s="218">
        <f>DevSpend!MN$34+DevSpend!MN$35+DevSpend!MN$38+IF(348=MS_Initial_Closing_Start,ConOtherCosts+ConPoints+RecourseFee+OpReserve,0)</f>
        <v/>
      </c>
      <c r="MO26" s="218">
        <f>DevSpend!MO$34+DevSpend!MO$35+DevSpend!MO$38+IF(349=MS_Initial_Closing_Start,ConOtherCosts+ConPoints+RecourseFee+OpReserve,0)</f>
        <v/>
      </c>
      <c r="MP26" s="218">
        <f>DevSpend!MP$34+DevSpend!MP$35+DevSpend!MP$38+IF(350=MS_Initial_Closing_Start,ConOtherCosts+ConPoints+RecourseFee+OpReserve,0)</f>
        <v/>
      </c>
      <c r="MQ26" s="218">
        <f>DevSpend!MQ$34+DevSpend!MQ$35+DevSpend!MQ$38+IF(351=MS_Initial_Closing_Start,ConOtherCosts+ConPoints+RecourseFee+OpReserve,0)</f>
        <v/>
      </c>
      <c r="MR26" s="218">
        <f>DevSpend!MR$34+DevSpend!MR$35+DevSpend!MR$38+IF(352=MS_Initial_Closing_Start,ConOtherCosts+ConPoints+RecourseFee+OpReserve,0)</f>
        <v/>
      </c>
      <c r="MS26" s="218">
        <f>DevSpend!MS$34+DevSpend!MS$35+DevSpend!MS$38+IF(353=MS_Initial_Closing_Start,ConOtherCosts+ConPoints+RecourseFee+OpReserve,0)</f>
        <v/>
      </c>
      <c r="MT26" s="218">
        <f>DevSpend!MT$34+DevSpend!MT$35+DevSpend!MT$38+IF(354=MS_Initial_Closing_Start,ConOtherCosts+ConPoints+RecourseFee+OpReserve,0)</f>
        <v/>
      </c>
      <c r="MU26" s="218">
        <f>DevSpend!MU$34+DevSpend!MU$35+DevSpend!MU$38+IF(355=MS_Initial_Closing_Start,ConOtherCosts+ConPoints+RecourseFee+OpReserve,0)</f>
        <v/>
      </c>
      <c r="MV26" s="218">
        <f>DevSpend!MV$34+DevSpend!MV$35+DevSpend!MV$38+IF(356=MS_Initial_Closing_Start,ConOtherCosts+ConPoints+RecourseFee+OpReserve,0)</f>
        <v/>
      </c>
      <c r="MW26" s="218">
        <f>DevSpend!MW$34+DevSpend!MW$35+DevSpend!MW$38+IF(357=MS_Initial_Closing_Start,ConOtherCosts+ConPoints+RecourseFee+OpReserve,0)</f>
        <v/>
      </c>
      <c r="MX26" s="218">
        <f>DevSpend!MX$34+DevSpend!MX$35+DevSpend!MX$38+IF(358=MS_Initial_Closing_Start,ConOtherCosts+ConPoints+RecourseFee+OpReserve,0)</f>
        <v/>
      </c>
      <c r="MY26" s="218">
        <f>DevSpend!MY$34+DevSpend!MY$35+DevSpend!MY$38+IF(359=MS_Initial_Closing_Start,ConOtherCosts+ConPoints+RecourseFee+OpReserve,0)</f>
        <v/>
      </c>
      <c r="MZ26" s="218">
        <f>DevSpend!MZ$34+DevSpend!MZ$35+DevSpend!MZ$38+IF(360=MS_Initial_Closing_Start,ConOtherCosts+ConPoints+RecourseFee+OpReserve,0)</f>
        <v/>
      </c>
      <c r="NA26" s="218">
        <f>DevSpend!NA$34+DevSpend!NA$35+DevSpend!NA$38+IF(361=MS_Initial_Closing_Start,ConOtherCosts+ConPoints+RecourseFee+OpReserve,0)</f>
        <v/>
      </c>
      <c r="NB26" s="218">
        <f>DevSpend!NB$34+DevSpend!NB$35+DevSpend!NB$38+IF(362=MS_Initial_Closing_Start,ConOtherCosts+ConPoints+RecourseFee+OpReserve,0)</f>
        <v/>
      </c>
      <c r="NC26" s="218">
        <f>DevSpend!NC$34+DevSpend!NC$35+DevSpend!NC$38+IF(363=MS_Initial_Closing_Start,ConOtherCosts+ConPoints+RecourseFee+OpReserve,0)</f>
        <v/>
      </c>
      <c r="ND26" s="218">
        <f>DevSpend!ND$34+DevSpend!ND$35+DevSpend!ND$38+IF(364=MS_Initial_Closing_Start,ConOtherCosts+ConPoints+RecourseFee+OpReserve,0)</f>
        <v/>
      </c>
      <c r="NE26" s="218">
        <f>DevSpend!NE$34+DevSpend!NE$35+DevSpend!NE$38+IF(365=MS_Initial_Closing_Start,ConOtherCosts+ConPoints+RecourseFee+OpReserve,0)</f>
        <v/>
      </c>
      <c r="NF26" s="218">
        <f>DevSpend!NF$34+DevSpend!NF$35+DevSpend!NF$38+IF(366=MS_Initial_Closing_Start,ConOtherCosts+ConPoints+RecourseFee+OpReserve,0)</f>
        <v/>
      </c>
      <c r="NG26" s="218">
        <f>DevSpend!NG$34+DevSpend!NG$35+DevSpend!NG$38+IF(367=MS_Initial_Closing_Start,ConOtherCosts+ConPoints+RecourseFee+OpReserve,0)</f>
        <v/>
      </c>
      <c r="NH26" s="218">
        <f>DevSpend!NH$34+DevSpend!NH$35+DevSpend!NH$38+IF(368=MS_Initial_Closing_Start,ConOtherCosts+ConPoints+RecourseFee+OpReserve,0)</f>
        <v/>
      </c>
      <c r="NI26" s="218">
        <f>DevSpend!NI$34+DevSpend!NI$35+DevSpend!NI$38+IF(369=MS_Initial_Closing_Start,ConOtherCosts+ConPoints+RecourseFee+OpReserve,0)</f>
        <v/>
      </c>
      <c r="NJ26" s="218">
        <f>DevSpend!NJ$34+DevSpend!NJ$35+DevSpend!NJ$38+IF(370=MS_Initial_Closing_Start,ConOtherCosts+ConPoints+RecourseFee+OpReserve,0)</f>
        <v/>
      </c>
      <c r="NK26" s="218">
        <f>DevSpend!NK$34+DevSpend!NK$35+DevSpend!NK$38+IF(371=MS_Initial_Closing_Start,ConOtherCosts+ConPoints+RecourseFee+OpReserve,0)</f>
        <v/>
      </c>
      <c r="NL26" s="218">
        <f>DevSpend!NL$34+DevSpend!NL$35+DevSpend!NL$38+IF(372=MS_Initial_Closing_Start,ConOtherCosts+ConPoints+RecourseFee+OpReserve,0)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E$30*(0)</f>
        <v/>
      </c>
      <c r="F31" s="218">
        <f>F$30*(E$32)</f>
        <v/>
      </c>
      <c r="G31" s="218">
        <f>G$30*(F$32)</f>
        <v/>
      </c>
      <c r="H31" s="218">
        <f>H$30*(G$32)</f>
        <v/>
      </c>
      <c r="I31" s="218">
        <f>I$30*(H$32)</f>
        <v/>
      </c>
      <c r="J31" s="218">
        <f>J$30*(I$32)</f>
        <v/>
      </c>
      <c r="K31" s="218">
        <f>K$30*(J$32)</f>
        <v/>
      </c>
      <c r="L31" s="218">
        <f>L$30*(K$32)</f>
        <v/>
      </c>
      <c r="M31" s="218">
        <f>M$30*(L$32)</f>
        <v/>
      </c>
      <c r="N31" s="218">
        <f>N$30*(M$32)</f>
        <v/>
      </c>
      <c r="O31" s="218">
        <f>O$30*(N$32)</f>
        <v/>
      </c>
      <c r="P31" s="218">
        <f>P$30*(O$32)</f>
        <v/>
      </c>
      <c r="Q31" s="218">
        <f>Q$30*(P$32)</f>
        <v/>
      </c>
      <c r="R31" s="218">
        <f>R$30*(Q$32)</f>
        <v/>
      </c>
      <c r="S31" s="218">
        <f>S$30*(R$32)</f>
        <v/>
      </c>
      <c r="T31" s="218">
        <f>T$30*(S$32)</f>
        <v/>
      </c>
      <c r="U31" s="218">
        <f>U$30*(T$32)</f>
        <v/>
      </c>
      <c r="V31" s="218">
        <f>V$30*(U$32)</f>
        <v/>
      </c>
      <c r="W31" s="218">
        <f>W$30*(V$32)</f>
        <v/>
      </c>
      <c r="X31" s="218">
        <f>X$30*(W$32)</f>
        <v/>
      </c>
      <c r="Y31" s="218">
        <f>Y$30*(X$32)</f>
        <v/>
      </c>
      <c r="Z31" s="218">
        <f>Z$30*(Y$32)</f>
        <v/>
      </c>
      <c r="AA31" s="218">
        <f>AA$30*(Z$32)</f>
        <v/>
      </c>
      <c r="AB31" s="218">
        <f>AB$30*(AA$32)</f>
        <v/>
      </c>
      <c r="AC31" s="218">
        <f>AC$30*(AB$32)</f>
        <v/>
      </c>
      <c r="AD31" s="218">
        <f>AD$30*(AC$32)</f>
        <v/>
      </c>
      <c r="AE31" s="218">
        <f>AE$30*(AD$32)</f>
        <v/>
      </c>
      <c r="AF31" s="218">
        <f>AF$30*(AE$32)</f>
        <v/>
      </c>
      <c r="AG31" s="218">
        <f>AG$30*(AF$32)</f>
        <v/>
      </c>
      <c r="AH31" s="218">
        <f>AH$30*(AG$32)</f>
        <v/>
      </c>
      <c r="AI31" s="218">
        <f>AI$30*(AH$32)</f>
        <v/>
      </c>
      <c r="AJ31" s="218">
        <f>AJ$30*(AI$32)</f>
        <v/>
      </c>
      <c r="AK31" s="218">
        <f>AK$30*(AJ$32)</f>
        <v/>
      </c>
      <c r="AL31" s="218">
        <f>AL$30*(AK$32)</f>
        <v/>
      </c>
      <c r="AM31" s="218">
        <f>AM$30*(AL$32)</f>
        <v/>
      </c>
      <c r="AN31" s="218">
        <f>AN$30*(AM$32)</f>
        <v/>
      </c>
      <c r="AO31" s="218">
        <f>AO$30*(AN$32)</f>
        <v/>
      </c>
      <c r="AP31" s="218">
        <f>AP$30*(AO$32)</f>
        <v/>
      </c>
      <c r="AQ31" s="218">
        <f>AQ$30*(AP$32)</f>
        <v/>
      </c>
      <c r="AR31" s="218">
        <f>AR$30*(AQ$32)</f>
        <v/>
      </c>
      <c r="AS31" s="218">
        <f>AS$30*(AR$32)</f>
        <v/>
      </c>
      <c r="AT31" s="218">
        <f>AT$30*(AS$32)</f>
        <v/>
      </c>
      <c r="AU31" s="218">
        <f>AU$30*(AT$32)</f>
        <v/>
      </c>
      <c r="AV31" s="218">
        <f>AV$30*(AU$32)</f>
        <v/>
      </c>
      <c r="AW31" s="218">
        <f>AW$30*(AV$32)</f>
        <v/>
      </c>
      <c r="AX31" s="218">
        <f>AX$30*(AW$32)</f>
        <v/>
      </c>
      <c r="AY31" s="218">
        <f>AY$30*(AX$32)</f>
        <v/>
      </c>
      <c r="AZ31" s="218">
        <f>AZ$30*(AY$32)</f>
        <v/>
      </c>
      <c r="BA31" s="218">
        <f>BA$30*(AZ$32)</f>
        <v/>
      </c>
      <c r="BB31" s="218">
        <f>BB$30*(BA$32)</f>
        <v/>
      </c>
      <c r="BC31" s="218">
        <f>BC$30*(BB$32)</f>
        <v/>
      </c>
      <c r="BD31" s="218">
        <f>BD$30*(BC$32)</f>
        <v/>
      </c>
      <c r="BE31" s="218">
        <f>BE$30*(BD$32)</f>
        <v/>
      </c>
      <c r="BF31" s="218">
        <f>BF$30*(BE$32)</f>
        <v/>
      </c>
      <c r="BG31" s="218">
        <f>BG$30*(BF$32)</f>
        <v/>
      </c>
      <c r="BH31" s="218">
        <f>BH$30*(BG$32)</f>
        <v/>
      </c>
      <c r="BI31" s="218">
        <f>BI$30*(BH$32)</f>
        <v/>
      </c>
      <c r="BJ31" s="218">
        <f>BJ$30*(BI$32)</f>
        <v/>
      </c>
      <c r="BK31" s="218">
        <f>BK$30*(BJ$32)</f>
        <v/>
      </c>
      <c r="BL31" s="218">
        <f>BL$30*(BK$32)</f>
        <v/>
      </c>
      <c r="BM31" s="218">
        <f>BM$30*(BL$32)</f>
        <v/>
      </c>
      <c r="BN31" s="218">
        <f>BN$30*(BM$32)</f>
        <v/>
      </c>
      <c r="BO31" s="218">
        <f>BO$30*(BN$32)</f>
        <v/>
      </c>
      <c r="BP31" s="218">
        <f>BP$30*(BO$32)</f>
        <v/>
      </c>
      <c r="BQ31" s="218">
        <f>BQ$30*(BP$32)</f>
        <v/>
      </c>
      <c r="BR31" s="218">
        <f>BR$30*(BQ$32)</f>
        <v/>
      </c>
      <c r="BS31" s="218">
        <f>BS$30*(BR$32)</f>
        <v/>
      </c>
      <c r="BT31" s="218">
        <f>BT$30*(BS$32)</f>
        <v/>
      </c>
      <c r="BU31" s="218">
        <f>BU$30*(BT$32)</f>
        <v/>
      </c>
      <c r="BV31" s="218">
        <f>BV$30*(BU$32)</f>
        <v/>
      </c>
      <c r="BW31" s="218">
        <f>BW$30*(BV$32)</f>
        <v/>
      </c>
      <c r="BX31" s="218">
        <f>BX$30*(BW$32)</f>
        <v/>
      </c>
      <c r="BY31" s="218">
        <f>BY$30*(BX$32)</f>
        <v/>
      </c>
      <c r="BZ31" s="218">
        <f>BZ$30*(BY$32)</f>
        <v/>
      </c>
      <c r="CA31" s="218">
        <f>CA$30*(BZ$32)</f>
        <v/>
      </c>
      <c r="CB31" s="218">
        <f>CB$30*(CA$32)</f>
        <v/>
      </c>
      <c r="CC31" s="218">
        <f>CC$30*(CB$32)</f>
        <v/>
      </c>
      <c r="CD31" s="218">
        <f>CD$30*(CC$32)</f>
        <v/>
      </c>
      <c r="CE31" s="218">
        <f>CE$30*(CD$32)</f>
        <v/>
      </c>
      <c r="CF31" s="218">
        <f>CF$30*(CE$32)</f>
        <v/>
      </c>
      <c r="CG31" s="218">
        <f>CG$30*(CF$32)</f>
        <v/>
      </c>
      <c r="CH31" s="218">
        <f>CH$30*(CG$32)</f>
        <v/>
      </c>
      <c r="CI31" s="218">
        <f>CI$30*(CH$32)</f>
        <v/>
      </c>
      <c r="CJ31" s="218">
        <f>CJ$30*(CI$32)</f>
        <v/>
      </c>
      <c r="CK31" s="218">
        <f>CK$30*(CJ$32)</f>
        <v/>
      </c>
      <c r="CL31" s="218">
        <f>CL$30*(CK$32)</f>
        <v/>
      </c>
      <c r="CM31" s="218">
        <f>CM$30*(CL$32)</f>
        <v/>
      </c>
      <c r="CN31" s="218">
        <f>CN$30*(CM$32)</f>
        <v/>
      </c>
      <c r="CO31" s="218">
        <f>CO$30*(CN$32)</f>
        <v/>
      </c>
      <c r="CP31" s="218">
        <f>CP$30*(CO$32)</f>
        <v/>
      </c>
      <c r="CQ31" s="218">
        <f>CQ$30*(CP$32)</f>
        <v/>
      </c>
      <c r="CR31" s="218">
        <f>CR$30*(CQ$32)</f>
        <v/>
      </c>
      <c r="CS31" s="218">
        <f>CS$30*(CR$32)</f>
        <v/>
      </c>
      <c r="CT31" s="218">
        <f>CT$30*(CS$32)</f>
        <v/>
      </c>
      <c r="CU31" s="218">
        <f>CU$30*(CT$32)</f>
        <v/>
      </c>
      <c r="CV31" s="218">
        <f>CV$30*(CU$32)</f>
        <v/>
      </c>
      <c r="CW31" s="218">
        <f>CW$30*(CV$32)</f>
        <v/>
      </c>
      <c r="CX31" s="218">
        <f>CX$30*(CW$32)</f>
        <v/>
      </c>
      <c r="CY31" s="218">
        <f>CY$30*(CX$32)</f>
        <v/>
      </c>
      <c r="CZ31" s="218">
        <f>CZ$30*(CY$32)</f>
        <v/>
      </c>
      <c r="DA31" s="218">
        <f>DA$30*(CZ$32)</f>
        <v/>
      </c>
      <c r="DB31" s="218">
        <f>DB$30*(DA$32)</f>
        <v/>
      </c>
      <c r="DC31" s="218">
        <f>DC$30*(DB$32)</f>
        <v/>
      </c>
      <c r="DD31" s="218">
        <f>DD$30*(DC$32)</f>
        <v/>
      </c>
      <c r="DE31" s="218">
        <f>DE$30*(DD$32)</f>
        <v/>
      </c>
      <c r="DF31" s="218">
        <f>DF$30*(DE$32)</f>
        <v/>
      </c>
      <c r="DG31" s="218">
        <f>DG$30*(DF$32)</f>
        <v/>
      </c>
      <c r="DH31" s="218">
        <f>DH$30*(DG$32)</f>
        <v/>
      </c>
      <c r="DI31" s="218">
        <f>DI$30*(DH$32)</f>
        <v/>
      </c>
      <c r="DJ31" s="218">
        <f>DJ$30*(DI$32)</f>
        <v/>
      </c>
      <c r="DK31" s="218">
        <f>DK$30*(DJ$32)</f>
        <v/>
      </c>
      <c r="DL31" s="218">
        <f>DL$30*(DK$32)</f>
        <v/>
      </c>
      <c r="DM31" s="218">
        <f>DM$30*(DL$32)</f>
        <v/>
      </c>
      <c r="DN31" s="218">
        <f>DN$30*(DM$32)</f>
        <v/>
      </c>
      <c r="DO31" s="218">
        <f>DO$30*(DN$32)</f>
        <v/>
      </c>
      <c r="DP31" s="218">
        <f>DP$30*(DO$32)</f>
        <v/>
      </c>
      <c r="DQ31" s="218">
        <f>DQ$30*(DP$32)</f>
        <v/>
      </c>
      <c r="DR31" s="218">
        <f>DR$30*(DQ$32)</f>
        <v/>
      </c>
      <c r="DS31" s="218">
        <f>DS$30*(DR$32)</f>
        <v/>
      </c>
      <c r="DT31" s="218">
        <f>DT$30*(DS$32)</f>
        <v/>
      </c>
      <c r="DU31" s="218">
        <f>DU$30*(DT$32)</f>
        <v/>
      </c>
      <c r="DV31" s="218">
        <f>DV$30*(DU$32)</f>
        <v/>
      </c>
      <c r="DW31" s="218">
        <f>DW$30*(DV$32)</f>
        <v/>
      </c>
      <c r="DX31" s="218">
        <f>DX$30*(DW$32)</f>
        <v/>
      </c>
      <c r="DY31" s="218">
        <f>DY$30*(DX$32)</f>
        <v/>
      </c>
      <c r="DZ31" s="218">
        <f>DZ$30*(DY$32)</f>
        <v/>
      </c>
      <c r="EA31" s="218">
        <f>EA$30*(DZ$32)</f>
        <v/>
      </c>
      <c r="EB31" s="218">
        <f>EB$30*(EA$32)</f>
        <v/>
      </c>
      <c r="EC31" s="218">
        <f>EC$30*(EB$32)</f>
        <v/>
      </c>
      <c r="ED31" s="218">
        <f>ED$30*(EC$32)</f>
        <v/>
      </c>
      <c r="EE31" s="218">
        <f>EE$30*(ED$32)</f>
        <v/>
      </c>
      <c r="EF31" s="218">
        <f>EF$30*(EE$32)</f>
        <v/>
      </c>
      <c r="EG31" s="218">
        <f>EG$30*(EF$32)</f>
        <v/>
      </c>
      <c r="EH31" s="218">
        <f>EH$30*(EG$32)</f>
        <v/>
      </c>
      <c r="EI31" s="218">
        <f>EI$30*(EH$32)</f>
        <v/>
      </c>
      <c r="EJ31" s="218">
        <f>EJ$30*(EI$32)</f>
        <v/>
      </c>
      <c r="EK31" s="218">
        <f>EK$30*(EJ$32)</f>
        <v/>
      </c>
      <c r="EL31" s="218">
        <f>EL$30*(EK$32)</f>
        <v/>
      </c>
      <c r="EM31" s="218">
        <f>EM$30*(EL$32)</f>
        <v/>
      </c>
      <c r="EN31" s="218">
        <f>EN$30*(EM$32)</f>
        <v/>
      </c>
      <c r="EO31" s="218">
        <f>EO$30*(EN$32)</f>
        <v/>
      </c>
      <c r="EP31" s="218">
        <f>EP$30*(EO$32)</f>
        <v/>
      </c>
      <c r="EQ31" s="218">
        <f>EQ$30*(EP$32)</f>
        <v/>
      </c>
      <c r="ER31" s="218">
        <f>ER$30*(EQ$32)</f>
        <v/>
      </c>
      <c r="ES31" s="218">
        <f>ES$30*(ER$32)</f>
        <v/>
      </c>
      <c r="ET31" s="218">
        <f>ET$30*(ES$32)</f>
        <v/>
      </c>
      <c r="EU31" s="218">
        <f>EU$30*(ET$32)</f>
        <v/>
      </c>
      <c r="EV31" s="218">
        <f>EV$30*(EU$32)</f>
        <v/>
      </c>
      <c r="EW31" s="218">
        <f>EW$30*(EV$32)</f>
        <v/>
      </c>
      <c r="EX31" s="218">
        <f>EX$30*(EW$32)</f>
        <v/>
      </c>
      <c r="EY31" s="218">
        <f>EY$30*(EX$32)</f>
        <v/>
      </c>
      <c r="EZ31" s="218">
        <f>EZ$30*(EY$32)</f>
        <v/>
      </c>
      <c r="FA31" s="218">
        <f>FA$30*(EZ$32)</f>
        <v/>
      </c>
      <c r="FB31" s="218">
        <f>FB$30*(FA$32)</f>
        <v/>
      </c>
      <c r="FC31" s="218">
        <f>FC$30*(FB$32)</f>
        <v/>
      </c>
      <c r="FD31" s="218">
        <f>FD$30*(FC$32)</f>
        <v/>
      </c>
      <c r="FE31" s="218">
        <f>FE$30*(FD$32)</f>
        <v/>
      </c>
      <c r="FF31" s="218">
        <f>FF$30*(FE$32)</f>
        <v/>
      </c>
      <c r="FG31" s="218">
        <f>FG$30*(FF$32)</f>
        <v/>
      </c>
      <c r="FH31" s="218">
        <f>FH$30*(FG$32)</f>
        <v/>
      </c>
      <c r="FI31" s="218">
        <f>FI$30*(FH$32)</f>
        <v/>
      </c>
      <c r="FJ31" s="218">
        <f>FJ$30*(FI$32)</f>
        <v/>
      </c>
      <c r="FK31" s="218">
        <f>FK$30*(FJ$32)</f>
        <v/>
      </c>
      <c r="FL31" s="218">
        <f>FL$30*(FK$32)</f>
        <v/>
      </c>
      <c r="FM31" s="218">
        <f>FM$30*(FL$32)</f>
        <v/>
      </c>
      <c r="FN31" s="218">
        <f>FN$30*(FM$32)</f>
        <v/>
      </c>
      <c r="FO31" s="218">
        <f>FO$30*(FN$32)</f>
        <v/>
      </c>
      <c r="FP31" s="218">
        <f>FP$30*(FO$32)</f>
        <v/>
      </c>
      <c r="FQ31" s="218">
        <f>FQ$30*(FP$32)</f>
        <v/>
      </c>
      <c r="FR31" s="218">
        <f>FR$30*(FQ$32)</f>
        <v/>
      </c>
      <c r="FS31" s="218">
        <f>FS$30*(FR$32)</f>
        <v/>
      </c>
      <c r="FT31" s="218">
        <f>FT$30*(FS$32)</f>
        <v/>
      </c>
      <c r="FU31" s="218">
        <f>FU$30*(FT$32)</f>
        <v/>
      </c>
      <c r="FV31" s="218">
        <f>FV$30*(FU$32)</f>
        <v/>
      </c>
      <c r="FW31" s="218">
        <f>FW$30*(FV$32)</f>
        <v/>
      </c>
      <c r="FX31" s="218">
        <f>FX$30*(FW$32)</f>
        <v/>
      </c>
      <c r="FY31" s="218">
        <f>FY$30*(FX$32)</f>
        <v/>
      </c>
      <c r="FZ31" s="218">
        <f>FZ$30*(FY$32)</f>
        <v/>
      </c>
      <c r="GA31" s="218">
        <f>GA$30*(FZ$32)</f>
        <v/>
      </c>
      <c r="GB31" s="218">
        <f>GB$30*(GA$32)</f>
        <v/>
      </c>
      <c r="GC31" s="218">
        <f>GC$30*(GB$32)</f>
        <v/>
      </c>
      <c r="GD31" s="218">
        <f>GD$30*(GC$32)</f>
        <v/>
      </c>
      <c r="GE31" s="218">
        <f>GE$30*(GD$32)</f>
        <v/>
      </c>
      <c r="GF31" s="218">
        <f>GF$30*(GE$32)</f>
        <v/>
      </c>
      <c r="GG31" s="218">
        <f>GG$30*(GF$32)</f>
        <v/>
      </c>
      <c r="GH31" s="218">
        <f>GH$30*(GG$32)</f>
        <v/>
      </c>
      <c r="GI31" s="218">
        <f>GI$30*(GH$32)</f>
        <v/>
      </c>
      <c r="GJ31" s="218">
        <f>GJ$30*(GI$32)</f>
        <v/>
      </c>
      <c r="GK31" s="218">
        <f>GK$30*(GJ$32)</f>
        <v/>
      </c>
      <c r="GL31" s="218">
        <f>GL$30*(GK$32)</f>
        <v/>
      </c>
      <c r="GM31" s="218">
        <f>GM$30*(GL$32)</f>
        <v/>
      </c>
      <c r="GN31" s="218">
        <f>GN$30*(GM$32)</f>
        <v/>
      </c>
      <c r="GO31" s="218">
        <f>GO$30*(GN$32)</f>
        <v/>
      </c>
      <c r="GP31" s="218">
        <f>GP$30*(GO$32)</f>
        <v/>
      </c>
      <c r="GQ31" s="218">
        <f>GQ$30*(GP$32)</f>
        <v/>
      </c>
      <c r="GR31" s="218">
        <f>GR$30*(GQ$32)</f>
        <v/>
      </c>
      <c r="GS31" s="218">
        <f>GS$30*(GR$32)</f>
        <v/>
      </c>
      <c r="GT31" s="218">
        <f>GT$30*(GS$32)</f>
        <v/>
      </c>
      <c r="GU31" s="218">
        <f>GU$30*(GT$32)</f>
        <v/>
      </c>
      <c r="GV31" s="218">
        <f>GV$30*(GU$32)</f>
        <v/>
      </c>
      <c r="GW31" s="218">
        <f>GW$30*(GV$32)</f>
        <v/>
      </c>
      <c r="GX31" s="218">
        <f>GX$30*(GW$32)</f>
        <v/>
      </c>
      <c r="GY31" s="218">
        <f>GY$30*(GX$32)</f>
        <v/>
      </c>
      <c r="GZ31" s="218">
        <f>GZ$30*(GY$32)</f>
        <v/>
      </c>
      <c r="HA31" s="218">
        <f>HA$30*(GZ$32)</f>
        <v/>
      </c>
      <c r="HB31" s="218">
        <f>HB$30*(HA$32)</f>
        <v/>
      </c>
      <c r="HC31" s="218">
        <f>HC$30*(HB$32)</f>
        <v/>
      </c>
      <c r="HD31" s="218">
        <f>HD$30*(HC$32)</f>
        <v/>
      </c>
      <c r="HE31" s="218">
        <f>HE$30*(HD$32)</f>
        <v/>
      </c>
      <c r="HF31" s="218">
        <f>HF$30*(HE$32)</f>
        <v/>
      </c>
      <c r="HG31" s="218">
        <f>HG$30*(HF$32)</f>
        <v/>
      </c>
      <c r="HH31" s="218">
        <f>HH$30*(HG$32)</f>
        <v/>
      </c>
      <c r="HI31" s="218">
        <f>HI$30*(HH$32)</f>
        <v/>
      </c>
      <c r="HJ31" s="218">
        <f>HJ$30*(HI$32)</f>
        <v/>
      </c>
      <c r="HK31" s="218">
        <f>HK$30*(HJ$32)</f>
        <v/>
      </c>
      <c r="HL31" s="218">
        <f>HL$30*(HK$32)</f>
        <v/>
      </c>
      <c r="HM31" s="218">
        <f>HM$30*(HL$32)</f>
        <v/>
      </c>
      <c r="HN31" s="218">
        <f>HN$30*(HM$32)</f>
        <v/>
      </c>
      <c r="HO31" s="218">
        <f>HO$30*(HN$32)</f>
        <v/>
      </c>
      <c r="HP31" s="218">
        <f>HP$30*(HO$32)</f>
        <v/>
      </c>
      <c r="HQ31" s="218">
        <f>HQ$30*(HP$32)</f>
        <v/>
      </c>
      <c r="HR31" s="218">
        <f>HR$30*(HQ$32)</f>
        <v/>
      </c>
      <c r="HS31" s="218">
        <f>HS$30*(HR$32)</f>
        <v/>
      </c>
      <c r="HT31" s="218">
        <f>HT$30*(HS$32)</f>
        <v/>
      </c>
      <c r="HU31" s="218">
        <f>HU$30*(HT$32)</f>
        <v/>
      </c>
      <c r="HV31" s="218">
        <f>HV$30*(HU$32)</f>
        <v/>
      </c>
      <c r="HW31" s="218">
        <f>HW$30*(HV$32)</f>
        <v/>
      </c>
      <c r="HX31" s="218">
        <f>HX$30*(HW$32)</f>
        <v/>
      </c>
      <c r="HY31" s="218">
        <f>HY$30*(HX$32)</f>
        <v/>
      </c>
      <c r="HZ31" s="218">
        <f>HZ$30*(HY$32)</f>
        <v/>
      </c>
      <c r="IA31" s="218">
        <f>IA$30*(HZ$32)</f>
        <v/>
      </c>
      <c r="IB31" s="218">
        <f>IB$30*(IA$32)</f>
        <v/>
      </c>
      <c r="IC31" s="218">
        <f>IC$30*(IB$32)</f>
        <v/>
      </c>
      <c r="ID31" s="218">
        <f>ID$30*(IC$32)</f>
        <v/>
      </c>
      <c r="IE31" s="218">
        <f>IE$30*(ID$32)</f>
        <v/>
      </c>
      <c r="IF31" s="218">
        <f>IF$30*(IE$32)</f>
        <v/>
      </c>
      <c r="IG31" s="218">
        <f>IG$30*(IF$32)</f>
        <v/>
      </c>
      <c r="IH31" s="218">
        <f>IH$30*(IG$32)</f>
        <v/>
      </c>
      <c r="II31" s="218">
        <f>II$30*(IH$32)</f>
        <v/>
      </c>
      <c r="IJ31" s="218">
        <f>IJ$30*(II$32)</f>
        <v/>
      </c>
      <c r="IK31" s="218">
        <f>IK$30*(IJ$32)</f>
        <v/>
      </c>
      <c r="IL31" s="218">
        <f>IL$30*(IK$32)</f>
        <v/>
      </c>
      <c r="IM31" s="218">
        <f>IM$30*(IL$32)</f>
        <v/>
      </c>
      <c r="IN31" s="218">
        <f>IN$30*(IM$32)</f>
        <v/>
      </c>
      <c r="IO31" s="218">
        <f>IO$30*(IN$32)</f>
        <v/>
      </c>
      <c r="IP31" s="218">
        <f>IP$30*(IO$32)</f>
        <v/>
      </c>
      <c r="IQ31" s="218">
        <f>IQ$30*(IP$32)</f>
        <v/>
      </c>
      <c r="IR31" s="218">
        <f>IR$30*(IQ$32)</f>
        <v/>
      </c>
      <c r="IS31" s="218">
        <f>IS$30*(IR$32)</f>
        <v/>
      </c>
      <c r="IT31" s="218">
        <f>IT$30*(IS$32)</f>
        <v/>
      </c>
      <c r="IU31" s="218">
        <f>IU$30*(IT$32)</f>
        <v/>
      </c>
      <c r="IV31" s="218">
        <f>IV$30*(IU$32)</f>
        <v/>
      </c>
      <c r="IW31" s="218">
        <f>IW$30*(IV$32)</f>
        <v/>
      </c>
      <c r="IX31" s="218">
        <f>IX$30*(IW$32)</f>
        <v/>
      </c>
      <c r="IY31" s="218">
        <f>IY$30*(IX$32)</f>
        <v/>
      </c>
      <c r="IZ31" s="218">
        <f>IZ$30*(IY$32)</f>
        <v/>
      </c>
      <c r="JA31" s="218">
        <f>JA$30*(IZ$32)</f>
        <v/>
      </c>
      <c r="JB31" s="218">
        <f>JB$30*(JA$32)</f>
        <v/>
      </c>
      <c r="JC31" s="218">
        <f>JC$30*(JB$32)</f>
        <v/>
      </c>
      <c r="JD31" s="218">
        <f>JD$30*(JC$32)</f>
        <v/>
      </c>
      <c r="JE31" s="218">
        <f>JE$30*(JD$32)</f>
        <v/>
      </c>
      <c r="JF31" s="218">
        <f>JF$30*(JE$32)</f>
        <v/>
      </c>
      <c r="JG31" s="218">
        <f>JG$30*(JF$32)</f>
        <v/>
      </c>
      <c r="JH31" s="218">
        <f>JH$30*(JG$32)</f>
        <v/>
      </c>
      <c r="JI31" s="218">
        <f>JI$30*(JH$32)</f>
        <v/>
      </c>
      <c r="JJ31" s="218">
        <f>JJ$30*(JI$32)</f>
        <v/>
      </c>
      <c r="JK31" s="218">
        <f>JK$30*(JJ$32)</f>
        <v/>
      </c>
      <c r="JL31" s="218">
        <f>JL$30*(JK$32)</f>
        <v/>
      </c>
      <c r="JM31" s="218">
        <f>JM$30*(JL$32)</f>
        <v/>
      </c>
      <c r="JN31" s="218">
        <f>JN$30*(JM$32)</f>
        <v/>
      </c>
      <c r="JO31" s="218">
        <f>JO$30*(JN$32)</f>
        <v/>
      </c>
      <c r="JP31" s="218">
        <f>JP$30*(JO$32)</f>
        <v/>
      </c>
      <c r="JQ31" s="218">
        <f>JQ$30*(JP$32)</f>
        <v/>
      </c>
      <c r="JR31" s="218">
        <f>JR$30*(JQ$32)</f>
        <v/>
      </c>
      <c r="JS31" s="218">
        <f>JS$30*(JR$32)</f>
        <v/>
      </c>
      <c r="JT31" s="218">
        <f>JT$30*(JS$32)</f>
        <v/>
      </c>
      <c r="JU31" s="218">
        <f>JU$30*(JT$32)</f>
        <v/>
      </c>
      <c r="JV31" s="218">
        <f>JV$30*(JU$32)</f>
        <v/>
      </c>
      <c r="JW31" s="218">
        <f>JW$30*(JV$32)</f>
        <v/>
      </c>
      <c r="JX31" s="218">
        <f>JX$30*(JW$32)</f>
        <v/>
      </c>
      <c r="JY31" s="218">
        <f>JY$30*(JX$32)</f>
        <v/>
      </c>
      <c r="JZ31" s="218">
        <f>JZ$30*(JY$32)</f>
        <v/>
      </c>
      <c r="KA31" s="218">
        <f>KA$30*(JZ$32)</f>
        <v/>
      </c>
      <c r="KB31" s="218">
        <f>KB$30*(KA$32)</f>
        <v/>
      </c>
      <c r="KC31" s="218">
        <f>KC$30*(KB$32)</f>
        <v/>
      </c>
      <c r="KD31" s="218">
        <f>KD$30*(KC$32)</f>
        <v/>
      </c>
      <c r="KE31" s="218">
        <f>KE$30*(KD$32)</f>
        <v/>
      </c>
      <c r="KF31" s="218">
        <f>KF$30*(KE$32)</f>
        <v/>
      </c>
      <c r="KG31" s="218">
        <f>KG$30*(KF$32)</f>
        <v/>
      </c>
      <c r="KH31" s="218">
        <f>KH$30*(KG$32)</f>
        <v/>
      </c>
      <c r="KI31" s="218">
        <f>KI$30*(KH$32)</f>
        <v/>
      </c>
      <c r="KJ31" s="218">
        <f>KJ$30*(KI$32)</f>
        <v/>
      </c>
      <c r="KK31" s="218">
        <f>KK$30*(KJ$32)</f>
        <v/>
      </c>
      <c r="KL31" s="218">
        <f>KL$30*(KK$32)</f>
        <v/>
      </c>
      <c r="KM31" s="218">
        <f>KM$30*(KL$32)</f>
        <v/>
      </c>
      <c r="KN31" s="218">
        <f>KN$30*(KM$32)</f>
        <v/>
      </c>
      <c r="KO31" s="218">
        <f>KO$30*(KN$32)</f>
        <v/>
      </c>
      <c r="KP31" s="218">
        <f>KP$30*(KO$32)</f>
        <v/>
      </c>
      <c r="KQ31" s="218">
        <f>KQ$30*(KP$32)</f>
        <v/>
      </c>
      <c r="KR31" s="218">
        <f>KR$30*(KQ$32)</f>
        <v/>
      </c>
      <c r="KS31" s="218">
        <f>KS$30*(KR$32)</f>
        <v/>
      </c>
      <c r="KT31" s="218">
        <f>KT$30*(KS$32)</f>
        <v/>
      </c>
      <c r="KU31" s="218">
        <f>KU$30*(KT$32)</f>
        <v/>
      </c>
      <c r="KV31" s="218">
        <f>KV$30*(KU$32)</f>
        <v/>
      </c>
      <c r="KW31" s="218">
        <f>KW$30*(KV$32)</f>
        <v/>
      </c>
      <c r="KX31" s="218">
        <f>KX$30*(KW$32)</f>
        <v/>
      </c>
      <c r="KY31" s="218">
        <f>KY$30*(KX$32)</f>
        <v/>
      </c>
      <c r="KZ31" s="218">
        <f>KZ$30*(KY$32)</f>
        <v/>
      </c>
      <c r="LA31" s="218">
        <f>LA$30*(KZ$32)</f>
        <v/>
      </c>
      <c r="LB31" s="218">
        <f>LB$30*(LA$32)</f>
        <v/>
      </c>
      <c r="LC31" s="218">
        <f>LC$30*(LB$32)</f>
        <v/>
      </c>
      <c r="LD31" s="218">
        <f>LD$30*(LC$32)</f>
        <v/>
      </c>
      <c r="LE31" s="218">
        <f>LE$30*(LD$32)</f>
        <v/>
      </c>
      <c r="LF31" s="218">
        <f>LF$30*(LE$32)</f>
        <v/>
      </c>
      <c r="LG31" s="218">
        <f>LG$30*(LF$32)</f>
        <v/>
      </c>
      <c r="LH31" s="218">
        <f>LH$30*(LG$32)</f>
        <v/>
      </c>
      <c r="LI31" s="218">
        <f>LI$30*(LH$32)</f>
        <v/>
      </c>
      <c r="LJ31" s="218">
        <f>LJ$30*(LI$32)</f>
        <v/>
      </c>
      <c r="LK31" s="218">
        <f>LK$30*(LJ$32)</f>
        <v/>
      </c>
      <c r="LL31" s="218">
        <f>LL$30*(LK$32)</f>
        <v/>
      </c>
      <c r="LM31" s="218">
        <f>LM$30*(LL$32)</f>
        <v/>
      </c>
      <c r="LN31" s="218">
        <f>LN$30*(LM$32)</f>
        <v/>
      </c>
      <c r="LO31" s="218">
        <f>LO$30*(LN$32)</f>
        <v/>
      </c>
      <c r="LP31" s="218">
        <f>LP$30*(LO$32)</f>
        <v/>
      </c>
      <c r="LQ31" s="218">
        <f>LQ$30*(LP$32)</f>
        <v/>
      </c>
      <c r="LR31" s="218">
        <f>LR$30*(LQ$32)</f>
        <v/>
      </c>
      <c r="LS31" s="218">
        <f>LS$30*(LR$32)</f>
        <v/>
      </c>
      <c r="LT31" s="218">
        <f>LT$30*(LS$32)</f>
        <v/>
      </c>
      <c r="LU31" s="218">
        <f>LU$30*(LT$32)</f>
        <v/>
      </c>
      <c r="LV31" s="218">
        <f>LV$30*(LU$32)</f>
        <v/>
      </c>
      <c r="LW31" s="218">
        <f>LW$30*(LV$32)</f>
        <v/>
      </c>
      <c r="LX31" s="218">
        <f>LX$30*(LW$32)</f>
        <v/>
      </c>
      <c r="LY31" s="218">
        <f>LY$30*(LX$32)</f>
        <v/>
      </c>
      <c r="LZ31" s="218">
        <f>LZ$30*(LY$32)</f>
        <v/>
      </c>
      <c r="MA31" s="218">
        <f>MA$30*(LZ$32)</f>
        <v/>
      </c>
      <c r="MB31" s="218">
        <f>MB$30*(MA$32)</f>
        <v/>
      </c>
      <c r="MC31" s="218">
        <f>MC$30*(MB$32)</f>
        <v/>
      </c>
      <c r="MD31" s="218">
        <f>MD$30*(MC$32)</f>
        <v/>
      </c>
      <c r="ME31" s="218">
        <f>ME$30*(MD$32)</f>
        <v/>
      </c>
      <c r="MF31" s="218">
        <f>MF$30*(ME$32)</f>
        <v/>
      </c>
      <c r="MG31" s="218">
        <f>MG$30*(MF$32)</f>
        <v/>
      </c>
      <c r="MH31" s="218">
        <f>MH$30*(MG$32)</f>
        <v/>
      </c>
      <c r="MI31" s="218">
        <f>MI$30*(MH$32)</f>
        <v/>
      </c>
      <c r="MJ31" s="218">
        <f>MJ$30*(MI$32)</f>
        <v/>
      </c>
      <c r="MK31" s="218">
        <f>MK$30*(MJ$32)</f>
        <v/>
      </c>
      <c r="ML31" s="218">
        <f>ML$30*(MK$32)</f>
        <v/>
      </c>
      <c r="MM31" s="218">
        <f>MM$30*(ML$32)</f>
        <v/>
      </c>
      <c r="MN31" s="218">
        <f>MN$30*(MM$32)</f>
        <v/>
      </c>
      <c r="MO31" s="218">
        <f>MO$30*(MN$32)</f>
        <v/>
      </c>
      <c r="MP31" s="218">
        <f>MP$30*(MO$32)</f>
        <v/>
      </c>
      <c r="MQ31" s="218">
        <f>MQ$30*(MP$32)</f>
        <v/>
      </c>
      <c r="MR31" s="218">
        <f>MR$30*(MQ$32)</f>
        <v/>
      </c>
      <c r="MS31" s="218">
        <f>MS$30*(MR$32)</f>
        <v/>
      </c>
      <c r="MT31" s="218">
        <f>MT$30*(MS$32)</f>
        <v/>
      </c>
      <c r="MU31" s="218">
        <f>MU$30*(MT$32)</f>
        <v/>
      </c>
      <c r="MV31" s="218">
        <f>MV$30*(MU$32)</f>
        <v/>
      </c>
      <c r="MW31" s="218">
        <f>MW$30*(MV$32)</f>
        <v/>
      </c>
      <c r="MX31" s="218">
        <f>MX$30*(MW$32)</f>
        <v/>
      </c>
      <c r="MY31" s="218">
        <f>MY$30*(MX$32)</f>
        <v/>
      </c>
      <c r="MZ31" s="218">
        <f>MZ$30*(MY$32)</f>
        <v/>
      </c>
      <c r="NA31" s="218">
        <f>NA$30*(MZ$32)</f>
        <v/>
      </c>
      <c r="NB31" s="218">
        <f>NB$30*(NA$32)</f>
        <v/>
      </c>
      <c r="NC31" s="218">
        <f>NC$30*(NB$32)</f>
        <v/>
      </c>
      <c r="ND31" s="218">
        <f>ND$30*(NC$32)</f>
        <v/>
      </c>
      <c r="NE31" s="218">
        <f>NE$30*(ND$32)</f>
        <v/>
      </c>
      <c r="NF31" s="218">
        <f>NF$30*(NE$32)</f>
        <v/>
      </c>
      <c r="NG31" s="218">
        <f>NG$30*(NF$32)</f>
        <v/>
      </c>
      <c r="NH31" s="218">
        <f>NH$30*(NG$32)</f>
        <v/>
      </c>
      <c r="NI31" s="218">
        <f>NI$30*(NH$32)</f>
        <v/>
      </c>
      <c r="NJ31" s="218">
        <f>NJ$30*(NI$32)</f>
        <v/>
      </c>
      <c r="NK31" s="218">
        <f>NK$30*(NJ$32)</f>
        <v/>
      </c>
      <c r="NL31" s="218">
        <f>NL$30*(NK$32)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INDEX(E32:NL32,372)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</cols>
  <sheetData>
    <row r="1" ht="21" customHeight="1" s="97">
      <c r="B1" s="1" t="inlineStr">
        <is>
          <t>Unit Delivery &amp; Lease-Up Engine</t>
        </is>
      </c>
    </row>
    <row r="3">
      <c r="B3" s="84" t="inlineStr">
        <is>
          <t>Stabilized Leased Target (units)</t>
        </is>
      </c>
      <c r="C3" s="19">
        <f>ROUND(StabilizedOccupancy*TotalUnits,0)</f>
        <v/>
      </c>
    </row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</cols>
  <sheetData>
    <row r="1" ht="21" customHeight="1" s="97">
      <c r="B1" s="1" t="inlineStr">
        <is>
          <t>Stabilized Operating Model — Monthly Proforma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-E$14*LossToLeasePct</f>
        <v/>
      </c>
      <c r="F16" s="218">
        <f>-F$14*LossToLeasePct</f>
        <v/>
      </c>
      <c r="G16" s="218">
        <f>-G$14*LossToLeasePct</f>
        <v/>
      </c>
      <c r="H16" s="218">
        <f>-H$14*LossToLeasePct</f>
        <v/>
      </c>
      <c r="I16" s="218">
        <f>-I$14*LossToLeasePct</f>
        <v/>
      </c>
      <c r="J16" s="218">
        <f>-J$14*LossToLeasePct</f>
        <v/>
      </c>
      <c r="K16" s="218">
        <f>-K$14*LossToLeasePct</f>
        <v/>
      </c>
      <c r="L16" s="218">
        <f>-L$14*LossToLeasePct</f>
        <v/>
      </c>
      <c r="M16" s="218">
        <f>-M$14*LossToLeasePct</f>
        <v/>
      </c>
      <c r="N16" s="218">
        <f>-N$14*LossToLeasePct</f>
        <v/>
      </c>
      <c r="O16" s="218">
        <f>-O$14*LossToLeasePct</f>
        <v/>
      </c>
      <c r="P16" s="218">
        <f>-P$14*LossToLeasePct</f>
        <v/>
      </c>
      <c r="Q16" s="218">
        <f>-Q$14*LossToLeasePct</f>
        <v/>
      </c>
      <c r="R16" s="218">
        <f>-R$14*LossToLeasePct</f>
        <v/>
      </c>
      <c r="S16" s="218">
        <f>-S$14*LossToLeasePct</f>
        <v/>
      </c>
      <c r="T16" s="218">
        <f>-T$14*LossToLeasePct</f>
        <v/>
      </c>
      <c r="U16" s="218">
        <f>-U$14*LossToLeasePct</f>
        <v/>
      </c>
      <c r="V16" s="218">
        <f>-V$14*LossToLeasePct</f>
        <v/>
      </c>
      <c r="W16" s="218">
        <f>-W$14*LossToLeasePct</f>
        <v/>
      </c>
      <c r="X16" s="218">
        <f>-X$14*LossToLeasePct</f>
        <v/>
      </c>
      <c r="Y16" s="218">
        <f>-Y$14*LossToLeasePct</f>
        <v/>
      </c>
      <c r="Z16" s="218">
        <f>-Z$14*LossToLeasePct</f>
        <v/>
      </c>
      <c r="AA16" s="218">
        <f>-AA$14*LossToLeasePct</f>
        <v/>
      </c>
      <c r="AB16" s="218">
        <f>-AB$14*LossToLeasePct</f>
        <v/>
      </c>
      <c r="AC16" s="218">
        <f>-AC$14*LossToLeasePct</f>
        <v/>
      </c>
      <c r="AD16" s="218">
        <f>-AD$14*LossToLeasePct</f>
        <v/>
      </c>
      <c r="AE16" s="218">
        <f>-AE$14*LossToLeasePct</f>
        <v/>
      </c>
      <c r="AF16" s="218">
        <f>-AF$14*LossToLeasePct</f>
        <v/>
      </c>
      <c r="AG16" s="218">
        <f>-AG$14*LossToLeasePct</f>
        <v/>
      </c>
      <c r="AH16" s="218">
        <f>-AH$14*LossToLeasePct</f>
        <v/>
      </c>
      <c r="AI16" s="218">
        <f>-AI$14*LossToLeasePct</f>
        <v/>
      </c>
      <c r="AJ16" s="218">
        <f>-AJ$14*LossToLeasePct</f>
        <v/>
      </c>
      <c r="AK16" s="218">
        <f>-AK$14*LossToLeasePct</f>
        <v/>
      </c>
      <c r="AL16" s="218">
        <f>-AL$14*LossToLeasePct</f>
        <v/>
      </c>
      <c r="AM16" s="218">
        <f>-AM$14*LossToLeasePct</f>
        <v/>
      </c>
      <c r="AN16" s="218">
        <f>-AN$14*LossToLeasePct</f>
        <v/>
      </c>
      <c r="AO16" s="218">
        <f>-AO$14*LossToLeasePct</f>
        <v/>
      </c>
      <c r="AP16" s="218">
        <f>-AP$14*LossToLeasePct</f>
        <v/>
      </c>
      <c r="AQ16" s="218">
        <f>-AQ$14*LossToLeasePct</f>
        <v/>
      </c>
      <c r="AR16" s="218">
        <f>-AR$14*LossToLeasePct</f>
        <v/>
      </c>
      <c r="AS16" s="218">
        <f>-AS$14*LossToLeasePct</f>
        <v/>
      </c>
      <c r="AT16" s="218">
        <f>-AT$14*LossToLeasePct</f>
        <v/>
      </c>
      <c r="AU16" s="218">
        <f>-AU$14*LossToLeasePct</f>
        <v/>
      </c>
      <c r="AV16" s="218">
        <f>-AV$14*LossToLeasePct</f>
        <v/>
      </c>
      <c r="AW16" s="218">
        <f>-AW$14*LossToLeasePct</f>
        <v/>
      </c>
      <c r="AX16" s="218">
        <f>-AX$14*LossToLeasePct</f>
        <v/>
      </c>
      <c r="AY16" s="218">
        <f>-AY$14*LossToLeasePct</f>
        <v/>
      </c>
      <c r="AZ16" s="218">
        <f>-AZ$14*LossToLeasePct</f>
        <v/>
      </c>
      <c r="BA16" s="218">
        <f>-BA$14*LossToLeasePct</f>
        <v/>
      </c>
      <c r="BB16" s="218">
        <f>-BB$14*LossToLeasePct</f>
        <v/>
      </c>
      <c r="BC16" s="218">
        <f>-BC$14*LossToLeasePct</f>
        <v/>
      </c>
      <c r="BD16" s="218">
        <f>-BD$14*LossToLeasePct</f>
        <v/>
      </c>
      <c r="BE16" s="218">
        <f>-BE$14*LossToLeasePct</f>
        <v/>
      </c>
      <c r="BF16" s="218">
        <f>-BF$14*LossToLeasePct</f>
        <v/>
      </c>
      <c r="BG16" s="218">
        <f>-BG$14*LossToLeasePct</f>
        <v/>
      </c>
      <c r="BH16" s="218">
        <f>-BH$14*LossToLeasePct</f>
        <v/>
      </c>
      <c r="BI16" s="218">
        <f>-BI$14*LossToLeasePct</f>
        <v/>
      </c>
      <c r="BJ16" s="218">
        <f>-BJ$14*LossToLeasePct</f>
        <v/>
      </c>
      <c r="BK16" s="218">
        <f>-BK$14*LossToLeasePct</f>
        <v/>
      </c>
      <c r="BL16" s="218">
        <f>-BL$14*LossToLeasePct</f>
        <v/>
      </c>
      <c r="BM16" s="218">
        <f>-BM$14*LossToLeasePct</f>
        <v/>
      </c>
      <c r="BN16" s="218">
        <f>-BN$14*LossToLeasePct</f>
        <v/>
      </c>
      <c r="BO16" s="218">
        <f>-BO$14*LossToLeasePct</f>
        <v/>
      </c>
      <c r="BP16" s="218">
        <f>-BP$14*LossToLeasePct</f>
        <v/>
      </c>
      <c r="BQ16" s="218">
        <f>-BQ$14*LossToLeasePct</f>
        <v/>
      </c>
      <c r="BR16" s="218">
        <f>-BR$14*LossToLeasePct</f>
        <v/>
      </c>
      <c r="BS16" s="218">
        <f>-BS$14*LossToLeasePct</f>
        <v/>
      </c>
      <c r="BT16" s="218">
        <f>-BT$14*LossToLeasePct</f>
        <v/>
      </c>
      <c r="BU16" s="218">
        <f>-BU$14*LossToLeasePct</f>
        <v/>
      </c>
      <c r="BV16" s="218">
        <f>-BV$14*LossToLeasePct</f>
        <v/>
      </c>
      <c r="BW16" s="218">
        <f>-BW$14*LossToLeasePct</f>
        <v/>
      </c>
      <c r="BX16" s="218">
        <f>-BX$14*LossToLeasePct</f>
        <v/>
      </c>
      <c r="BY16" s="218">
        <f>-BY$14*LossToLeasePct</f>
        <v/>
      </c>
      <c r="BZ16" s="218">
        <f>-BZ$14*LossToLeasePct</f>
        <v/>
      </c>
      <c r="CA16" s="218">
        <f>-CA$14*LossToLeasePct</f>
        <v/>
      </c>
      <c r="CB16" s="218">
        <f>-CB$14*LossToLeasePct</f>
        <v/>
      </c>
      <c r="CC16" s="218">
        <f>-CC$14*LossToLeasePct</f>
        <v/>
      </c>
      <c r="CD16" s="218">
        <f>-CD$14*LossToLeasePct</f>
        <v/>
      </c>
      <c r="CE16" s="218">
        <f>-CE$14*LossToLeasePct</f>
        <v/>
      </c>
      <c r="CF16" s="218">
        <f>-CF$14*LossToLeasePct</f>
        <v/>
      </c>
      <c r="CG16" s="218">
        <f>-CG$14*LossToLeasePct</f>
        <v/>
      </c>
      <c r="CH16" s="218">
        <f>-CH$14*LossToLeasePct</f>
        <v/>
      </c>
      <c r="CI16" s="218">
        <f>-CI$14*LossToLeasePct</f>
        <v/>
      </c>
      <c r="CJ16" s="218">
        <f>-CJ$14*LossToLeasePct</f>
        <v/>
      </c>
      <c r="CK16" s="218">
        <f>-CK$14*LossToLeasePct</f>
        <v/>
      </c>
      <c r="CL16" s="218">
        <f>-CL$14*LossToLeasePct</f>
        <v/>
      </c>
      <c r="CM16" s="218">
        <f>-CM$14*LossToLeasePct</f>
        <v/>
      </c>
      <c r="CN16" s="218">
        <f>-CN$14*LossToLeasePct</f>
        <v/>
      </c>
      <c r="CO16" s="218">
        <f>-CO$14*LossToLeasePct</f>
        <v/>
      </c>
      <c r="CP16" s="218">
        <f>-CP$14*LossToLeasePct</f>
        <v/>
      </c>
      <c r="CQ16" s="218">
        <f>-CQ$14*LossToLeasePct</f>
        <v/>
      </c>
      <c r="CR16" s="218">
        <f>-CR$14*LossToLeasePct</f>
        <v/>
      </c>
      <c r="CS16" s="218">
        <f>-CS$14*LossToLeasePct</f>
        <v/>
      </c>
      <c r="CT16" s="218">
        <f>-CT$14*LossToLeasePct</f>
        <v/>
      </c>
      <c r="CU16" s="218">
        <f>-CU$14*LossToLeasePct</f>
        <v/>
      </c>
      <c r="CV16" s="218">
        <f>-CV$14*LossToLeasePct</f>
        <v/>
      </c>
      <c r="CW16" s="218">
        <f>-CW$14*LossToLeasePct</f>
        <v/>
      </c>
      <c r="CX16" s="218">
        <f>-CX$14*LossToLeasePct</f>
        <v/>
      </c>
      <c r="CY16" s="218">
        <f>-CY$14*LossToLeasePct</f>
        <v/>
      </c>
      <c r="CZ16" s="218">
        <f>-CZ$14*LossToLeasePct</f>
        <v/>
      </c>
      <c r="DA16" s="218">
        <f>-DA$14*LossToLeasePct</f>
        <v/>
      </c>
      <c r="DB16" s="218">
        <f>-DB$14*LossToLeasePct</f>
        <v/>
      </c>
      <c r="DC16" s="218">
        <f>-DC$14*LossToLeasePct</f>
        <v/>
      </c>
      <c r="DD16" s="218">
        <f>-DD$14*LossToLeasePct</f>
        <v/>
      </c>
      <c r="DE16" s="218">
        <f>-DE$14*LossToLeasePct</f>
        <v/>
      </c>
      <c r="DF16" s="218">
        <f>-DF$14*LossToLeasePct</f>
        <v/>
      </c>
      <c r="DG16" s="218">
        <f>-DG$14*LossToLeasePct</f>
        <v/>
      </c>
      <c r="DH16" s="218">
        <f>-DH$14*LossToLeasePct</f>
        <v/>
      </c>
      <c r="DI16" s="218">
        <f>-DI$14*LossToLeasePct</f>
        <v/>
      </c>
      <c r="DJ16" s="218">
        <f>-DJ$14*LossToLeasePct</f>
        <v/>
      </c>
      <c r="DK16" s="218">
        <f>-DK$14*LossToLeasePct</f>
        <v/>
      </c>
      <c r="DL16" s="218">
        <f>-DL$14*LossToLeasePct</f>
        <v/>
      </c>
      <c r="DM16" s="218">
        <f>-DM$14*LossToLeasePct</f>
        <v/>
      </c>
      <c r="DN16" s="218">
        <f>-DN$14*LossToLeasePct</f>
        <v/>
      </c>
      <c r="DO16" s="218">
        <f>-DO$14*LossToLeasePct</f>
        <v/>
      </c>
      <c r="DP16" s="218">
        <f>-DP$14*LossToLeasePct</f>
        <v/>
      </c>
      <c r="DQ16" s="218">
        <f>-DQ$14*LossToLeasePct</f>
        <v/>
      </c>
      <c r="DR16" s="218">
        <f>-DR$14*LossToLeasePct</f>
        <v/>
      </c>
      <c r="DS16" s="218">
        <f>-DS$14*LossToLeasePct</f>
        <v/>
      </c>
      <c r="DT16" s="218">
        <f>-DT$14*LossToLeasePct</f>
        <v/>
      </c>
      <c r="DU16" s="218">
        <f>-DU$14*LossToLeasePct</f>
        <v/>
      </c>
      <c r="DV16" s="218">
        <f>-DV$14*LossToLeasePct</f>
        <v/>
      </c>
      <c r="DW16" s="218">
        <f>-DW$14*LossToLeasePct</f>
        <v/>
      </c>
      <c r="DX16" s="218">
        <f>-DX$14*LossToLeasePct</f>
        <v/>
      </c>
      <c r="DY16" s="218">
        <f>-DY$14*LossToLeasePct</f>
        <v/>
      </c>
      <c r="DZ16" s="218">
        <f>-DZ$14*LossToLeasePct</f>
        <v/>
      </c>
      <c r="EA16" s="218">
        <f>-EA$14*LossToLeasePct</f>
        <v/>
      </c>
      <c r="EB16" s="218">
        <f>-EB$14*LossToLeasePct</f>
        <v/>
      </c>
      <c r="EC16" s="218">
        <f>-EC$14*LossToLeasePct</f>
        <v/>
      </c>
      <c r="ED16" s="218">
        <f>-ED$14*LossToLeasePct</f>
        <v/>
      </c>
      <c r="EE16" s="218">
        <f>-EE$14*LossToLeasePct</f>
        <v/>
      </c>
      <c r="EF16" s="218">
        <f>-EF$14*LossToLeasePct</f>
        <v/>
      </c>
      <c r="EG16" s="218">
        <f>-EG$14*LossToLeasePct</f>
        <v/>
      </c>
      <c r="EH16" s="218">
        <f>-EH$14*LossToLeasePct</f>
        <v/>
      </c>
      <c r="EI16" s="218">
        <f>-EI$14*LossToLeasePct</f>
        <v/>
      </c>
      <c r="EJ16" s="218">
        <f>-EJ$14*LossToLeasePct</f>
        <v/>
      </c>
      <c r="EK16" s="218">
        <f>-EK$14*LossToLeasePct</f>
        <v/>
      </c>
      <c r="EL16" s="218">
        <f>-EL$14*LossToLeasePct</f>
        <v/>
      </c>
      <c r="EM16" s="218">
        <f>-EM$14*LossToLeasePct</f>
        <v/>
      </c>
      <c r="EN16" s="218">
        <f>-EN$14*LossToLeasePct</f>
        <v/>
      </c>
      <c r="EO16" s="218">
        <f>-EO$14*LossToLeasePct</f>
        <v/>
      </c>
      <c r="EP16" s="218">
        <f>-EP$14*LossToLeasePct</f>
        <v/>
      </c>
      <c r="EQ16" s="218">
        <f>-EQ$14*LossToLeasePct</f>
        <v/>
      </c>
      <c r="ER16" s="218">
        <f>-ER$14*LossToLeasePct</f>
        <v/>
      </c>
      <c r="ES16" s="218">
        <f>-ES$14*LossToLeasePct</f>
        <v/>
      </c>
      <c r="ET16" s="218">
        <f>-ET$14*LossToLeasePct</f>
        <v/>
      </c>
      <c r="EU16" s="218">
        <f>-EU$14*LossToLeasePct</f>
        <v/>
      </c>
      <c r="EV16" s="218">
        <f>-EV$14*LossToLeasePct</f>
        <v/>
      </c>
      <c r="EW16" s="218">
        <f>-EW$14*LossToLeasePct</f>
        <v/>
      </c>
      <c r="EX16" s="218">
        <f>-EX$14*LossToLeasePct</f>
        <v/>
      </c>
      <c r="EY16" s="218">
        <f>-EY$14*LossToLeasePct</f>
        <v/>
      </c>
      <c r="EZ16" s="218">
        <f>-EZ$14*LossToLeasePct</f>
        <v/>
      </c>
      <c r="FA16" s="218">
        <f>-FA$14*LossToLeasePct</f>
        <v/>
      </c>
      <c r="FB16" s="218">
        <f>-FB$14*LossToLeasePct</f>
        <v/>
      </c>
      <c r="FC16" s="218">
        <f>-FC$14*LossToLeasePct</f>
        <v/>
      </c>
      <c r="FD16" s="218">
        <f>-FD$14*LossToLeasePct</f>
        <v/>
      </c>
      <c r="FE16" s="218">
        <f>-FE$14*LossToLeasePct</f>
        <v/>
      </c>
      <c r="FF16" s="218">
        <f>-FF$14*LossToLeasePct</f>
        <v/>
      </c>
      <c r="FG16" s="218">
        <f>-FG$14*LossToLeasePct</f>
        <v/>
      </c>
      <c r="FH16" s="218">
        <f>-FH$14*LossToLeasePct</f>
        <v/>
      </c>
      <c r="FI16" s="218">
        <f>-FI$14*LossToLeasePct</f>
        <v/>
      </c>
      <c r="FJ16" s="218">
        <f>-FJ$14*LossToLeasePct</f>
        <v/>
      </c>
      <c r="FK16" s="218">
        <f>-FK$14*LossToLeasePct</f>
        <v/>
      </c>
      <c r="FL16" s="218">
        <f>-FL$14*LossToLeasePct</f>
        <v/>
      </c>
      <c r="FM16" s="218">
        <f>-FM$14*LossToLeasePct</f>
        <v/>
      </c>
      <c r="FN16" s="218">
        <f>-FN$14*LossToLeasePct</f>
        <v/>
      </c>
      <c r="FO16" s="218">
        <f>-FO$14*LossToLeasePct</f>
        <v/>
      </c>
      <c r="FP16" s="218">
        <f>-FP$14*LossToLeasePct</f>
        <v/>
      </c>
      <c r="FQ16" s="218">
        <f>-FQ$14*LossToLeasePct</f>
        <v/>
      </c>
      <c r="FR16" s="218">
        <f>-FR$14*LossToLeasePct</f>
        <v/>
      </c>
      <c r="FS16" s="218">
        <f>-FS$14*LossToLeasePct</f>
        <v/>
      </c>
      <c r="FT16" s="218">
        <f>-FT$14*LossToLeasePct</f>
        <v/>
      </c>
      <c r="FU16" s="218">
        <f>-FU$14*LossToLeasePct</f>
        <v/>
      </c>
      <c r="FV16" s="218">
        <f>-FV$14*LossToLeasePct</f>
        <v/>
      </c>
      <c r="FW16" s="218">
        <f>-FW$14*LossToLeasePct</f>
        <v/>
      </c>
      <c r="FX16" s="218">
        <f>-FX$14*LossToLeasePct</f>
        <v/>
      </c>
      <c r="FY16" s="218">
        <f>-FY$14*LossToLeasePct</f>
        <v/>
      </c>
      <c r="FZ16" s="218">
        <f>-FZ$14*LossToLeasePct</f>
        <v/>
      </c>
      <c r="GA16" s="218">
        <f>-GA$14*LossToLeasePct</f>
        <v/>
      </c>
      <c r="GB16" s="218">
        <f>-GB$14*LossToLeasePct</f>
        <v/>
      </c>
      <c r="GC16" s="218">
        <f>-GC$14*LossToLeasePct</f>
        <v/>
      </c>
      <c r="GD16" s="218">
        <f>-GD$14*LossToLeasePct</f>
        <v/>
      </c>
      <c r="GE16" s="218">
        <f>-GE$14*LossToLeasePct</f>
        <v/>
      </c>
      <c r="GF16" s="218">
        <f>-GF$14*LossToLeasePct</f>
        <v/>
      </c>
      <c r="GG16" s="218">
        <f>-GG$14*LossToLeasePct</f>
        <v/>
      </c>
      <c r="GH16" s="218">
        <f>-GH$14*LossToLeasePct</f>
        <v/>
      </c>
      <c r="GI16" s="218">
        <f>-GI$14*LossToLeasePct</f>
        <v/>
      </c>
      <c r="GJ16" s="218">
        <f>-GJ$14*LossToLeasePct</f>
        <v/>
      </c>
      <c r="GK16" s="218">
        <f>-GK$14*LossToLeasePct</f>
        <v/>
      </c>
      <c r="GL16" s="218">
        <f>-GL$14*LossToLeasePct</f>
        <v/>
      </c>
      <c r="GM16" s="218">
        <f>-GM$14*LossToLeasePct</f>
        <v/>
      </c>
      <c r="GN16" s="218">
        <f>-GN$14*LossToLeasePct</f>
        <v/>
      </c>
      <c r="GO16" s="218">
        <f>-GO$14*LossToLeasePct</f>
        <v/>
      </c>
      <c r="GP16" s="218">
        <f>-GP$14*LossToLeasePct</f>
        <v/>
      </c>
      <c r="GQ16" s="218">
        <f>-GQ$14*LossToLeasePct</f>
        <v/>
      </c>
      <c r="GR16" s="218">
        <f>-GR$14*LossToLeasePct</f>
        <v/>
      </c>
      <c r="GS16" s="218">
        <f>-GS$14*LossToLeasePct</f>
        <v/>
      </c>
      <c r="GT16" s="218">
        <f>-GT$14*LossToLeasePct</f>
        <v/>
      </c>
      <c r="GU16" s="218">
        <f>-GU$14*LossToLeasePct</f>
        <v/>
      </c>
      <c r="GV16" s="218">
        <f>-GV$14*LossToLeasePct</f>
        <v/>
      </c>
      <c r="GW16" s="218">
        <f>-GW$14*LossToLeasePct</f>
        <v/>
      </c>
      <c r="GX16" s="218">
        <f>-GX$14*LossToLeasePct</f>
        <v/>
      </c>
      <c r="GY16" s="218">
        <f>-GY$14*LossToLeasePct</f>
        <v/>
      </c>
      <c r="GZ16" s="218">
        <f>-GZ$14*LossToLeasePct</f>
        <v/>
      </c>
      <c r="HA16" s="218">
        <f>-HA$14*LossToLeasePct</f>
        <v/>
      </c>
      <c r="HB16" s="218">
        <f>-HB$14*LossToLeasePct</f>
        <v/>
      </c>
      <c r="HC16" s="218">
        <f>-HC$14*LossToLeasePct</f>
        <v/>
      </c>
      <c r="HD16" s="218">
        <f>-HD$14*LossToLeasePct</f>
        <v/>
      </c>
      <c r="HE16" s="218">
        <f>-HE$14*LossToLeasePct</f>
        <v/>
      </c>
      <c r="HF16" s="218">
        <f>-HF$14*LossToLeasePct</f>
        <v/>
      </c>
      <c r="HG16" s="218">
        <f>-HG$14*LossToLeasePct</f>
        <v/>
      </c>
      <c r="HH16" s="218">
        <f>-HH$14*LossToLeasePct</f>
        <v/>
      </c>
      <c r="HI16" s="218">
        <f>-HI$14*LossToLeasePct</f>
        <v/>
      </c>
      <c r="HJ16" s="218">
        <f>-HJ$14*LossToLeasePct</f>
        <v/>
      </c>
      <c r="HK16" s="218">
        <f>-HK$14*LossToLeasePct</f>
        <v/>
      </c>
      <c r="HL16" s="218">
        <f>-HL$14*LossToLeasePct</f>
        <v/>
      </c>
      <c r="HM16" s="218">
        <f>-HM$14*LossToLeasePct</f>
        <v/>
      </c>
      <c r="HN16" s="218">
        <f>-HN$14*LossToLeasePct</f>
        <v/>
      </c>
      <c r="HO16" s="218">
        <f>-HO$14*LossToLeasePct</f>
        <v/>
      </c>
      <c r="HP16" s="218">
        <f>-HP$14*LossToLeasePct</f>
        <v/>
      </c>
      <c r="HQ16" s="218">
        <f>-HQ$14*LossToLeasePct</f>
        <v/>
      </c>
      <c r="HR16" s="218">
        <f>-HR$14*LossToLeasePct</f>
        <v/>
      </c>
      <c r="HS16" s="218">
        <f>-HS$14*LossToLeasePct</f>
        <v/>
      </c>
      <c r="HT16" s="218">
        <f>-HT$14*LossToLeasePct</f>
        <v/>
      </c>
      <c r="HU16" s="218">
        <f>-HU$14*LossToLeasePct</f>
        <v/>
      </c>
      <c r="HV16" s="218">
        <f>-HV$14*LossToLeasePct</f>
        <v/>
      </c>
      <c r="HW16" s="218">
        <f>-HW$14*LossToLeasePct</f>
        <v/>
      </c>
      <c r="HX16" s="218">
        <f>-HX$14*LossToLeasePct</f>
        <v/>
      </c>
      <c r="HY16" s="218">
        <f>-HY$14*LossToLeasePct</f>
        <v/>
      </c>
      <c r="HZ16" s="218">
        <f>-HZ$14*LossToLeasePct</f>
        <v/>
      </c>
      <c r="IA16" s="218">
        <f>-IA$14*LossToLeasePct</f>
        <v/>
      </c>
      <c r="IB16" s="218">
        <f>-IB$14*LossToLeasePct</f>
        <v/>
      </c>
      <c r="IC16" s="218">
        <f>-IC$14*LossToLeasePct</f>
        <v/>
      </c>
      <c r="ID16" s="218">
        <f>-ID$14*LossToLeasePct</f>
        <v/>
      </c>
      <c r="IE16" s="218">
        <f>-IE$14*LossToLeasePct</f>
        <v/>
      </c>
      <c r="IF16" s="218">
        <f>-IF$14*LossToLeasePct</f>
        <v/>
      </c>
      <c r="IG16" s="218">
        <f>-IG$14*LossToLeasePct</f>
        <v/>
      </c>
      <c r="IH16" s="218">
        <f>-IH$14*LossToLeasePct</f>
        <v/>
      </c>
      <c r="II16" s="218">
        <f>-II$14*LossToLeasePct</f>
        <v/>
      </c>
      <c r="IJ16" s="218">
        <f>-IJ$14*LossToLeasePct</f>
        <v/>
      </c>
      <c r="IK16" s="218">
        <f>-IK$14*LossToLeasePct</f>
        <v/>
      </c>
      <c r="IL16" s="218">
        <f>-IL$14*LossToLeasePct</f>
        <v/>
      </c>
      <c r="IM16" s="218">
        <f>-IM$14*LossToLeasePct</f>
        <v/>
      </c>
      <c r="IN16" s="218">
        <f>-IN$14*LossToLeasePct</f>
        <v/>
      </c>
      <c r="IO16" s="218">
        <f>-IO$14*LossToLeasePct</f>
        <v/>
      </c>
      <c r="IP16" s="218">
        <f>-IP$14*LossToLeasePct</f>
        <v/>
      </c>
      <c r="IQ16" s="218">
        <f>-IQ$14*LossToLeasePct</f>
        <v/>
      </c>
      <c r="IR16" s="218">
        <f>-IR$14*LossToLeasePct</f>
        <v/>
      </c>
      <c r="IS16" s="218">
        <f>-IS$14*LossToLeasePct</f>
        <v/>
      </c>
      <c r="IT16" s="218">
        <f>-IT$14*LossToLeasePct</f>
        <v/>
      </c>
      <c r="IU16" s="218">
        <f>-IU$14*LossToLeasePct</f>
        <v/>
      </c>
      <c r="IV16" s="218">
        <f>-IV$14*LossToLeasePct</f>
        <v/>
      </c>
      <c r="IW16" s="218">
        <f>-IW$14*LossToLeasePct</f>
        <v/>
      </c>
      <c r="IX16" s="218">
        <f>-IX$14*LossToLeasePct</f>
        <v/>
      </c>
      <c r="IY16" s="218">
        <f>-IY$14*LossToLeasePct</f>
        <v/>
      </c>
      <c r="IZ16" s="218">
        <f>-IZ$14*LossToLeasePct</f>
        <v/>
      </c>
      <c r="JA16" s="218">
        <f>-JA$14*LossToLeasePct</f>
        <v/>
      </c>
      <c r="JB16" s="218">
        <f>-JB$14*LossToLeasePct</f>
        <v/>
      </c>
      <c r="JC16" s="218">
        <f>-JC$14*LossToLeasePct</f>
        <v/>
      </c>
      <c r="JD16" s="218">
        <f>-JD$14*LossToLeasePct</f>
        <v/>
      </c>
      <c r="JE16" s="218">
        <f>-JE$14*LossToLeasePct</f>
        <v/>
      </c>
      <c r="JF16" s="218">
        <f>-JF$14*LossToLeasePct</f>
        <v/>
      </c>
      <c r="JG16" s="218">
        <f>-JG$14*LossToLeasePct</f>
        <v/>
      </c>
      <c r="JH16" s="218">
        <f>-JH$14*LossToLeasePct</f>
        <v/>
      </c>
      <c r="JI16" s="218">
        <f>-JI$14*LossToLeasePct</f>
        <v/>
      </c>
      <c r="JJ16" s="218">
        <f>-JJ$14*LossToLeasePct</f>
        <v/>
      </c>
      <c r="JK16" s="218">
        <f>-JK$14*LossToLeasePct</f>
        <v/>
      </c>
      <c r="JL16" s="218">
        <f>-JL$14*LossToLeasePct</f>
        <v/>
      </c>
      <c r="JM16" s="218">
        <f>-JM$14*LossToLeasePct</f>
        <v/>
      </c>
      <c r="JN16" s="218">
        <f>-JN$14*LossToLeasePct</f>
        <v/>
      </c>
      <c r="JO16" s="218">
        <f>-JO$14*LossToLeasePct</f>
        <v/>
      </c>
      <c r="JP16" s="218">
        <f>-JP$14*LossToLeasePct</f>
        <v/>
      </c>
      <c r="JQ16" s="218">
        <f>-JQ$14*LossToLeasePct</f>
        <v/>
      </c>
      <c r="JR16" s="218">
        <f>-JR$14*LossToLeasePct</f>
        <v/>
      </c>
      <c r="JS16" s="218">
        <f>-JS$14*LossToLeasePct</f>
        <v/>
      </c>
      <c r="JT16" s="218">
        <f>-JT$14*LossToLeasePct</f>
        <v/>
      </c>
      <c r="JU16" s="218">
        <f>-JU$14*LossToLeasePct</f>
        <v/>
      </c>
      <c r="JV16" s="218">
        <f>-JV$14*LossToLeasePct</f>
        <v/>
      </c>
      <c r="JW16" s="218">
        <f>-JW$14*LossToLeasePct</f>
        <v/>
      </c>
      <c r="JX16" s="218">
        <f>-JX$14*LossToLeasePct</f>
        <v/>
      </c>
      <c r="JY16" s="218">
        <f>-JY$14*LossToLeasePct</f>
        <v/>
      </c>
      <c r="JZ16" s="218">
        <f>-JZ$14*LossToLeasePct</f>
        <v/>
      </c>
      <c r="KA16" s="218">
        <f>-KA$14*LossToLeasePct</f>
        <v/>
      </c>
      <c r="KB16" s="218">
        <f>-KB$14*LossToLeasePct</f>
        <v/>
      </c>
      <c r="KC16" s="218">
        <f>-KC$14*LossToLeasePct</f>
        <v/>
      </c>
      <c r="KD16" s="218">
        <f>-KD$14*LossToLeasePct</f>
        <v/>
      </c>
      <c r="KE16" s="218">
        <f>-KE$14*LossToLeasePct</f>
        <v/>
      </c>
      <c r="KF16" s="218">
        <f>-KF$14*LossToLeasePct</f>
        <v/>
      </c>
      <c r="KG16" s="218">
        <f>-KG$14*LossToLeasePct</f>
        <v/>
      </c>
      <c r="KH16" s="218">
        <f>-KH$14*LossToLeasePct</f>
        <v/>
      </c>
      <c r="KI16" s="218">
        <f>-KI$14*LossToLeasePct</f>
        <v/>
      </c>
      <c r="KJ16" s="218">
        <f>-KJ$14*LossToLeasePct</f>
        <v/>
      </c>
      <c r="KK16" s="218">
        <f>-KK$14*LossToLeasePct</f>
        <v/>
      </c>
      <c r="KL16" s="218">
        <f>-KL$14*LossToLeasePct</f>
        <v/>
      </c>
      <c r="KM16" s="218">
        <f>-KM$14*LossToLeasePct</f>
        <v/>
      </c>
      <c r="KN16" s="218">
        <f>-KN$14*LossToLeasePct</f>
        <v/>
      </c>
      <c r="KO16" s="218">
        <f>-KO$14*LossToLeasePct</f>
        <v/>
      </c>
      <c r="KP16" s="218">
        <f>-KP$14*LossToLeasePct</f>
        <v/>
      </c>
      <c r="KQ16" s="218">
        <f>-KQ$14*LossToLeasePct</f>
        <v/>
      </c>
      <c r="KR16" s="218">
        <f>-KR$14*LossToLeasePct</f>
        <v/>
      </c>
      <c r="KS16" s="218">
        <f>-KS$14*LossToLeasePct</f>
        <v/>
      </c>
      <c r="KT16" s="218">
        <f>-KT$14*LossToLeasePct</f>
        <v/>
      </c>
      <c r="KU16" s="218">
        <f>-KU$14*LossToLeasePct</f>
        <v/>
      </c>
      <c r="KV16" s="218">
        <f>-KV$14*LossToLeasePct</f>
        <v/>
      </c>
      <c r="KW16" s="218">
        <f>-KW$14*LossToLeasePct</f>
        <v/>
      </c>
      <c r="KX16" s="218">
        <f>-KX$14*LossToLeasePct</f>
        <v/>
      </c>
      <c r="KY16" s="218">
        <f>-KY$14*LossToLeasePct</f>
        <v/>
      </c>
      <c r="KZ16" s="218">
        <f>-KZ$14*LossToLeasePct</f>
        <v/>
      </c>
      <c r="LA16" s="218">
        <f>-LA$14*LossToLeasePct</f>
        <v/>
      </c>
      <c r="LB16" s="218">
        <f>-LB$14*LossToLeasePct</f>
        <v/>
      </c>
      <c r="LC16" s="218">
        <f>-LC$14*LossToLeasePct</f>
        <v/>
      </c>
      <c r="LD16" s="218">
        <f>-LD$14*LossToLeasePct</f>
        <v/>
      </c>
      <c r="LE16" s="218">
        <f>-LE$14*LossToLeasePct</f>
        <v/>
      </c>
      <c r="LF16" s="218">
        <f>-LF$14*LossToLeasePct</f>
        <v/>
      </c>
      <c r="LG16" s="218">
        <f>-LG$14*LossToLeasePct</f>
        <v/>
      </c>
      <c r="LH16" s="218">
        <f>-LH$14*LossToLeasePct</f>
        <v/>
      </c>
      <c r="LI16" s="218">
        <f>-LI$14*LossToLeasePct</f>
        <v/>
      </c>
      <c r="LJ16" s="218">
        <f>-LJ$14*LossToLeasePct</f>
        <v/>
      </c>
      <c r="LK16" s="218">
        <f>-LK$14*LossToLeasePct</f>
        <v/>
      </c>
      <c r="LL16" s="218">
        <f>-LL$14*LossToLeasePct</f>
        <v/>
      </c>
      <c r="LM16" s="218">
        <f>-LM$14*LossToLeasePct</f>
        <v/>
      </c>
      <c r="LN16" s="218">
        <f>-LN$14*LossToLeasePct</f>
        <v/>
      </c>
      <c r="LO16" s="218">
        <f>-LO$14*LossToLeasePct</f>
        <v/>
      </c>
      <c r="LP16" s="218">
        <f>-LP$14*LossToLeasePct</f>
        <v/>
      </c>
      <c r="LQ16" s="218">
        <f>-LQ$14*LossToLeasePct</f>
        <v/>
      </c>
      <c r="LR16" s="218">
        <f>-LR$14*LossToLeasePct</f>
        <v/>
      </c>
      <c r="LS16" s="218">
        <f>-LS$14*LossToLeasePct</f>
        <v/>
      </c>
      <c r="LT16" s="218">
        <f>-LT$14*LossToLeasePct</f>
        <v/>
      </c>
      <c r="LU16" s="218">
        <f>-LU$14*LossToLeasePct</f>
        <v/>
      </c>
      <c r="LV16" s="218">
        <f>-LV$14*LossToLeasePct</f>
        <v/>
      </c>
      <c r="LW16" s="218">
        <f>-LW$14*LossToLeasePct</f>
        <v/>
      </c>
      <c r="LX16" s="218">
        <f>-LX$14*LossToLeasePct</f>
        <v/>
      </c>
      <c r="LY16" s="218">
        <f>-LY$14*LossToLeasePct</f>
        <v/>
      </c>
      <c r="LZ16" s="218">
        <f>-LZ$14*LossToLeasePct</f>
        <v/>
      </c>
      <c r="MA16" s="218">
        <f>-MA$14*LossToLeasePct</f>
        <v/>
      </c>
      <c r="MB16" s="218">
        <f>-MB$14*LossToLeasePct</f>
        <v/>
      </c>
      <c r="MC16" s="218">
        <f>-MC$14*LossToLeasePct</f>
        <v/>
      </c>
      <c r="MD16" s="218">
        <f>-MD$14*LossToLeasePct</f>
        <v/>
      </c>
      <c r="ME16" s="218">
        <f>-ME$14*LossToLeasePct</f>
        <v/>
      </c>
      <c r="MF16" s="218">
        <f>-MF$14*LossToLeasePct</f>
        <v/>
      </c>
      <c r="MG16" s="218">
        <f>-MG$14*LossToLeasePct</f>
        <v/>
      </c>
      <c r="MH16" s="218">
        <f>-MH$14*LossToLeasePct</f>
        <v/>
      </c>
      <c r="MI16" s="218">
        <f>-MI$14*LossToLeasePct</f>
        <v/>
      </c>
      <c r="MJ16" s="218">
        <f>-MJ$14*LossToLeasePct</f>
        <v/>
      </c>
      <c r="MK16" s="218">
        <f>-MK$14*LossToLeasePct</f>
        <v/>
      </c>
      <c r="ML16" s="218">
        <f>-ML$14*LossToLeasePct</f>
        <v/>
      </c>
      <c r="MM16" s="218">
        <f>-MM$14*LossToLeasePct</f>
        <v/>
      </c>
      <c r="MN16" s="218">
        <f>-MN$14*LossToLeasePct</f>
        <v/>
      </c>
      <c r="MO16" s="218">
        <f>-MO$14*LossToLeasePct</f>
        <v/>
      </c>
      <c r="MP16" s="218">
        <f>-MP$14*LossToLeasePct</f>
        <v/>
      </c>
      <c r="MQ16" s="218">
        <f>-MQ$14*LossToLeasePct</f>
        <v/>
      </c>
      <c r="MR16" s="218">
        <f>-MR$14*LossToLeasePct</f>
        <v/>
      </c>
      <c r="MS16" s="218">
        <f>-MS$14*LossToLeasePct</f>
        <v/>
      </c>
      <c r="MT16" s="218">
        <f>-MT$14*LossToLeasePct</f>
        <v/>
      </c>
      <c r="MU16" s="218">
        <f>-MU$14*LossToLeasePct</f>
        <v/>
      </c>
      <c r="MV16" s="218">
        <f>-MV$14*LossToLeasePct</f>
        <v/>
      </c>
      <c r="MW16" s="218">
        <f>-MW$14*LossToLeasePct</f>
        <v/>
      </c>
      <c r="MX16" s="218">
        <f>-MX$14*LossToLeasePct</f>
        <v/>
      </c>
      <c r="MY16" s="218">
        <f>-MY$14*LossToLeasePct</f>
        <v/>
      </c>
      <c r="MZ16" s="218">
        <f>-MZ$14*LossToLeasePct</f>
        <v/>
      </c>
      <c r="NA16" s="218">
        <f>-NA$14*LossToLeasePct</f>
        <v/>
      </c>
      <c r="NB16" s="218">
        <f>-NB$14*LossToLeasePct</f>
        <v/>
      </c>
      <c r="NC16" s="218">
        <f>-NC$14*LossToLeasePct</f>
        <v/>
      </c>
      <c r="ND16" s="218">
        <f>-ND$14*LossToLeasePct</f>
        <v/>
      </c>
      <c r="NE16" s="218">
        <f>-NE$14*LossToLeasePct</f>
        <v/>
      </c>
      <c r="NF16" s="218">
        <f>-NF$14*LossToLeasePct</f>
        <v/>
      </c>
      <c r="NG16" s="218">
        <f>-NG$14*LossToLeasePct</f>
        <v/>
      </c>
      <c r="NH16" s="218">
        <f>-NH$14*LossToLeasePct</f>
        <v/>
      </c>
      <c r="NI16" s="218">
        <f>-NI$14*LossToLeasePct</f>
        <v/>
      </c>
      <c r="NJ16" s="218">
        <f>-NJ$14*LossToLeasePct</f>
        <v/>
      </c>
      <c r="NK16" s="218">
        <f>-NK$14*LossToLeasePct</f>
        <v/>
      </c>
      <c r="NL16" s="225">
        <f>-NL$14*LossToLeasePct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-E$14*BadDebtPct</f>
        <v/>
      </c>
      <c r="F17" s="218">
        <f>-F$14*BadDebtPct</f>
        <v/>
      </c>
      <c r="G17" s="218">
        <f>-G$14*BadDebtPct</f>
        <v/>
      </c>
      <c r="H17" s="218">
        <f>-H$14*BadDebtPct</f>
        <v/>
      </c>
      <c r="I17" s="218">
        <f>-I$14*BadDebtPct</f>
        <v/>
      </c>
      <c r="J17" s="218">
        <f>-J$14*BadDebtPct</f>
        <v/>
      </c>
      <c r="K17" s="218">
        <f>-K$14*BadDebtPct</f>
        <v/>
      </c>
      <c r="L17" s="218">
        <f>-L$14*BadDebtPct</f>
        <v/>
      </c>
      <c r="M17" s="218">
        <f>-M$14*BadDebtPct</f>
        <v/>
      </c>
      <c r="N17" s="218">
        <f>-N$14*BadDebtPct</f>
        <v/>
      </c>
      <c r="O17" s="218">
        <f>-O$14*BadDebtPct</f>
        <v/>
      </c>
      <c r="P17" s="218">
        <f>-P$14*BadDebtPct</f>
        <v/>
      </c>
      <c r="Q17" s="218">
        <f>-Q$14*BadDebtPct</f>
        <v/>
      </c>
      <c r="R17" s="218">
        <f>-R$14*BadDebtPct</f>
        <v/>
      </c>
      <c r="S17" s="218">
        <f>-S$14*BadDebtPct</f>
        <v/>
      </c>
      <c r="T17" s="218">
        <f>-T$14*BadDebtPct</f>
        <v/>
      </c>
      <c r="U17" s="218">
        <f>-U$14*BadDebtPct</f>
        <v/>
      </c>
      <c r="V17" s="218">
        <f>-V$14*BadDebtPct</f>
        <v/>
      </c>
      <c r="W17" s="218">
        <f>-W$14*BadDebtPct</f>
        <v/>
      </c>
      <c r="X17" s="218">
        <f>-X$14*BadDebtPct</f>
        <v/>
      </c>
      <c r="Y17" s="218">
        <f>-Y$14*BadDebtPct</f>
        <v/>
      </c>
      <c r="Z17" s="218">
        <f>-Z$14*BadDebtPct</f>
        <v/>
      </c>
      <c r="AA17" s="218">
        <f>-AA$14*BadDebtPct</f>
        <v/>
      </c>
      <c r="AB17" s="218">
        <f>-AB$14*BadDebtPct</f>
        <v/>
      </c>
      <c r="AC17" s="218">
        <f>-AC$14*BadDebtPct</f>
        <v/>
      </c>
      <c r="AD17" s="218">
        <f>-AD$14*BadDebtPct</f>
        <v/>
      </c>
      <c r="AE17" s="218">
        <f>-AE$14*BadDebtPct</f>
        <v/>
      </c>
      <c r="AF17" s="218">
        <f>-AF$14*BadDebtPct</f>
        <v/>
      </c>
      <c r="AG17" s="218">
        <f>-AG$14*BadDebtPct</f>
        <v/>
      </c>
      <c r="AH17" s="218">
        <f>-AH$14*BadDebtPct</f>
        <v/>
      </c>
      <c r="AI17" s="218">
        <f>-AI$14*BadDebtPct</f>
        <v/>
      </c>
      <c r="AJ17" s="218">
        <f>-AJ$14*BadDebtPct</f>
        <v/>
      </c>
      <c r="AK17" s="218">
        <f>-AK$14*BadDebtPct</f>
        <v/>
      </c>
      <c r="AL17" s="218">
        <f>-AL$14*BadDebtPct</f>
        <v/>
      </c>
      <c r="AM17" s="218">
        <f>-AM$14*BadDebtPct</f>
        <v/>
      </c>
      <c r="AN17" s="218">
        <f>-AN$14*BadDebtPct</f>
        <v/>
      </c>
      <c r="AO17" s="218">
        <f>-AO$14*BadDebtPct</f>
        <v/>
      </c>
      <c r="AP17" s="218">
        <f>-AP$14*BadDebtPct</f>
        <v/>
      </c>
      <c r="AQ17" s="218">
        <f>-AQ$14*BadDebtPct</f>
        <v/>
      </c>
      <c r="AR17" s="218">
        <f>-AR$14*BadDebtPct</f>
        <v/>
      </c>
      <c r="AS17" s="218">
        <f>-AS$14*BadDebtPct</f>
        <v/>
      </c>
      <c r="AT17" s="218">
        <f>-AT$14*BadDebtPct</f>
        <v/>
      </c>
      <c r="AU17" s="218">
        <f>-AU$14*BadDebtPct</f>
        <v/>
      </c>
      <c r="AV17" s="218">
        <f>-AV$14*BadDebtPct</f>
        <v/>
      </c>
      <c r="AW17" s="218">
        <f>-AW$14*BadDebtPct</f>
        <v/>
      </c>
      <c r="AX17" s="218">
        <f>-AX$14*BadDebtPct</f>
        <v/>
      </c>
      <c r="AY17" s="218">
        <f>-AY$14*BadDebtPct</f>
        <v/>
      </c>
      <c r="AZ17" s="218">
        <f>-AZ$14*BadDebtPct</f>
        <v/>
      </c>
      <c r="BA17" s="218">
        <f>-BA$14*BadDebtPct</f>
        <v/>
      </c>
      <c r="BB17" s="218">
        <f>-BB$14*BadDebtPct</f>
        <v/>
      </c>
      <c r="BC17" s="218">
        <f>-BC$14*BadDebtPct</f>
        <v/>
      </c>
      <c r="BD17" s="218">
        <f>-BD$14*BadDebtPct</f>
        <v/>
      </c>
      <c r="BE17" s="218">
        <f>-BE$14*BadDebtPct</f>
        <v/>
      </c>
      <c r="BF17" s="218">
        <f>-BF$14*BadDebtPct</f>
        <v/>
      </c>
      <c r="BG17" s="218">
        <f>-BG$14*BadDebtPct</f>
        <v/>
      </c>
      <c r="BH17" s="218">
        <f>-BH$14*BadDebtPct</f>
        <v/>
      </c>
      <c r="BI17" s="218">
        <f>-BI$14*BadDebtPct</f>
        <v/>
      </c>
      <c r="BJ17" s="218">
        <f>-BJ$14*BadDebtPct</f>
        <v/>
      </c>
      <c r="BK17" s="218">
        <f>-BK$14*BadDebtPct</f>
        <v/>
      </c>
      <c r="BL17" s="218">
        <f>-BL$14*BadDebtPct</f>
        <v/>
      </c>
      <c r="BM17" s="218">
        <f>-BM$14*BadDebtPct</f>
        <v/>
      </c>
      <c r="BN17" s="218">
        <f>-BN$14*BadDebtPct</f>
        <v/>
      </c>
      <c r="BO17" s="218">
        <f>-BO$14*BadDebtPct</f>
        <v/>
      </c>
      <c r="BP17" s="218">
        <f>-BP$14*BadDebtPct</f>
        <v/>
      </c>
      <c r="BQ17" s="218">
        <f>-BQ$14*BadDebtPct</f>
        <v/>
      </c>
      <c r="BR17" s="218">
        <f>-BR$14*BadDebtPct</f>
        <v/>
      </c>
      <c r="BS17" s="218">
        <f>-BS$14*BadDebtPct</f>
        <v/>
      </c>
      <c r="BT17" s="218">
        <f>-BT$14*BadDebtPct</f>
        <v/>
      </c>
      <c r="BU17" s="218">
        <f>-BU$14*BadDebtPct</f>
        <v/>
      </c>
      <c r="BV17" s="218">
        <f>-BV$14*BadDebtPct</f>
        <v/>
      </c>
      <c r="BW17" s="218">
        <f>-BW$14*BadDebtPct</f>
        <v/>
      </c>
      <c r="BX17" s="218">
        <f>-BX$14*BadDebtPct</f>
        <v/>
      </c>
      <c r="BY17" s="218">
        <f>-BY$14*BadDebtPct</f>
        <v/>
      </c>
      <c r="BZ17" s="218">
        <f>-BZ$14*BadDebtPct</f>
        <v/>
      </c>
      <c r="CA17" s="218">
        <f>-CA$14*BadDebtPct</f>
        <v/>
      </c>
      <c r="CB17" s="218">
        <f>-CB$14*BadDebtPct</f>
        <v/>
      </c>
      <c r="CC17" s="218">
        <f>-CC$14*BadDebtPct</f>
        <v/>
      </c>
      <c r="CD17" s="218">
        <f>-CD$14*BadDebtPct</f>
        <v/>
      </c>
      <c r="CE17" s="218">
        <f>-CE$14*BadDebtPct</f>
        <v/>
      </c>
      <c r="CF17" s="218">
        <f>-CF$14*BadDebtPct</f>
        <v/>
      </c>
      <c r="CG17" s="218">
        <f>-CG$14*BadDebtPct</f>
        <v/>
      </c>
      <c r="CH17" s="218">
        <f>-CH$14*BadDebtPct</f>
        <v/>
      </c>
      <c r="CI17" s="218">
        <f>-CI$14*BadDebtPct</f>
        <v/>
      </c>
      <c r="CJ17" s="218">
        <f>-CJ$14*BadDebtPct</f>
        <v/>
      </c>
      <c r="CK17" s="218">
        <f>-CK$14*BadDebtPct</f>
        <v/>
      </c>
      <c r="CL17" s="218">
        <f>-CL$14*BadDebtPct</f>
        <v/>
      </c>
      <c r="CM17" s="218">
        <f>-CM$14*BadDebtPct</f>
        <v/>
      </c>
      <c r="CN17" s="218">
        <f>-CN$14*BadDebtPct</f>
        <v/>
      </c>
      <c r="CO17" s="218">
        <f>-CO$14*BadDebtPct</f>
        <v/>
      </c>
      <c r="CP17" s="218">
        <f>-CP$14*BadDebtPct</f>
        <v/>
      </c>
      <c r="CQ17" s="218">
        <f>-CQ$14*BadDebtPct</f>
        <v/>
      </c>
      <c r="CR17" s="218">
        <f>-CR$14*BadDebtPct</f>
        <v/>
      </c>
      <c r="CS17" s="218">
        <f>-CS$14*BadDebtPct</f>
        <v/>
      </c>
      <c r="CT17" s="218">
        <f>-CT$14*BadDebtPct</f>
        <v/>
      </c>
      <c r="CU17" s="218">
        <f>-CU$14*BadDebtPct</f>
        <v/>
      </c>
      <c r="CV17" s="218">
        <f>-CV$14*BadDebtPct</f>
        <v/>
      </c>
      <c r="CW17" s="218">
        <f>-CW$14*BadDebtPct</f>
        <v/>
      </c>
      <c r="CX17" s="218">
        <f>-CX$14*BadDebtPct</f>
        <v/>
      </c>
      <c r="CY17" s="218">
        <f>-CY$14*BadDebtPct</f>
        <v/>
      </c>
      <c r="CZ17" s="218">
        <f>-CZ$14*BadDebtPct</f>
        <v/>
      </c>
      <c r="DA17" s="218">
        <f>-DA$14*BadDebtPct</f>
        <v/>
      </c>
      <c r="DB17" s="218">
        <f>-DB$14*BadDebtPct</f>
        <v/>
      </c>
      <c r="DC17" s="218">
        <f>-DC$14*BadDebtPct</f>
        <v/>
      </c>
      <c r="DD17" s="218">
        <f>-DD$14*BadDebtPct</f>
        <v/>
      </c>
      <c r="DE17" s="218">
        <f>-DE$14*BadDebtPct</f>
        <v/>
      </c>
      <c r="DF17" s="218">
        <f>-DF$14*BadDebtPct</f>
        <v/>
      </c>
      <c r="DG17" s="218">
        <f>-DG$14*BadDebtPct</f>
        <v/>
      </c>
      <c r="DH17" s="218">
        <f>-DH$14*BadDebtPct</f>
        <v/>
      </c>
      <c r="DI17" s="218">
        <f>-DI$14*BadDebtPct</f>
        <v/>
      </c>
      <c r="DJ17" s="218">
        <f>-DJ$14*BadDebtPct</f>
        <v/>
      </c>
      <c r="DK17" s="218">
        <f>-DK$14*BadDebtPct</f>
        <v/>
      </c>
      <c r="DL17" s="218">
        <f>-DL$14*BadDebtPct</f>
        <v/>
      </c>
      <c r="DM17" s="218">
        <f>-DM$14*BadDebtPct</f>
        <v/>
      </c>
      <c r="DN17" s="218">
        <f>-DN$14*BadDebtPct</f>
        <v/>
      </c>
      <c r="DO17" s="218">
        <f>-DO$14*BadDebtPct</f>
        <v/>
      </c>
      <c r="DP17" s="218">
        <f>-DP$14*BadDebtPct</f>
        <v/>
      </c>
      <c r="DQ17" s="218">
        <f>-DQ$14*BadDebtPct</f>
        <v/>
      </c>
      <c r="DR17" s="218">
        <f>-DR$14*BadDebtPct</f>
        <v/>
      </c>
      <c r="DS17" s="218">
        <f>-DS$14*BadDebtPct</f>
        <v/>
      </c>
      <c r="DT17" s="218">
        <f>-DT$14*BadDebtPct</f>
        <v/>
      </c>
      <c r="DU17" s="218">
        <f>-DU$14*BadDebtPct</f>
        <v/>
      </c>
      <c r="DV17" s="218">
        <f>-DV$14*BadDebtPct</f>
        <v/>
      </c>
      <c r="DW17" s="218">
        <f>-DW$14*BadDebtPct</f>
        <v/>
      </c>
      <c r="DX17" s="218">
        <f>-DX$14*BadDebtPct</f>
        <v/>
      </c>
      <c r="DY17" s="218">
        <f>-DY$14*BadDebtPct</f>
        <v/>
      </c>
      <c r="DZ17" s="218">
        <f>-DZ$14*BadDebtPct</f>
        <v/>
      </c>
      <c r="EA17" s="218">
        <f>-EA$14*BadDebtPct</f>
        <v/>
      </c>
      <c r="EB17" s="218">
        <f>-EB$14*BadDebtPct</f>
        <v/>
      </c>
      <c r="EC17" s="218">
        <f>-EC$14*BadDebtPct</f>
        <v/>
      </c>
      <c r="ED17" s="218">
        <f>-ED$14*BadDebtPct</f>
        <v/>
      </c>
      <c r="EE17" s="218">
        <f>-EE$14*BadDebtPct</f>
        <v/>
      </c>
      <c r="EF17" s="218">
        <f>-EF$14*BadDebtPct</f>
        <v/>
      </c>
      <c r="EG17" s="218">
        <f>-EG$14*BadDebtPct</f>
        <v/>
      </c>
      <c r="EH17" s="218">
        <f>-EH$14*BadDebtPct</f>
        <v/>
      </c>
      <c r="EI17" s="218">
        <f>-EI$14*BadDebtPct</f>
        <v/>
      </c>
      <c r="EJ17" s="218">
        <f>-EJ$14*BadDebtPct</f>
        <v/>
      </c>
      <c r="EK17" s="218">
        <f>-EK$14*BadDebtPct</f>
        <v/>
      </c>
      <c r="EL17" s="218">
        <f>-EL$14*BadDebtPct</f>
        <v/>
      </c>
      <c r="EM17" s="218">
        <f>-EM$14*BadDebtPct</f>
        <v/>
      </c>
      <c r="EN17" s="218">
        <f>-EN$14*BadDebtPct</f>
        <v/>
      </c>
      <c r="EO17" s="218">
        <f>-EO$14*BadDebtPct</f>
        <v/>
      </c>
      <c r="EP17" s="218">
        <f>-EP$14*BadDebtPct</f>
        <v/>
      </c>
      <c r="EQ17" s="218">
        <f>-EQ$14*BadDebtPct</f>
        <v/>
      </c>
      <c r="ER17" s="218">
        <f>-ER$14*BadDebtPct</f>
        <v/>
      </c>
      <c r="ES17" s="218">
        <f>-ES$14*BadDebtPct</f>
        <v/>
      </c>
      <c r="ET17" s="218">
        <f>-ET$14*BadDebtPct</f>
        <v/>
      </c>
      <c r="EU17" s="218">
        <f>-EU$14*BadDebtPct</f>
        <v/>
      </c>
      <c r="EV17" s="218">
        <f>-EV$14*BadDebtPct</f>
        <v/>
      </c>
      <c r="EW17" s="218">
        <f>-EW$14*BadDebtPct</f>
        <v/>
      </c>
      <c r="EX17" s="218">
        <f>-EX$14*BadDebtPct</f>
        <v/>
      </c>
      <c r="EY17" s="218">
        <f>-EY$14*BadDebtPct</f>
        <v/>
      </c>
      <c r="EZ17" s="218">
        <f>-EZ$14*BadDebtPct</f>
        <v/>
      </c>
      <c r="FA17" s="218">
        <f>-FA$14*BadDebtPct</f>
        <v/>
      </c>
      <c r="FB17" s="218">
        <f>-FB$14*BadDebtPct</f>
        <v/>
      </c>
      <c r="FC17" s="218">
        <f>-FC$14*BadDebtPct</f>
        <v/>
      </c>
      <c r="FD17" s="218">
        <f>-FD$14*BadDebtPct</f>
        <v/>
      </c>
      <c r="FE17" s="218">
        <f>-FE$14*BadDebtPct</f>
        <v/>
      </c>
      <c r="FF17" s="218">
        <f>-FF$14*BadDebtPct</f>
        <v/>
      </c>
      <c r="FG17" s="218">
        <f>-FG$14*BadDebtPct</f>
        <v/>
      </c>
      <c r="FH17" s="218">
        <f>-FH$14*BadDebtPct</f>
        <v/>
      </c>
      <c r="FI17" s="218">
        <f>-FI$14*BadDebtPct</f>
        <v/>
      </c>
      <c r="FJ17" s="218">
        <f>-FJ$14*BadDebtPct</f>
        <v/>
      </c>
      <c r="FK17" s="218">
        <f>-FK$14*BadDebtPct</f>
        <v/>
      </c>
      <c r="FL17" s="218">
        <f>-FL$14*BadDebtPct</f>
        <v/>
      </c>
      <c r="FM17" s="218">
        <f>-FM$14*BadDebtPct</f>
        <v/>
      </c>
      <c r="FN17" s="218">
        <f>-FN$14*BadDebtPct</f>
        <v/>
      </c>
      <c r="FO17" s="218">
        <f>-FO$14*BadDebtPct</f>
        <v/>
      </c>
      <c r="FP17" s="218">
        <f>-FP$14*BadDebtPct</f>
        <v/>
      </c>
      <c r="FQ17" s="218">
        <f>-FQ$14*BadDebtPct</f>
        <v/>
      </c>
      <c r="FR17" s="218">
        <f>-FR$14*BadDebtPct</f>
        <v/>
      </c>
      <c r="FS17" s="218">
        <f>-FS$14*BadDebtPct</f>
        <v/>
      </c>
      <c r="FT17" s="218">
        <f>-FT$14*BadDebtPct</f>
        <v/>
      </c>
      <c r="FU17" s="218">
        <f>-FU$14*BadDebtPct</f>
        <v/>
      </c>
      <c r="FV17" s="218">
        <f>-FV$14*BadDebtPct</f>
        <v/>
      </c>
      <c r="FW17" s="218">
        <f>-FW$14*BadDebtPct</f>
        <v/>
      </c>
      <c r="FX17" s="218">
        <f>-FX$14*BadDebtPct</f>
        <v/>
      </c>
      <c r="FY17" s="218">
        <f>-FY$14*BadDebtPct</f>
        <v/>
      </c>
      <c r="FZ17" s="218">
        <f>-FZ$14*BadDebtPct</f>
        <v/>
      </c>
      <c r="GA17" s="218">
        <f>-GA$14*BadDebtPct</f>
        <v/>
      </c>
      <c r="GB17" s="218">
        <f>-GB$14*BadDebtPct</f>
        <v/>
      </c>
      <c r="GC17" s="218">
        <f>-GC$14*BadDebtPct</f>
        <v/>
      </c>
      <c r="GD17" s="218">
        <f>-GD$14*BadDebtPct</f>
        <v/>
      </c>
      <c r="GE17" s="218">
        <f>-GE$14*BadDebtPct</f>
        <v/>
      </c>
      <c r="GF17" s="218">
        <f>-GF$14*BadDebtPct</f>
        <v/>
      </c>
      <c r="GG17" s="218">
        <f>-GG$14*BadDebtPct</f>
        <v/>
      </c>
      <c r="GH17" s="218">
        <f>-GH$14*BadDebtPct</f>
        <v/>
      </c>
      <c r="GI17" s="218">
        <f>-GI$14*BadDebtPct</f>
        <v/>
      </c>
      <c r="GJ17" s="218">
        <f>-GJ$14*BadDebtPct</f>
        <v/>
      </c>
      <c r="GK17" s="218">
        <f>-GK$14*BadDebtPct</f>
        <v/>
      </c>
      <c r="GL17" s="218">
        <f>-GL$14*BadDebtPct</f>
        <v/>
      </c>
      <c r="GM17" s="218">
        <f>-GM$14*BadDebtPct</f>
        <v/>
      </c>
      <c r="GN17" s="218">
        <f>-GN$14*BadDebtPct</f>
        <v/>
      </c>
      <c r="GO17" s="218">
        <f>-GO$14*BadDebtPct</f>
        <v/>
      </c>
      <c r="GP17" s="218">
        <f>-GP$14*BadDebtPct</f>
        <v/>
      </c>
      <c r="GQ17" s="218">
        <f>-GQ$14*BadDebtPct</f>
        <v/>
      </c>
      <c r="GR17" s="218">
        <f>-GR$14*BadDebtPct</f>
        <v/>
      </c>
      <c r="GS17" s="218">
        <f>-GS$14*BadDebtPct</f>
        <v/>
      </c>
      <c r="GT17" s="218">
        <f>-GT$14*BadDebtPct</f>
        <v/>
      </c>
      <c r="GU17" s="218">
        <f>-GU$14*BadDebtPct</f>
        <v/>
      </c>
      <c r="GV17" s="218">
        <f>-GV$14*BadDebtPct</f>
        <v/>
      </c>
      <c r="GW17" s="218">
        <f>-GW$14*BadDebtPct</f>
        <v/>
      </c>
      <c r="GX17" s="218">
        <f>-GX$14*BadDebtPct</f>
        <v/>
      </c>
      <c r="GY17" s="218">
        <f>-GY$14*BadDebtPct</f>
        <v/>
      </c>
      <c r="GZ17" s="218">
        <f>-GZ$14*BadDebtPct</f>
        <v/>
      </c>
      <c r="HA17" s="218">
        <f>-HA$14*BadDebtPct</f>
        <v/>
      </c>
      <c r="HB17" s="218">
        <f>-HB$14*BadDebtPct</f>
        <v/>
      </c>
      <c r="HC17" s="218">
        <f>-HC$14*BadDebtPct</f>
        <v/>
      </c>
      <c r="HD17" s="218">
        <f>-HD$14*BadDebtPct</f>
        <v/>
      </c>
      <c r="HE17" s="218">
        <f>-HE$14*BadDebtPct</f>
        <v/>
      </c>
      <c r="HF17" s="218">
        <f>-HF$14*BadDebtPct</f>
        <v/>
      </c>
      <c r="HG17" s="218">
        <f>-HG$14*BadDebtPct</f>
        <v/>
      </c>
      <c r="HH17" s="218">
        <f>-HH$14*BadDebtPct</f>
        <v/>
      </c>
      <c r="HI17" s="218">
        <f>-HI$14*BadDebtPct</f>
        <v/>
      </c>
      <c r="HJ17" s="218">
        <f>-HJ$14*BadDebtPct</f>
        <v/>
      </c>
      <c r="HK17" s="218">
        <f>-HK$14*BadDebtPct</f>
        <v/>
      </c>
      <c r="HL17" s="218">
        <f>-HL$14*BadDebtPct</f>
        <v/>
      </c>
      <c r="HM17" s="218">
        <f>-HM$14*BadDebtPct</f>
        <v/>
      </c>
      <c r="HN17" s="218">
        <f>-HN$14*BadDebtPct</f>
        <v/>
      </c>
      <c r="HO17" s="218">
        <f>-HO$14*BadDebtPct</f>
        <v/>
      </c>
      <c r="HP17" s="218">
        <f>-HP$14*BadDebtPct</f>
        <v/>
      </c>
      <c r="HQ17" s="218">
        <f>-HQ$14*BadDebtPct</f>
        <v/>
      </c>
      <c r="HR17" s="218">
        <f>-HR$14*BadDebtPct</f>
        <v/>
      </c>
      <c r="HS17" s="218">
        <f>-HS$14*BadDebtPct</f>
        <v/>
      </c>
      <c r="HT17" s="218">
        <f>-HT$14*BadDebtPct</f>
        <v/>
      </c>
      <c r="HU17" s="218">
        <f>-HU$14*BadDebtPct</f>
        <v/>
      </c>
      <c r="HV17" s="218">
        <f>-HV$14*BadDebtPct</f>
        <v/>
      </c>
      <c r="HW17" s="218">
        <f>-HW$14*BadDebtPct</f>
        <v/>
      </c>
      <c r="HX17" s="218">
        <f>-HX$14*BadDebtPct</f>
        <v/>
      </c>
      <c r="HY17" s="218">
        <f>-HY$14*BadDebtPct</f>
        <v/>
      </c>
      <c r="HZ17" s="218">
        <f>-HZ$14*BadDebtPct</f>
        <v/>
      </c>
      <c r="IA17" s="218">
        <f>-IA$14*BadDebtPct</f>
        <v/>
      </c>
      <c r="IB17" s="218">
        <f>-IB$14*BadDebtPct</f>
        <v/>
      </c>
      <c r="IC17" s="218">
        <f>-IC$14*BadDebtPct</f>
        <v/>
      </c>
      <c r="ID17" s="218">
        <f>-ID$14*BadDebtPct</f>
        <v/>
      </c>
      <c r="IE17" s="218">
        <f>-IE$14*BadDebtPct</f>
        <v/>
      </c>
      <c r="IF17" s="218">
        <f>-IF$14*BadDebtPct</f>
        <v/>
      </c>
      <c r="IG17" s="218">
        <f>-IG$14*BadDebtPct</f>
        <v/>
      </c>
      <c r="IH17" s="218">
        <f>-IH$14*BadDebtPct</f>
        <v/>
      </c>
      <c r="II17" s="218">
        <f>-II$14*BadDebtPct</f>
        <v/>
      </c>
      <c r="IJ17" s="218">
        <f>-IJ$14*BadDebtPct</f>
        <v/>
      </c>
      <c r="IK17" s="218">
        <f>-IK$14*BadDebtPct</f>
        <v/>
      </c>
      <c r="IL17" s="218">
        <f>-IL$14*BadDebtPct</f>
        <v/>
      </c>
      <c r="IM17" s="218">
        <f>-IM$14*BadDebtPct</f>
        <v/>
      </c>
      <c r="IN17" s="218">
        <f>-IN$14*BadDebtPct</f>
        <v/>
      </c>
      <c r="IO17" s="218">
        <f>-IO$14*BadDebtPct</f>
        <v/>
      </c>
      <c r="IP17" s="218">
        <f>-IP$14*BadDebtPct</f>
        <v/>
      </c>
      <c r="IQ17" s="218">
        <f>-IQ$14*BadDebtPct</f>
        <v/>
      </c>
      <c r="IR17" s="218">
        <f>-IR$14*BadDebtPct</f>
        <v/>
      </c>
      <c r="IS17" s="218">
        <f>-IS$14*BadDebtPct</f>
        <v/>
      </c>
      <c r="IT17" s="218">
        <f>-IT$14*BadDebtPct</f>
        <v/>
      </c>
      <c r="IU17" s="218">
        <f>-IU$14*BadDebtPct</f>
        <v/>
      </c>
      <c r="IV17" s="218">
        <f>-IV$14*BadDebtPct</f>
        <v/>
      </c>
      <c r="IW17" s="218">
        <f>-IW$14*BadDebtPct</f>
        <v/>
      </c>
      <c r="IX17" s="218">
        <f>-IX$14*BadDebtPct</f>
        <v/>
      </c>
      <c r="IY17" s="218">
        <f>-IY$14*BadDebtPct</f>
        <v/>
      </c>
      <c r="IZ17" s="218">
        <f>-IZ$14*BadDebtPct</f>
        <v/>
      </c>
      <c r="JA17" s="218">
        <f>-JA$14*BadDebtPct</f>
        <v/>
      </c>
      <c r="JB17" s="218">
        <f>-JB$14*BadDebtPct</f>
        <v/>
      </c>
      <c r="JC17" s="218">
        <f>-JC$14*BadDebtPct</f>
        <v/>
      </c>
      <c r="JD17" s="218">
        <f>-JD$14*BadDebtPct</f>
        <v/>
      </c>
      <c r="JE17" s="218">
        <f>-JE$14*BadDebtPct</f>
        <v/>
      </c>
      <c r="JF17" s="218">
        <f>-JF$14*BadDebtPct</f>
        <v/>
      </c>
      <c r="JG17" s="218">
        <f>-JG$14*BadDebtPct</f>
        <v/>
      </c>
      <c r="JH17" s="218">
        <f>-JH$14*BadDebtPct</f>
        <v/>
      </c>
      <c r="JI17" s="218">
        <f>-JI$14*BadDebtPct</f>
        <v/>
      </c>
      <c r="JJ17" s="218">
        <f>-JJ$14*BadDebtPct</f>
        <v/>
      </c>
      <c r="JK17" s="218">
        <f>-JK$14*BadDebtPct</f>
        <v/>
      </c>
      <c r="JL17" s="218">
        <f>-JL$14*BadDebtPct</f>
        <v/>
      </c>
      <c r="JM17" s="218">
        <f>-JM$14*BadDebtPct</f>
        <v/>
      </c>
      <c r="JN17" s="218">
        <f>-JN$14*BadDebtPct</f>
        <v/>
      </c>
      <c r="JO17" s="218">
        <f>-JO$14*BadDebtPct</f>
        <v/>
      </c>
      <c r="JP17" s="218">
        <f>-JP$14*BadDebtPct</f>
        <v/>
      </c>
      <c r="JQ17" s="218">
        <f>-JQ$14*BadDebtPct</f>
        <v/>
      </c>
      <c r="JR17" s="218">
        <f>-JR$14*BadDebtPct</f>
        <v/>
      </c>
      <c r="JS17" s="218">
        <f>-JS$14*BadDebtPct</f>
        <v/>
      </c>
      <c r="JT17" s="218">
        <f>-JT$14*BadDebtPct</f>
        <v/>
      </c>
      <c r="JU17" s="218">
        <f>-JU$14*BadDebtPct</f>
        <v/>
      </c>
      <c r="JV17" s="218">
        <f>-JV$14*BadDebtPct</f>
        <v/>
      </c>
      <c r="JW17" s="218">
        <f>-JW$14*BadDebtPct</f>
        <v/>
      </c>
      <c r="JX17" s="218">
        <f>-JX$14*BadDebtPct</f>
        <v/>
      </c>
      <c r="JY17" s="218">
        <f>-JY$14*BadDebtPct</f>
        <v/>
      </c>
      <c r="JZ17" s="218">
        <f>-JZ$14*BadDebtPct</f>
        <v/>
      </c>
      <c r="KA17" s="218">
        <f>-KA$14*BadDebtPct</f>
        <v/>
      </c>
      <c r="KB17" s="218">
        <f>-KB$14*BadDebtPct</f>
        <v/>
      </c>
      <c r="KC17" s="218">
        <f>-KC$14*BadDebtPct</f>
        <v/>
      </c>
      <c r="KD17" s="218">
        <f>-KD$14*BadDebtPct</f>
        <v/>
      </c>
      <c r="KE17" s="218">
        <f>-KE$14*BadDebtPct</f>
        <v/>
      </c>
      <c r="KF17" s="218">
        <f>-KF$14*BadDebtPct</f>
        <v/>
      </c>
      <c r="KG17" s="218">
        <f>-KG$14*BadDebtPct</f>
        <v/>
      </c>
      <c r="KH17" s="218">
        <f>-KH$14*BadDebtPct</f>
        <v/>
      </c>
      <c r="KI17" s="218">
        <f>-KI$14*BadDebtPct</f>
        <v/>
      </c>
      <c r="KJ17" s="218">
        <f>-KJ$14*BadDebtPct</f>
        <v/>
      </c>
      <c r="KK17" s="218">
        <f>-KK$14*BadDebtPct</f>
        <v/>
      </c>
      <c r="KL17" s="218">
        <f>-KL$14*BadDebtPct</f>
        <v/>
      </c>
      <c r="KM17" s="218">
        <f>-KM$14*BadDebtPct</f>
        <v/>
      </c>
      <c r="KN17" s="218">
        <f>-KN$14*BadDebtPct</f>
        <v/>
      </c>
      <c r="KO17" s="218">
        <f>-KO$14*BadDebtPct</f>
        <v/>
      </c>
      <c r="KP17" s="218">
        <f>-KP$14*BadDebtPct</f>
        <v/>
      </c>
      <c r="KQ17" s="218">
        <f>-KQ$14*BadDebtPct</f>
        <v/>
      </c>
      <c r="KR17" s="218">
        <f>-KR$14*BadDebtPct</f>
        <v/>
      </c>
      <c r="KS17" s="218">
        <f>-KS$14*BadDebtPct</f>
        <v/>
      </c>
      <c r="KT17" s="218">
        <f>-KT$14*BadDebtPct</f>
        <v/>
      </c>
      <c r="KU17" s="218">
        <f>-KU$14*BadDebtPct</f>
        <v/>
      </c>
      <c r="KV17" s="218">
        <f>-KV$14*BadDebtPct</f>
        <v/>
      </c>
      <c r="KW17" s="218">
        <f>-KW$14*BadDebtPct</f>
        <v/>
      </c>
      <c r="KX17" s="218">
        <f>-KX$14*BadDebtPct</f>
        <v/>
      </c>
      <c r="KY17" s="218">
        <f>-KY$14*BadDebtPct</f>
        <v/>
      </c>
      <c r="KZ17" s="218">
        <f>-KZ$14*BadDebtPct</f>
        <v/>
      </c>
      <c r="LA17" s="218">
        <f>-LA$14*BadDebtPct</f>
        <v/>
      </c>
      <c r="LB17" s="218">
        <f>-LB$14*BadDebtPct</f>
        <v/>
      </c>
      <c r="LC17" s="218">
        <f>-LC$14*BadDebtPct</f>
        <v/>
      </c>
      <c r="LD17" s="218">
        <f>-LD$14*BadDebtPct</f>
        <v/>
      </c>
      <c r="LE17" s="218">
        <f>-LE$14*BadDebtPct</f>
        <v/>
      </c>
      <c r="LF17" s="218">
        <f>-LF$14*BadDebtPct</f>
        <v/>
      </c>
      <c r="LG17" s="218">
        <f>-LG$14*BadDebtPct</f>
        <v/>
      </c>
      <c r="LH17" s="218">
        <f>-LH$14*BadDebtPct</f>
        <v/>
      </c>
      <c r="LI17" s="218">
        <f>-LI$14*BadDebtPct</f>
        <v/>
      </c>
      <c r="LJ17" s="218">
        <f>-LJ$14*BadDebtPct</f>
        <v/>
      </c>
      <c r="LK17" s="218">
        <f>-LK$14*BadDebtPct</f>
        <v/>
      </c>
      <c r="LL17" s="218">
        <f>-LL$14*BadDebtPct</f>
        <v/>
      </c>
      <c r="LM17" s="218">
        <f>-LM$14*BadDebtPct</f>
        <v/>
      </c>
      <c r="LN17" s="218">
        <f>-LN$14*BadDebtPct</f>
        <v/>
      </c>
      <c r="LO17" s="218">
        <f>-LO$14*BadDebtPct</f>
        <v/>
      </c>
      <c r="LP17" s="218">
        <f>-LP$14*BadDebtPct</f>
        <v/>
      </c>
      <c r="LQ17" s="218">
        <f>-LQ$14*BadDebtPct</f>
        <v/>
      </c>
      <c r="LR17" s="218">
        <f>-LR$14*BadDebtPct</f>
        <v/>
      </c>
      <c r="LS17" s="218">
        <f>-LS$14*BadDebtPct</f>
        <v/>
      </c>
      <c r="LT17" s="218">
        <f>-LT$14*BadDebtPct</f>
        <v/>
      </c>
      <c r="LU17" s="218">
        <f>-LU$14*BadDebtPct</f>
        <v/>
      </c>
      <c r="LV17" s="218">
        <f>-LV$14*BadDebtPct</f>
        <v/>
      </c>
      <c r="LW17" s="218">
        <f>-LW$14*BadDebtPct</f>
        <v/>
      </c>
      <c r="LX17" s="218">
        <f>-LX$14*BadDebtPct</f>
        <v/>
      </c>
      <c r="LY17" s="218">
        <f>-LY$14*BadDebtPct</f>
        <v/>
      </c>
      <c r="LZ17" s="218">
        <f>-LZ$14*BadDebtPct</f>
        <v/>
      </c>
      <c r="MA17" s="218">
        <f>-MA$14*BadDebtPct</f>
        <v/>
      </c>
      <c r="MB17" s="218">
        <f>-MB$14*BadDebtPct</f>
        <v/>
      </c>
      <c r="MC17" s="218">
        <f>-MC$14*BadDebtPct</f>
        <v/>
      </c>
      <c r="MD17" s="218">
        <f>-MD$14*BadDebtPct</f>
        <v/>
      </c>
      <c r="ME17" s="218">
        <f>-ME$14*BadDebtPct</f>
        <v/>
      </c>
      <c r="MF17" s="218">
        <f>-MF$14*BadDebtPct</f>
        <v/>
      </c>
      <c r="MG17" s="218">
        <f>-MG$14*BadDebtPct</f>
        <v/>
      </c>
      <c r="MH17" s="218">
        <f>-MH$14*BadDebtPct</f>
        <v/>
      </c>
      <c r="MI17" s="218">
        <f>-MI$14*BadDebtPct</f>
        <v/>
      </c>
      <c r="MJ17" s="218">
        <f>-MJ$14*BadDebtPct</f>
        <v/>
      </c>
      <c r="MK17" s="218">
        <f>-MK$14*BadDebtPct</f>
        <v/>
      </c>
      <c r="ML17" s="218">
        <f>-ML$14*BadDebtPct</f>
        <v/>
      </c>
      <c r="MM17" s="218">
        <f>-MM$14*BadDebtPct</f>
        <v/>
      </c>
      <c r="MN17" s="218">
        <f>-MN$14*BadDebtPct</f>
        <v/>
      </c>
      <c r="MO17" s="218">
        <f>-MO$14*BadDebtPct</f>
        <v/>
      </c>
      <c r="MP17" s="218">
        <f>-MP$14*BadDebtPct</f>
        <v/>
      </c>
      <c r="MQ17" s="218">
        <f>-MQ$14*BadDebtPct</f>
        <v/>
      </c>
      <c r="MR17" s="218">
        <f>-MR$14*BadDebtPct</f>
        <v/>
      </c>
      <c r="MS17" s="218">
        <f>-MS$14*BadDebtPct</f>
        <v/>
      </c>
      <c r="MT17" s="218">
        <f>-MT$14*BadDebtPct</f>
        <v/>
      </c>
      <c r="MU17" s="218">
        <f>-MU$14*BadDebtPct</f>
        <v/>
      </c>
      <c r="MV17" s="218">
        <f>-MV$14*BadDebtPct</f>
        <v/>
      </c>
      <c r="MW17" s="218">
        <f>-MW$14*BadDebtPct</f>
        <v/>
      </c>
      <c r="MX17" s="218">
        <f>-MX$14*BadDebtPct</f>
        <v/>
      </c>
      <c r="MY17" s="218">
        <f>-MY$14*BadDebtPct</f>
        <v/>
      </c>
      <c r="MZ17" s="218">
        <f>-MZ$14*BadDebtPct</f>
        <v/>
      </c>
      <c r="NA17" s="218">
        <f>-NA$14*BadDebtPct</f>
        <v/>
      </c>
      <c r="NB17" s="218">
        <f>-NB$14*BadDebtPct</f>
        <v/>
      </c>
      <c r="NC17" s="218">
        <f>-NC$14*BadDebtPct</f>
        <v/>
      </c>
      <c r="ND17" s="218">
        <f>-ND$14*BadDebtPct</f>
        <v/>
      </c>
      <c r="NE17" s="218">
        <f>-NE$14*BadDebtPct</f>
        <v/>
      </c>
      <c r="NF17" s="218">
        <f>-NF$14*BadDebtPct</f>
        <v/>
      </c>
      <c r="NG17" s="218">
        <f>-NG$14*BadDebtPct</f>
        <v/>
      </c>
      <c r="NH17" s="218">
        <f>-NH$14*BadDebtPct</f>
        <v/>
      </c>
      <c r="NI17" s="218">
        <f>-NI$14*BadDebtPct</f>
        <v/>
      </c>
      <c r="NJ17" s="218">
        <f>-NJ$14*BadDebtPct</f>
        <v/>
      </c>
      <c r="NK17" s="218">
        <f>-NK$14*BadDebtPct</f>
        <v/>
      </c>
      <c r="NL17" s="225">
        <f>-NL$14*BadDebtPct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-E$14*ConcessionsPct</f>
        <v/>
      </c>
      <c r="F18" s="218">
        <f>-F$14*ConcessionsPct</f>
        <v/>
      </c>
      <c r="G18" s="218">
        <f>-G$14*ConcessionsPct</f>
        <v/>
      </c>
      <c r="H18" s="218">
        <f>-H$14*ConcessionsPct</f>
        <v/>
      </c>
      <c r="I18" s="218">
        <f>-I$14*ConcessionsPct</f>
        <v/>
      </c>
      <c r="J18" s="218">
        <f>-J$14*ConcessionsPct</f>
        <v/>
      </c>
      <c r="K18" s="218">
        <f>-K$14*ConcessionsPct</f>
        <v/>
      </c>
      <c r="L18" s="218">
        <f>-L$14*ConcessionsPct</f>
        <v/>
      </c>
      <c r="M18" s="218">
        <f>-M$14*ConcessionsPct</f>
        <v/>
      </c>
      <c r="N18" s="218">
        <f>-N$14*ConcessionsPct</f>
        <v/>
      </c>
      <c r="O18" s="218">
        <f>-O$14*ConcessionsPct</f>
        <v/>
      </c>
      <c r="P18" s="218">
        <f>-P$14*ConcessionsPct</f>
        <v/>
      </c>
      <c r="Q18" s="218">
        <f>-Q$14*ConcessionsPct</f>
        <v/>
      </c>
      <c r="R18" s="218">
        <f>-R$14*ConcessionsPct</f>
        <v/>
      </c>
      <c r="S18" s="218">
        <f>-S$14*ConcessionsPct</f>
        <v/>
      </c>
      <c r="T18" s="218">
        <f>-T$14*ConcessionsPct</f>
        <v/>
      </c>
      <c r="U18" s="218">
        <f>-U$14*ConcessionsPct</f>
        <v/>
      </c>
      <c r="V18" s="218">
        <f>-V$14*ConcessionsPct</f>
        <v/>
      </c>
      <c r="W18" s="218">
        <f>-W$14*ConcessionsPct</f>
        <v/>
      </c>
      <c r="X18" s="218">
        <f>-X$14*ConcessionsPct</f>
        <v/>
      </c>
      <c r="Y18" s="218">
        <f>-Y$14*ConcessionsPct</f>
        <v/>
      </c>
      <c r="Z18" s="218">
        <f>-Z$14*ConcessionsPct</f>
        <v/>
      </c>
      <c r="AA18" s="218">
        <f>-AA$14*ConcessionsPct</f>
        <v/>
      </c>
      <c r="AB18" s="218">
        <f>-AB$14*ConcessionsPct</f>
        <v/>
      </c>
      <c r="AC18" s="218">
        <f>-AC$14*ConcessionsPct</f>
        <v/>
      </c>
      <c r="AD18" s="218">
        <f>-AD$14*ConcessionsPct</f>
        <v/>
      </c>
      <c r="AE18" s="218">
        <f>-AE$14*ConcessionsPct</f>
        <v/>
      </c>
      <c r="AF18" s="218">
        <f>-AF$14*ConcessionsPct</f>
        <v/>
      </c>
      <c r="AG18" s="218">
        <f>-AG$14*ConcessionsPct</f>
        <v/>
      </c>
      <c r="AH18" s="218">
        <f>-AH$14*ConcessionsPct</f>
        <v/>
      </c>
      <c r="AI18" s="218">
        <f>-AI$14*ConcessionsPct</f>
        <v/>
      </c>
      <c r="AJ18" s="218">
        <f>-AJ$14*ConcessionsPct</f>
        <v/>
      </c>
      <c r="AK18" s="218">
        <f>-AK$14*ConcessionsPct</f>
        <v/>
      </c>
      <c r="AL18" s="218">
        <f>-AL$14*ConcessionsPct</f>
        <v/>
      </c>
      <c r="AM18" s="218">
        <f>-AM$14*ConcessionsPct</f>
        <v/>
      </c>
      <c r="AN18" s="218">
        <f>-AN$14*ConcessionsPct</f>
        <v/>
      </c>
      <c r="AO18" s="218">
        <f>-AO$14*ConcessionsPct</f>
        <v/>
      </c>
      <c r="AP18" s="218">
        <f>-AP$14*ConcessionsPct</f>
        <v/>
      </c>
      <c r="AQ18" s="218">
        <f>-AQ$14*ConcessionsPct</f>
        <v/>
      </c>
      <c r="AR18" s="218">
        <f>-AR$14*ConcessionsPct</f>
        <v/>
      </c>
      <c r="AS18" s="218">
        <f>-AS$14*ConcessionsPct</f>
        <v/>
      </c>
      <c r="AT18" s="218">
        <f>-AT$14*ConcessionsPct</f>
        <v/>
      </c>
      <c r="AU18" s="218">
        <f>-AU$14*ConcessionsPct</f>
        <v/>
      </c>
      <c r="AV18" s="218">
        <f>-AV$14*ConcessionsPct</f>
        <v/>
      </c>
      <c r="AW18" s="218">
        <f>-AW$14*ConcessionsPct</f>
        <v/>
      </c>
      <c r="AX18" s="218">
        <f>-AX$14*ConcessionsPct</f>
        <v/>
      </c>
      <c r="AY18" s="218">
        <f>-AY$14*ConcessionsPct</f>
        <v/>
      </c>
      <c r="AZ18" s="218">
        <f>-AZ$14*ConcessionsPct</f>
        <v/>
      </c>
      <c r="BA18" s="218">
        <f>-BA$14*ConcessionsPct</f>
        <v/>
      </c>
      <c r="BB18" s="218">
        <f>-BB$14*ConcessionsPct</f>
        <v/>
      </c>
      <c r="BC18" s="218">
        <f>-BC$14*ConcessionsPct</f>
        <v/>
      </c>
      <c r="BD18" s="218">
        <f>-BD$14*ConcessionsPct</f>
        <v/>
      </c>
      <c r="BE18" s="218">
        <f>-BE$14*ConcessionsPct</f>
        <v/>
      </c>
      <c r="BF18" s="218">
        <f>-BF$14*ConcessionsPct</f>
        <v/>
      </c>
      <c r="BG18" s="218">
        <f>-BG$14*ConcessionsPct</f>
        <v/>
      </c>
      <c r="BH18" s="218">
        <f>-BH$14*ConcessionsPct</f>
        <v/>
      </c>
      <c r="BI18" s="218">
        <f>-BI$14*ConcessionsPct</f>
        <v/>
      </c>
      <c r="BJ18" s="218">
        <f>-BJ$14*ConcessionsPct</f>
        <v/>
      </c>
      <c r="BK18" s="218">
        <f>-BK$14*ConcessionsPct</f>
        <v/>
      </c>
      <c r="BL18" s="218">
        <f>-BL$14*ConcessionsPct</f>
        <v/>
      </c>
      <c r="BM18" s="218">
        <f>-BM$14*ConcessionsPct</f>
        <v/>
      </c>
      <c r="BN18" s="218">
        <f>-BN$14*ConcessionsPct</f>
        <v/>
      </c>
      <c r="BO18" s="218">
        <f>-BO$14*ConcessionsPct</f>
        <v/>
      </c>
      <c r="BP18" s="218">
        <f>-BP$14*ConcessionsPct</f>
        <v/>
      </c>
      <c r="BQ18" s="218">
        <f>-BQ$14*ConcessionsPct</f>
        <v/>
      </c>
      <c r="BR18" s="218">
        <f>-BR$14*ConcessionsPct</f>
        <v/>
      </c>
      <c r="BS18" s="218">
        <f>-BS$14*ConcessionsPct</f>
        <v/>
      </c>
      <c r="BT18" s="218">
        <f>-BT$14*ConcessionsPct</f>
        <v/>
      </c>
      <c r="BU18" s="218">
        <f>-BU$14*ConcessionsPct</f>
        <v/>
      </c>
      <c r="BV18" s="218">
        <f>-BV$14*ConcessionsPct</f>
        <v/>
      </c>
      <c r="BW18" s="218">
        <f>-BW$14*ConcessionsPct</f>
        <v/>
      </c>
      <c r="BX18" s="218">
        <f>-BX$14*ConcessionsPct</f>
        <v/>
      </c>
      <c r="BY18" s="218">
        <f>-BY$14*ConcessionsPct</f>
        <v/>
      </c>
      <c r="BZ18" s="218">
        <f>-BZ$14*ConcessionsPct</f>
        <v/>
      </c>
      <c r="CA18" s="218">
        <f>-CA$14*ConcessionsPct</f>
        <v/>
      </c>
      <c r="CB18" s="218">
        <f>-CB$14*ConcessionsPct</f>
        <v/>
      </c>
      <c r="CC18" s="218">
        <f>-CC$14*ConcessionsPct</f>
        <v/>
      </c>
      <c r="CD18" s="218">
        <f>-CD$14*ConcessionsPct</f>
        <v/>
      </c>
      <c r="CE18" s="218">
        <f>-CE$14*ConcessionsPct</f>
        <v/>
      </c>
      <c r="CF18" s="218">
        <f>-CF$14*ConcessionsPct</f>
        <v/>
      </c>
      <c r="CG18" s="218">
        <f>-CG$14*ConcessionsPct</f>
        <v/>
      </c>
      <c r="CH18" s="218">
        <f>-CH$14*ConcessionsPct</f>
        <v/>
      </c>
      <c r="CI18" s="218">
        <f>-CI$14*ConcessionsPct</f>
        <v/>
      </c>
      <c r="CJ18" s="218">
        <f>-CJ$14*ConcessionsPct</f>
        <v/>
      </c>
      <c r="CK18" s="218">
        <f>-CK$14*ConcessionsPct</f>
        <v/>
      </c>
      <c r="CL18" s="218">
        <f>-CL$14*ConcessionsPct</f>
        <v/>
      </c>
      <c r="CM18" s="218">
        <f>-CM$14*ConcessionsPct</f>
        <v/>
      </c>
      <c r="CN18" s="218">
        <f>-CN$14*ConcessionsPct</f>
        <v/>
      </c>
      <c r="CO18" s="218">
        <f>-CO$14*ConcessionsPct</f>
        <v/>
      </c>
      <c r="CP18" s="218">
        <f>-CP$14*ConcessionsPct</f>
        <v/>
      </c>
      <c r="CQ18" s="218">
        <f>-CQ$14*ConcessionsPct</f>
        <v/>
      </c>
      <c r="CR18" s="218">
        <f>-CR$14*ConcessionsPct</f>
        <v/>
      </c>
      <c r="CS18" s="218">
        <f>-CS$14*ConcessionsPct</f>
        <v/>
      </c>
      <c r="CT18" s="218">
        <f>-CT$14*ConcessionsPct</f>
        <v/>
      </c>
      <c r="CU18" s="218">
        <f>-CU$14*ConcessionsPct</f>
        <v/>
      </c>
      <c r="CV18" s="218">
        <f>-CV$14*ConcessionsPct</f>
        <v/>
      </c>
      <c r="CW18" s="218">
        <f>-CW$14*ConcessionsPct</f>
        <v/>
      </c>
      <c r="CX18" s="218">
        <f>-CX$14*ConcessionsPct</f>
        <v/>
      </c>
      <c r="CY18" s="218">
        <f>-CY$14*ConcessionsPct</f>
        <v/>
      </c>
      <c r="CZ18" s="218">
        <f>-CZ$14*ConcessionsPct</f>
        <v/>
      </c>
      <c r="DA18" s="218">
        <f>-DA$14*ConcessionsPct</f>
        <v/>
      </c>
      <c r="DB18" s="218">
        <f>-DB$14*ConcessionsPct</f>
        <v/>
      </c>
      <c r="DC18" s="218">
        <f>-DC$14*ConcessionsPct</f>
        <v/>
      </c>
      <c r="DD18" s="218">
        <f>-DD$14*ConcessionsPct</f>
        <v/>
      </c>
      <c r="DE18" s="218">
        <f>-DE$14*ConcessionsPct</f>
        <v/>
      </c>
      <c r="DF18" s="218">
        <f>-DF$14*ConcessionsPct</f>
        <v/>
      </c>
      <c r="DG18" s="218">
        <f>-DG$14*ConcessionsPct</f>
        <v/>
      </c>
      <c r="DH18" s="218">
        <f>-DH$14*ConcessionsPct</f>
        <v/>
      </c>
      <c r="DI18" s="218">
        <f>-DI$14*ConcessionsPct</f>
        <v/>
      </c>
      <c r="DJ18" s="218">
        <f>-DJ$14*ConcessionsPct</f>
        <v/>
      </c>
      <c r="DK18" s="218">
        <f>-DK$14*ConcessionsPct</f>
        <v/>
      </c>
      <c r="DL18" s="218">
        <f>-DL$14*ConcessionsPct</f>
        <v/>
      </c>
      <c r="DM18" s="218">
        <f>-DM$14*ConcessionsPct</f>
        <v/>
      </c>
      <c r="DN18" s="218">
        <f>-DN$14*ConcessionsPct</f>
        <v/>
      </c>
      <c r="DO18" s="218">
        <f>-DO$14*ConcessionsPct</f>
        <v/>
      </c>
      <c r="DP18" s="218">
        <f>-DP$14*ConcessionsPct</f>
        <v/>
      </c>
      <c r="DQ18" s="218">
        <f>-DQ$14*ConcessionsPct</f>
        <v/>
      </c>
      <c r="DR18" s="218">
        <f>-DR$14*ConcessionsPct</f>
        <v/>
      </c>
      <c r="DS18" s="218">
        <f>-DS$14*ConcessionsPct</f>
        <v/>
      </c>
      <c r="DT18" s="218">
        <f>-DT$14*ConcessionsPct</f>
        <v/>
      </c>
      <c r="DU18" s="218">
        <f>-DU$14*ConcessionsPct</f>
        <v/>
      </c>
      <c r="DV18" s="218">
        <f>-DV$14*ConcessionsPct</f>
        <v/>
      </c>
      <c r="DW18" s="218">
        <f>-DW$14*ConcessionsPct</f>
        <v/>
      </c>
      <c r="DX18" s="218">
        <f>-DX$14*ConcessionsPct</f>
        <v/>
      </c>
      <c r="DY18" s="218">
        <f>-DY$14*ConcessionsPct</f>
        <v/>
      </c>
      <c r="DZ18" s="218">
        <f>-DZ$14*ConcessionsPct</f>
        <v/>
      </c>
      <c r="EA18" s="218">
        <f>-EA$14*ConcessionsPct</f>
        <v/>
      </c>
      <c r="EB18" s="218">
        <f>-EB$14*ConcessionsPct</f>
        <v/>
      </c>
      <c r="EC18" s="218">
        <f>-EC$14*ConcessionsPct</f>
        <v/>
      </c>
      <c r="ED18" s="218">
        <f>-ED$14*ConcessionsPct</f>
        <v/>
      </c>
      <c r="EE18" s="218">
        <f>-EE$14*ConcessionsPct</f>
        <v/>
      </c>
      <c r="EF18" s="218">
        <f>-EF$14*ConcessionsPct</f>
        <v/>
      </c>
      <c r="EG18" s="218">
        <f>-EG$14*ConcessionsPct</f>
        <v/>
      </c>
      <c r="EH18" s="218">
        <f>-EH$14*ConcessionsPct</f>
        <v/>
      </c>
      <c r="EI18" s="218">
        <f>-EI$14*ConcessionsPct</f>
        <v/>
      </c>
      <c r="EJ18" s="218">
        <f>-EJ$14*ConcessionsPct</f>
        <v/>
      </c>
      <c r="EK18" s="218">
        <f>-EK$14*ConcessionsPct</f>
        <v/>
      </c>
      <c r="EL18" s="218">
        <f>-EL$14*ConcessionsPct</f>
        <v/>
      </c>
      <c r="EM18" s="218">
        <f>-EM$14*ConcessionsPct</f>
        <v/>
      </c>
      <c r="EN18" s="218">
        <f>-EN$14*ConcessionsPct</f>
        <v/>
      </c>
      <c r="EO18" s="218">
        <f>-EO$14*ConcessionsPct</f>
        <v/>
      </c>
      <c r="EP18" s="218">
        <f>-EP$14*ConcessionsPct</f>
        <v/>
      </c>
      <c r="EQ18" s="218">
        <f>-EQ$14*ConcessionsPct</f>
        <v/>
      </c>
      <c r="ER18" s="218">
        <f>-ER$14*ConcessionsPct</f>
        <v/>
      </c>
      <c r="ES18" s="218">
        <f>-ES$14*ConcessionsPct</f>
        <v/>
      </c>
      <c r="ET18" s="218">
        <f>-ET$14*ConcessionsPct</f>
        <v/>
      </c>
      <c r="EU18" s="218">
        <f>-EU$14*ConcessionsPct</f>
        <v/>
      </c>
      <c r="EV18" s="218">
        <f>-EV$14*ConcessionsPct</f>
        <v/>
      </c>
      <c r="EW18" s="218">
        <f>-EW$14*ConcessionsPct</f>
        <v/>
      </c>
      <c r="EX18" s="218">
        <f>-EX$14*ConcessionsPct</f>
        <v/>
      </c>
      <c r="EY18" s="218">
        <f>-EY$14*ConcessionsPct</f>
        <v/>
      </c>
      <c r="EZ18" s="218">
        <f>-EZ$14*ConcessionsPct</f>
        <v/>
      </c>
      <c r="FA18" s="218">
        <f>-FA$14*ConcessionsPct</f>
        <v/>
      </c>
      <c r="FB18" s="218">
        <f>-FB$14*ConcessionsPct</f>
        <v/>
      </c>
      <c r="FC18" s="218">
        <f>-FC$14*ConcessionsPct</f>
        <v/>
      </c>
      <c r="FD18" s="218">
        <f>-FD$14*ConcessionsPct</f>
        <v/>
      </c>
      <c r="FE18" s="218">
        <f>-FE$14*ConcessionsPct</f>
        <v/>
      </c>
      <c r="FF18" s="218">
        <f>-FF$14*ConcessionsPct</f>
        <v/>
      </c>
      <c r="FG18" s="218">
        <f>-FG$14*ConcessionsPct</f>
        <v/>
      </c>
      <c r="FH18" s="218">
        <f>-FH$14*ConcessionsPct</f>
        <v/>
      </c>
      <c r="FI18" s="218">
        <f>-FI$14*ConcessionsPct</f>
        <v/>
      </c>
      <c r="FJ18" s="218">
        <f>-FJ$14*ConcessionsPct</f>
        <v/>
      </c>
      <c r="FK18" s="218">
        <f>-FK$14*ConcessionsPct</f>
        <v/>
      </c>
      <c r="FL18" s="218">
        <f>-FL$14*ConcessionsPct</f>
        <v/>
      </c>
      <c r="FM18" s="218">
        <f>-FM$14*ConcessionsPct</f>
        <v/>
      </c>
      <c r="FN18" s="218">
        <f>-FN$14*ConcessionsPct</f>
        <v/>
      </c>
      <c r="FO18" s="218">
        <f>-FO$14*ConcessionsPct</f>
        <v/>
      </c>
      <c r="FP18" s="218">
        <f>-FP$14*ConcessionsPct</f>
        <v/>
      </c>
      <c r="FQ18" s="218">
        <f>-FQ$14*ConcessionsPct</f>
        <v/>
      </c>
      <c r="FR18" s="218">
        <f>-FR$14*ConcessionsPct</f>
        <v/>
      </c>
      <c r="FS18" s="218">
        <f>-FS$14*ConcessionsPct</f>
        <v/>
      </c>
      <c r="FT18" s="218">
        <f>-FT$14*ConcessionsPct</f>
        <v/>
      </c>
      <c r="FU18" s="218">
        <f>-FU$14*ConcessionsPct</f>
        <v/>
      </c>
      <c r="FV18" s="218">
        <f>-FV$14*ConcessionsPct</f>
        <v/>
      </c>
      <c r="FW18" s="218">
        <f>-FW$14*ConcessionsPct</f>
        <v/>
      </c>
      <c r="FX18" s="218">
        <f>-FX$14*ConcessionsPct</f>
        <v/>
      </c>
      <c r="FY18" s="218">
        <f>-FY$14*ConcessionsPct</f>
        <v/>
      </c>
      <c r="FZ18" s="218">
        <f>-FZ$14*ConcessionsPct</f>
        <v/>
      </c>
      <c r="GA18" s="218">
        <f>-GA$14*ConcessionsPct</f>
        <v/>
      </c>
      <c r="GB18" s="218">
        <f>-GB$14*ConcessionsPct</f>
        <v/>
      </c>
      <c r="GC18" s="218">
        <f>-GC$14*ConcessionsPct</f>
        <v/>
      </c>
      <c r="GD18" s="218">
        <f>-GD$14*ConcessionsPct</f>
        <v/>
      </c>
      <c r="GE18" s="218">
        <f>-GE$14*ConcessionsPct</f>
        <v/>
      </c>
      <c r="GF18" s="218">
        <f>-GF$14*ConcessionsPct</f>
        <v/>
      </c>
      <c r="GG18" s="218">
        <f>-GG$14*ConcessionsPct</f>
        <v/>
      </c>
      <c r="GH18" s="218">
        <f>-GH$14*ConcessionsPct</f>
        <v/>
      </c>
      <c r="GI18" s="218">
        <f>-GI$14*ConcessionsPct</f>
        <v/>
      </c>
      <c r="GJ18" s="218">
        <f>-GJ$14*ConcessionsPct</f>
        <v/>
      </c>
      <c r="GK18" s="218">
        <f>-GK$14*ConcessionsPct</f>
        <v/>
      </c>
      <c r="GL18" s="218">
        <f>-GL$14*ConcessionsPct</f>
        <v/>
      </c>
      <c r="GM18" s="218">
        <f>-GM$14*ConcessionsPct</f>
        <v/>
      </c>
      <c r="GN18" s="218">
        <f>-GN$14*ConcessionsPct</f>
        <v/>
      </c>
      <c r="GO18" s="218">
        <f>-GO$14*ConcessionsPct</f>
        <v/>
      </c>
      <c r="GP18" s="218">
        <f>-GP$14*ConcessionsPct</f>
        <v/>
      </c>
      <c r="GQ18" s="218">
        <f>-GQ$14*ConcessionsPct</f>
        <v/>
      </c>
      <c r="GR18" s="218">
        <f>-GR$14*ConcessionsPct</f>
        <v/>
      </c>
      <c r="GS18" s="218">
        <f>-GS$14*ConcessionsPct</f>
        <v/>
      </c>
      <c r="GT18" s="218">
        <f>-GT$14*ConcessionsPct</f>
        <v/>
      </c>
      <c r="GU18" s="218">
        <f>-GU$14*ConcessionsPct</f>
        <v/>
      </c>
      <c r="GV18" s="218">
        <f>-GV$14*ConcessionsPct</f>
        <v/>
      </c>
      <c r="GW18" s="218">
        <f>-GW$14*ConcessionsPct</f>
        <v/>
      </c>
      <c r="GX18" s="218">
        <f>-GX$14*ConcessionsPct</f>
        <v/>
      </c>
      <c r="GY18" s="218">
        <f>-GY$14*ConcessionsPct</f>
        <v/>
      </c>
      <c r="GZ18" s="218">
        <f>-GZ$14*ConcessionsPct</f>
        <v/>
      </c>
      <c r="HA18" s="218">
        <f>-HA$14*ConcessionsPct</f>
        <v/>
      </c>
      <c r="HB18" s="218">
        <f>-HB$14*ConcessionsPct</f>
        <v/>
      </c>
      <c r="HC18" s="218">
        <f>-HC$14*ConcessionsPct</f>
        <v/>
      </c>
      <c r="HD18" s="218">
        <f>-HD$14*ConcessionsPct</f>
        <v/>
      </c>
      <c r="HE18" s="218">
        <f>-HE$14*ConcessionsPct</f>
        <v/>
      </c>
      <c r="HF18" s="218">
        <f>-HF$14*ConcessionsPct</f>
        <v/>
      </c>
      <c r="HG18" s="218">
        <f>-HG$14*ConcessionsPct</f>
        <v/>
      </c>
      <c r="HH18" s="218">
        <f>-HH$14*ConcessionsPct</f>
        <v/>
      </c>
      <c r="HI18" s="218">
        <f>-HI$14*ConcessionsPct</f>
        <v/>
      </c>
      <c r="HJ18" s="218">
        <f>-HJ$14*ConcessionsPct</f>
        <v/>
      </c>
      <c r="HK18" s="218">
        <f>-HK$14*ConcessionsPct</f>
        <v/>
      </c>
      <c r="HL18" s="218">
        <f>-HL$14*ConcessionsPct</f>
        <v/>
      </c>
      <c r="HM18" s="218">
        <f>-HM$14*ConcessionsPct</f>
        <v/>
      </c>
      <c r="HN18" s="218">
        <f>-HN$14*ConcessionsPct</f>
        <v/>
      </c>
      <c r="HO18" s="218">
        <f>-HO$14*ConcessionsPct</f>
        <v/>
      </c>
      <c r="HP18" s="218">
        <f>-HP$14*ConcessionsPct</f>
        <v/>
      </c>
      <c r="HQ18" s="218">
        <f>-HQ$14*ConcessionsPct</f>
        <v/>
      </c>
      <c r="HR18" s="218">
        <f>-HR$14*ConcessionsPct</f>
        <v/>
      </c>
      <c r="HS18" s="218">
        <f>-HS$14*ConcessionsPct</f>
        <v/>
      </c>
      <c r="HT18" s="218">
        <f>-HT$14*ConcessionsPct</f>
        <v/>
      </c>
      <c r="HU18" s="218">
        <f>-HU$14*ConcessionsPct</f>
        <v/>
      </c>
      <c r="HV18" s="218">
        <f>-HV$14*ConcessionsPct</f>
        <v/>
      </c>
      <c r="HW18" s="218">
        <f>-HW$14*ConcessionsPct</f>
        <v/>
      </c>
      <c r="HX18" s="218">
        <f>-HX$14*ConcessionsPct</f>
        <v/>
      </c>
      <c r="HY18" s="218">
        <f>-HY$14*ConcessionsPct</f>
        <v/>
      </c>
      <c r="HZ18" s="218">
        <f>-HZ$14*ConcessionsPct</f>
        <v/>
      </c>
      <c r="IA18" s="218">
        <f>-IA$14*ConcessionsPct</f>
        <v/>
      </c>
      <c r="IB18" s="218">
        <f>-IB$14*ConcessionsPct</f>
        <v/>
      </c>
      <c r="IC18" s="218">
        <f>-IC$14*ConcessionsPct</f>
        <v/>
      </c>
      <c r="ID18" s="218">
        <f>-ID$14*ConcessionsPct</f>
        <v/>
      </c>
      <c r="IE18" s="218">
        <f>-IE$14*ConcessionsPct</f>
        <v/>
      </c>
      <c r="IF18" s="218">
        <f>-IF$14*ConcessionsPct</f>
        <v/>
      </c>
      <c r="IG18" s="218">
        <f>-IG$14*ConcessionsPct</f>
        <v/>
      </c>
      <c r="IH18" s="218">
        <f>-IH$14*ConcessionsPct</f>
        <v/>
      </c>
      <c r="II18" s="218">
        <f>-II$14*ConcessionsPct</f>
        <v/>
      </c>
      <c r="IJ18" s="218">
        <f>-IJ$14*ConcessionsPct</f>
        <v/>
      </c>
      <c r="IK18" s="218">
        <f>-IK$14*ConcessionsPct</f>
        <v/>
      </c>
      <c r="IL18" s="218">
        <f>-IL$14*ConcessionsPct</f>
        <v/>
      </c>
      <c r="IM18" s="218">
        <f>-IM$14*ConcessionsPct</f>
        <v/>
      </c>
      <c r="IN18" s="218">
        <f>-IN$14*ConcessionsPct</f>
        <v/>
      </c>
      <c r="IO18" s="218">
        <f>-IO$14*ConcessionsPct</f>
        <v/>
      </c>
      <c r="IP18" s="218">
        <f>-IP$14*ConcessionsPct</f>
        <v/>
      </c>
      <c r="IQ18" s="218">
        <f>-IQ$14*ConcessionsPct</f>
        <v/>
      </c>
      <c r="IR18" s="218">
        <f>-IR$14*ConcessionsPct</f>
        <v/>
      </c>
      <c r="IS18" s="218">
        <f>-IS$14*ConcessionsPct</f>
        <v/>
      </c>
      <c r="IT18" s="218">
        <f>-IT$14*ConcessionsPct</f>
        <v/>
      </c>
      <c r="IU18" s="218">
        <f>-IU$14*ConcessionsPct</f>
        <v/>
      </c>
      <c r="IV18" s="218">
        <f>-IV$14*ConcessionsPct</f>
        <v/>
      </c>
      <c r="IW18" s="218">
        <f>-IW$14*ConcessionsPct</f>
        <v/>
      </c>
      <c r="IX18" s="218">
        <f>-IX$14*ConcessionsPct</f>
        <v/>
      </c>
      <c r="IY18" s="218">
        <f>-IY$14*ConcessionsPct</f>
        <v/>
      </c>
      <c r="IZ18" s="218">
        <f>-IZ$14*ConcessionsPct</f>
        <v/>
      </c>
      <c r="JA18" s="218">
        <f>-JA$14*ConcessionsPct</f>
        <v/>
      </c>
      <c r="JB18" s="218">
        <f>-JB$14*ConcessionsPct</f>
        <v/>
      </c>
      <c r="JC18" s="218">
        <f>-JC$14*ConcessionsPct</f>
        <v/>
      </c>
      <c r="JD18" s="218">
        <f>-JD$14*ConcessionsPct</f>
        <v/>
      </c>
      <c r="JE18" s="218">
        <f>-JE$14*ConcessionsPct</f>
        <v/>
      </c>
      <c r="JF18" s="218">
        <f>-JF$14*ConcessionsPct</f>
        <v/>
      </c>
      <c r="JG18" s="218">
        <f>-JG$14*ConcessionsPct</f>
        <v/>
      </c>
      <c r="JH18" s="218">
        <f>-JH$14*ConcessionsPct</f>
        <v/>
      </c>
      <c r="JI18" s="218">
        <f>-JI$14*ConcessionsPct</f>
        <v/>
      </c>
      <c r="JJ18" s="218">
        <f>-JJ$14*ConcessionsPct</f>
        <v/>
      </c>
      <c r="JK18" s="218">
        <f>-JK$14*ConcessionsPct</f>
        <v/>
      </c>
      <c r="JL18" s="218">
        <f>-JL$14*ConcessionsPct</f>
        <v/>
      </c>
      <c r="JM18" s="218">
        <f>-JM$14*ConcessionsPct</f>
        <v/>
      </c>
      <c r="JN18" s="218">
        <f>-JN$14*ConcessionsPct</f>
        <v/>
      </c>
      <c r="JO18" s="218">
        <f>-JO$14*ConcessionsPct</f>
        <v/>
      </c>
      <c r="JP18" s="218">
        <f>-JP$14*ConcessionsPct</f>
        <v/>
      </c>
      <c r="JQ18" s="218">
        <f>-JQ$14*ConcessionsPct</f>
        <v/>
      </c>
      <c r="JR18" s="218">
        <f>-JR$14*ConcessionsPct</f>
        <v/>
      </c>
      <c r="JS18" s="218">
        <f>-JS$14*ConcessionsPct</f>
        <v/>
      </c>
      <c r="JT18" s="218">
        <f>-JT$14*ConcessionsPct</f>
        <v/>
      </c>
      <c r="JU18" s="218">
        <f>-JU$14*ConcessionsPct</f>
        <v/>
      </c>
      <c r="JV18" s="218">
        <f>-JV$14*ConcessionsPct</f>
        <v/>
      </c>
      <c r="JW18" s="218">
        <f>-JW$14*ConcessionsPct</f>
        <v/>
      </c>
      <c r="JX18" s="218">
        <f>-JX$14*ConcessionsPct</f>
        <v/>
      </c>
      <c r="JY18" s="218">
        <f>-JY$14*ConcessionsPct</f>
        <v/>
      </c>
      <c r="JZ18" s="218">
        <f>-JZ$14*ConcessionsPct</f>
        <v/>
      </c>
      <c r="KA18" s="218">
        <f>-KA$14*ConcessionsPct</f>
        <v/>
      </c>
      <c r="KB18" s="218">
        <f>-KB$14*ConcessionsPct</f>
        <v/>
      </c>
      <c r="KC18" s="218">
        <f>-KC$14*ConcessionsPct</f>
        <v/>
      </c>
      <c r="KD18" s="218">
        <f>-KD$14*ConcessionsPct</f>
        <v/>
      </c>
      <c r="KE18" s="218">
        <f>-KE$14*ConcessionsPct</f>
        <v/>
      </c>
      <c r="KF18" s="218">
        <f>-KF$14*ConcessionsPct</f>
        <v/>
      </c>
      <c r="KG18" s="218">
        <f>-KG$14*ConcessionsPct</f>
        <v/>
      </c>
      <c r="KH18" s="218">
        <f>-KH$14*ConcessionsPct</f>
        <v/>
      </c>
      <c r="KI18" s="218">
        <f>-KI$14*ConcessionsPct</f>
        <v/>
      </c>
      <c r="KJ18" s="218">
        <f>-KJ$14*ConcessionsPct</f>
        <v/>
      </c>
      <c r="KK18" s="218">
        <f>-KK$14*ConcessionsPct</f>
        <v/>
      </c>
      <c r="KL18" s="218">
        <f>-KL$14*ConcessionsPct</f>
        <v/>
      </c>
      <c r="KM18" s="218">
        <f>-KM$14*ConcessionsPct</f>
        <v/>
      </c>
      <c r="KN18" s="218">
        <f>-KN$14*ConcessionsPct</f>
        <v/>
      </c>
      <c r="KO18" s="218">
        <f>-KO$14*ConcessionsPct</f>
        <v/>
      </c>
      <c r="KP18" s="218">
        <f>-KP$14*ConcessionsPct</f>
        <v/>
      </c>
      <c r="KQ18" s="218">
        <f>-KQ$14*ConcessionsPct</f>
        <v/>
      </c>
      <c r="KR18" s="218">
        <f>-KR$14*ConcessionsPct</f>
        <v/>
      </c>
      <c r="KS18" s="218">
        <f>-KS$14*ConcessionsPct</f>
        <v/>
      </c>
      <c r="KT18" s="218">
        <f>-KT$14*ConcessionsPct</f>
        <v/>
      </c>
      <c r="KU18" s="218">
        <f>-KU$14*ConcessionsPct</f>
        <v/>
      </c>
      <c r="KV18" s="218">
        <f>-KV$14*ConcessionsPct</f>
        <v/>
      </c>
      <c r="KW18" s="218">
        <f>-KW$14*ConcessionsPct</f>
        <v/>
      </c>
      <c r="KX18" s="218">
        <f>-KX$14*ConcessionsPct</f>
        <v/>
      </c>
      <c r="KY18" s="218">
        <f>-KY$14*ConcessionsPct</f>
        <v/>
      </c>
      <c r="KZ18" s="218">
        <f>-KZ$14*ConcessionsPct</f>
        <v/>
      </c>
      <c r="LA18" s="218">
        <f>-LA$14*ConcessionsPct</f>
        <v/>
      </c>
      <c r="LB18" s="218">
        <f>-LB$14*ConcessionsPct</f>
        <v/>
      </c>
      <c r="LC18" s="218">
        <f>-LC$14*ConcessionsPct</f>
        <v/>
      </c>
      <c r="LD18" s="218">
        <f>-LD$14*ConcessionsPct</f>
        <v/>
      </c>
      <c r="LE18" s="218">
        <f>-LE$14*ConcessionsPct</f>
        <v/>
      </c>
      <c r="LF18" s="218">
        <f>-LF$14*ConcessionsPct</f>
        <v/>
      </c>
      <c r="LG18" s="218">
        <f>-LG$14*ConcessionsPct</f>
        <v/>
      </c>
      <c r="LH18" s="218">
        <f>-LH$14*ConcessionsPct</f>
        <v/>
      </c>
      <c r="LI18" s="218">
        <f>-LI$14*ConcessionsPct</f>
        <v/>
      </c>
      <c r="LJ18" s="218">
        <f>-LJ$14*ConcessionsPct</f>
        <v/>
      </c>
      <c r="LK18" s="218">
        <f>-LK$14*ConcessionsPct</f>
        <v/>
      </c>
      <c r="LL18" s="218">
        <f>-LL$14*ConcessionsPct</f>
        <v/>
      </c>
      <c r="LM18" s="218">
        <f>-LM$14*ConcessionsPct</f>
        <v/>
      </c>
      <c r="LN18" s="218">
        <f>-LN$14*ConcessionsPct</f>
        <v/>
      </c>
      <c r="LO18" s="218">
        <f>-LO$14*ConcessionsPct</f>
        <v/>
      </c>
      <c r="LP18" s="218">
        <f>-LP$14*ConcessionsPct</f>
        <v/>
      </c>
      <c r="LQ18" s="218">
        <f>-LQ$14*ConcessionsPct</f>
        <v/>
      </c>
      <c r="LR18" s="218">
        <f>-LR$14*ConcessionsPct</f>
        <v/>
      </c>
      <c r="LS18" s="218">
        <f>-LS$14*ConcessionsPct</f>
        <v/>
      </c>
      <c r="LT18" s="218">
        <f>-LT$14*ConcessionsPct</f>
        <v/>
      </c>
      <c r="LU18" s="218">
        <f>-LU$14*ConcessionsPct</f>
        <v/>
      </c>
      <c r="LV18" s="218">
        <f>-LV$14*ConcessionsPct</f>
        <v/>
      </c>
      <c r="LW18" s="218">
        <f>-LW$14*ConcessionsPct</f>
        <v/>
      </c>
      <c r="LX18" s="218">
        <f>-LX$14*ConcessionsPct</f>
        <v/>
      </c>
      <c r="LY18" s="218">
        <f>-LY$14*ConcessionsPct</f>
        <v/>
      </c>
      <c r="LZ18" s="218">
        <f>-LZ$14*ConcessionsPct</f>
        <v/>
      </c>
      <c r="MA18" s="218">
        <f>-MA$14*ConcessionsPct</f>
        <v/>
      </c>
      <c r="MB18" s="218">
        <f>-MB$14*ConcessionsPct</f>
        <v/>
      </c>
      <c r="MC18" s="218">
        <f>-MC$14*ConcessionsPct</f>
        <v/>
      </c>
      <c r="MD18" s="218">
        <f>-MD$14*ConcessionsPct</f>
        <v/>
      </c>
      <c r="ME18" s="218">
        <f>-ME$14*ConcessionsPct</f>
        <v/>
      </c>
      <c r="MF18" s="218">
        <f>-MF$14*ConcessionsPct</f>
        <v/>
      </c>
      <c r="MG18" s="218">
        <f>-MG$14*ConcessionsPct</f>
        <v/>
      </c>
      <c r="MH18" s="218">
        <f>-MH$14*ConcessionsPct</f>
        <v/>
      </c>
      <c r="MI18" s="218">
        <f>-MI$14*ConcessionsPct</f>
        <v/>
      </c>
      <c r="MJ18" s="218">
        <f>-MJ$14*ConcessionsPct</f>
        <v/>
      </c>
      <c r="MK18" s="218">
        <f>-MK$14*ConcessionsPct</f>
        <v/>
      </c>
      <c r="ML18" s="218">
        <f>-ML$14*ConcessionsPct</f>
        <v/>
      </c>
      <c r="MM18" s="218">
        <f>-MM$14*ConcessionsPct</f>
        <v/>
      </c>
      <c r="MN18" s="218">
        <f>-MN$14*ConcessionsPct</f>
        <v/>
      </c>
      <c r="MO18" s="218">
        <f>-MO$14*ConcessionsPct</f>
        <v/>
      </c>
      <c r="MP18" s="218">
        <f>-MP$14*ConcessionsPct</f>
        <v/>
      </c>
      <c r="MQ18" s="218">
        <f>-MQ$14*ConcessionsPct</f>
        <v/>
      </c>
      <c r="MR18" s="218">
        <f>-MR$14*ConcessionsPct</f>
        <v/>
      </c>
      <c r="MS18" s="218">
        <f>-MS$14*ConcessionsPct</f>
        <v/>
      </c>
      <c r="MT18" s="218">
        <f>-MT$14*ConcessionsPct</f>
        <v/>
      </c>
      <c r="MU18" s="218">
        <f>-MU$14*ConcessionsPct</f>
        <v/>
      </c>
      <c r="MV18" s="218">
        <f>-MV$14*ConcessionsPct</f>
        <v/>
      </c>
      <c r="MW18" s="218">
        <f>-MW$14*ConcessionsPct</f>
        <v/>
      </c>
      <c r="MX18" s="218">
        <f>-MX$14*ConcessionsPct</f>
        <v/>
      </c>
      <c r="MY18" s="218">
        <f>-MY$14*ConcessionsPct</f>
        <v/>
      </c>
      <c r="MZ18" s="218">
        <f>-MZ$14*ConcessionsPct</f>
        <v/>
      </c>
      <c r="NA18" s="218">
        <f>-NA$14*ConcessionsPct</f>
        <v/>
      </c>
      <c r="NB18" s="218">
        <f>-NB$14*ConcessionsPct</f>
        <v/>
      </c>
      <c r="NC18" s="218">
        <f>-NC$14*ConcessionsPct</f>
        <v/>
      </c>
      <c r="ND18" s="218">
        <f>-ND$14*ConcessionsPct</f>
        <v/>
      </c>
      <c r="NE18" s="218">
        <f>-NE$14*ConcessionsPct</f>
        <v/>
      </c>
      <c r="NF18" s="218">
        <f>-NF$14*ConcessionsPct</f>
        <v/>
      </c>
      <c r="NG18" s="218">
        <f>-NG$14*ConcessionsPct</f>
        <v/>
      </c>
      <c r="NH18" s="218">
        <f>-NH$14*ConcessionsPct</f>
        <v/>
      </c>
      <c r="NI18" s="218">
        <f>-NI$14*ConcessionsPct</f>
        <v/>
      </c>
      <c r="NJ18" s="218">
        <f>-NJ$14*ConcessionsPct</f>
        <v/>
      </c>
      <c r="NK18" s="218">
        <f>-NK$14*ConcessionsPct</f>
        <v/>
      </c>
      <c r="NL18" s="225">
        <f>-NL$14*ConcessionsPct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$10-LossToLeasePct-BadDebtPct-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$10-LossToLeasePct-BadDebtPct-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$10-LossToLeasePct-BadDebtPct-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$10-LossToLeasePct-BadDebtPct-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$10-LossToLeasePct-BadDebtPct-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$10-LossToLeasePct-BadDebtPct-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$10-LossToLeasePct-BadDebtPct-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$10-LossToLeasePct-BadDebtPct-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$10-LossToLeasePct-BadDebtPct-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$10-LossToLeasePct-BadDebtPct-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$10-LossToLeasePct-BadDebtPct-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$10-LossToLeasePct-BadDebtPct-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$10-LossToLeasePct-BadDebtPct-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$10-LossToLeasePct-BadDebtPct-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$10-LossToLeasePct-BadDebtPct-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$10-LossToLeasePct-BadDebtPct-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$10-LossToLeasePct-BadDebtPct-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$10-LossToLeasePct-BadDebtPct-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$10-LossToLeasePct-BadDebtPct-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$10-LossToLeasePct-BadDebtPct-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$10-LossToLeasePct-BadDebtPct-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$10-LossToLeasePct-BadDebtPct-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$10-LossToLeasePct-BadDebtPct-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$10-LossToLeasePct-BadDebtPct-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$10-LossToLeasePct-BadDebtPct-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$10-LossToLeasePct-BadDebtPct-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$10-LossToLeasePct-BadDebtPct-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$10-LossToLeasePct-BadDebtPct-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$10-LossToLeasePct-BadDebtPct-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$10-LossToLeasePct-BadDebtPct-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$10-LossToLeasePct-BadDebtPct-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$10-LossToLeasePct-BadDebtPct-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$10-LossToLeasePct-BadDebtPct-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$10-LossToLeasePct-BadDebtPct-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$10-LossToLeasePct-BadDebtPct-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$10-LossToLeasePct-BadDebtPct-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$10-LossToLeasePct-BadDebtPct-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$10-LossToLeasePct-BadDebtPct-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$10-LossToLeasePct-BadDebtPct-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$10-LossToLeasePct-BadDebtPct-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$10-LossToLeasePct-BadDebtPct-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$10-LossToLeasePct-BadDebtPct-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$10-LossToLeasePct-BadDebtPct-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$10-LossToLeasePct-BadDebtPct-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$10-LossToLeasePct-BadDebtPct-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$10-LossToLeasePct-BadDebtPct-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$10-LossToLeasePct-BadDebtPct-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$10-LossToLeasePct-BadDebtPct-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$10-LossToLeasePct-BadDebtPct-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$10-LossToLeasePct-BadDebtPct-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$10-LossToLeasePct-BadDebtPct-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$10-LossToLeasePct-BadDebtPct-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$10-LossToLeasePct-BadDebtPct-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$10-LossToLeasePct-BadDebtPct-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$10-LossToLeasePct-BadDebtPct-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$10-LossToLeasePct-BadDebtPct-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$10-LossToLeasePct-BadDebtPct-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$10-LossToLeasePct-BadDebtPct-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$10-LossToLeasePct-BadDebtPct-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$10-LossToLeasePct-BadDebtPct-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$10-LossToLeasePct-BadDebtPct-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$10-LossToLeasePct-BadDebtPct-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$10-LossToLeasePct-BadDebtPct-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$10-LossToLeasePct-BadDebtPct-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$10-LossToLeasePct-BadDebtPct-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$10-LossToLeasePct-BadDebtPct-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$10-LossToLeasePct-BadDebtPct-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$10-LossToLeasePct-BadDebtPct-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$10-LossToLeasePct-BadDebtPct-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$10-LossToLeasePct-BadDebtPct-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$10-LossToLeasePct-BadDebtPct-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$10-LossToLeasePct-BadDebtPct-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$10-LossToLeasePct-BadDebtPct-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$10-LossToLeasePct-BadDebtPct-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$10-LossToLeasePct-BadDebtPct-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$10-LossToLeasePct-BadDebtPct-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$10-LossToLeasePct-BadDebtPct-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$10-LossToLeasePct-BadDebtPct-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$10-LossToLeasePct-BadDebtPct-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$10-LossToLeasePct-BadDebtPct-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$10-LossToLeasePct-BadDebtPct-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$10-LossToLeasePct-BadDebtPct-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$10-LossToLeasePct-BadDebtPct-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$10-LossToLeasePct-BadDebtPct-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$10-LossToLeasePct-BadDebtPct-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$10-LossToLeasePct-BadDebtPct-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$10-LossToLeasePct-BadDebtPct-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$10-LossToLeasePct-BadDebtPct-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$10-LossToLeasePct-BadDebtPct-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$10-LossToLeasePct-BadDebtPct-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$10-LossToLeasePct-BadDebtPct-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$10-LossToLeasePct-BadDebtPct-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$10-LossToLeasePct-BadDebtPct-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$10-LossToLeasePct-BadDebtPct-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$10-LossToLeasePct-BadDebtPct-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$10-LossToLeasePct-BadDebtPct-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$10-LossToLeasePct-BadDebtPct-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$10-LossToLeasePct-BadDebtPct-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$10-LossToLeasePct-BadDebtPct-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$10-LossToLeasePct-BadDebtPct-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$10-LossToLeasePct-BadDebtPct-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$10-LossToLeasePct-BadDebtPct-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$10-LossToLeasePct-BadDebtPct-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$10-LossToLeasePct-BadDebtPct-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$10-LossToLeasePct-BadDebtPct-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$10-LossToLeasePct-BadDebtPct-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$10-LossToLeasePct-BadDebtPct-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$10-LossToLeasePct-BadDebtPct-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$10-LossToLeasePct-BadDebtPct-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$10-LossToLeasePct-BadDebtPct-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$10-LossToLeasePct-BadDebtPct-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$10-LossToLeasePct-BadDebtPct-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$10-LossToLeasePct-BadDebtPct-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$10-LossToLeasePct-BadDebtPct-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$10-LossToLeasePct-BadDebtPct-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$10-LossToLeasePct-BadDebtPct-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$10-LossToLeasePct-BadDebtPct-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$10-LossToLeasePct-BadDebtPct-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$10-LossToLeasePct-BadDebtPct-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$10-LossToLeasePct-BadDebtPct-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$10-LossToLeasePct-BadDebtPct-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$10-LossToLeasePct-BadDebtPct-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$10-LossToLeasePct-BadDebtPct-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$10-LossToLeasePct-BadDebtPct-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$10-LossToLeasePct-BadDebtPct-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$10-LossToLeasePct-BadDebtPct-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$10-LossToLeasePct-BadDebtPct-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$10-LossToLeasePct-BadDebtPct-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$10-LossToLeasePct-BadDebtPct-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$10-LossToLeasePct-BadDebtPct-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$10-LossToLeasePct-BadDebtPct-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$10-LossToLeasePct-BadDebtPct-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$10-LossToLeasePct-BadDebtPct-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$10-LossToLeasePct-BadDebtPct-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$10-LossToLeasePct-BadDebtPct-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$10-LossToLeasePct-BadDebtPct-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$10-LossToLeasePct-BadDebtPct-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$10-LossToLeasePct-BadDebtPct-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$10-LossToLeasePct-BadDebtPct-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$10-LossToLeasePct-BadDebtPct-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$10-LossToLeasePct-BadDebtPct-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$10-LossToLeasePct-BadDebtPct-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$10-LossToLeasePct-BadDebtPct-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$10-LossToLeasePct-BadDebtPct-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$10-LossToLeasePct-BadDebtPct-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$10-LossToLeasePct-BadDebtPct-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$10-LossToLeasePct-BadDebtPct-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$10-LossToLeasePct-BadDebtPct-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$10-LossToLeasePct-BadDebtPct-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$10-LossToLeasePct-BadDebtPct-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$10-LossToLeasePct-BadDebtPct-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$10-LossToLeasePct-BadDebtPct-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$10-LossToLeasePct-BadDebtPct-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$10-LossToLeasePct-BadDebtPct-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$10-LossToLeasePct-BadDebtPct-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$10-LossToLeasePct-BadDebtPct-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$10-LossToLeasePct-BadDebtPct-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$10-LossToLeasePct-BadDebtPct-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$10-LossToLeasePct-BadDebtPct-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$10-LossToLeasePct-BadDebtPct-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$10-LossToLeasePct-BadDebtPct-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$10-LossToLeasePct-BadDebtPct-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$10-LossToLeasePct-BadDebtPct-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$10-LossToLeasePct-BadDebtPct-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$10-LossToLeasePct-BadDebtPct-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$10-LossToLeasePct-BadDebtPct-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$10-LossToLeasePct-BadDebtPct-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$10-LossToLeasePct-BadDebtPct-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$10-LossToLeasePct-BadDebtPct-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$10-LossToLeasePct-BadDebtPct-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$10-LossToLeasePct-BadDebtPct-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$10-LossToLeasePct-BadDebtPct-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$10-LossToLeasePct-BadDebtPct-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$10-LossToLeasePct-BadDebtPct-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$10-LossToLeasePct-BadDebtPct-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$10-LossToLeasePct-BadDebtPct-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$10-LossToLeasePct-BadDebtPct-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$10-LossToLeasePct-BadDebtPct-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$10-LossToLeasePct-BadDebtPct-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$10-LossToLeasePct-BadDebtPct-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$10-LossToLeasePct-BadDebtPct-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$10-LossToLeasePct-BadDebtPct-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$10-LossToLeasePct-BadDebtPct-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$10-LossToLeasePct-BadDebtPct-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$10-LossToLeasePct-BadDebtPct-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$10-LossToLeasePct-BadDebtPct-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$10-LossToLeasePct-BadDebtPct-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$10-LossToLeasePct-BadDebtPct-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$10-LossToLeasePct-BadDebtPct-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$10-LossToLeasePct-BadDebtPct-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$10-LossToLeasePct-BadDebtPct-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$10-LossToLeasePct-BadDebtPct-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$10-LossToLeasePct-BadDebtPct-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$10-LossToLeasePct-BadDebtPct-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$10-LossToLeasePct-BadDebtPct-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$10-LossToLeasePct-BadDebtPct-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$10-LossToLeasePct-BadDebtPct-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$10-LossToLeasePct-BadDebtPct-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$10-LossToLeasePct-BadDebtPct-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$10-LossToLeasePct-BadDebtPct-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$10-LossToLeasePct-BadDebtPct-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$10-LossToLeasePct-BadDebtPct-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$10-LossToLeasePct-BadDebtPct-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$10-LossToLeasePct-BadDebtPct-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$10-LossToLeasePct-BadDebtPct-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$10-LossToLeasePct-BadDebtPct-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$10-LossToLeasePct-BadDebtPct-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$10-LossToLeasePct-BadDebtPct-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$10-LossToLeasePct-BadDebtPct-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$10-LossToLeasePct-BadDebtPct-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$10-LossToLeasePct-BadDebtPct-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$10-LossToLeasePct-BadDebtPct-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$10-LossToLeasePct-BadDebtPct-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$10-LossToLeasePct-BadDebtPct-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$10-LossToLeasePct-BadDebtPct-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$10-LossToLeasePct-BadDebtPct-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$10-LossToLeasePct-BadDebtPct-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$10-LossToLeasePct-BadDebtPct-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$10-LossToLeasePct-BadDebtPct-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$10-LossToLeasePct-BadDebtPct-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$10-LossToLeasePct-BadDebtPct-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$10-LossToLeasePct-BadDebtPct-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$10-LossToLeasePct-BadDebtPct-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$10-LossToLeasePct-BadDebtPct-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$10-LossToLeasePct-BadDebtPct-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$10-LossToLeasePct-BadDebtPct-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$10-LossToLeasePct-BadDebtPct-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$10-LossToLeasePct-BadDebtPct-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$10-LossToLeasePct-BadDebtPct-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$10-LossToLeasePct-BadDebtPct-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$10-LossToLeasePct-BadDebtPct-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$10-LossToLeasePct-BadDebtPct-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$10-LossToLeasePct-BadDebtPct-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$10-LossToLeasePct-BadDebtPct-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$10-LossToLeasePct-BadDebtPct-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$10-LossToLeasePct-BadDebtPct-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$10-LossToLeasePct-BadDebtPct-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$10-LossToLeasePct-BadDebtPct-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$10-LossToLeasePct-BadDebtPct-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$10-LossToLeasePct-BadDebtPct-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$10-LossToLeasePct-BadDebtPct-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$10-LossToLeasePct-BadDebtPct-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$10-LossToLeasePct-BadDebtPct-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$10-LossToLeasePct-BadDebtPct-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$10-LossToLeasePct-BadDebtPct-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$10-LossToLeasePct-BadDebtPct-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$10-LossToLeasePct-BadDebtPct-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$10-LossToLeasePct-BadDebtPct-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$10-LossToLeasePct-BadDebtPct-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$10-LossToLeasePct-BadDebtPct-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$10-LossToLeasePct-BadDebtPct-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$10-LossToLeasePct-BadDebtPct-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$10-LossToLeasePct-BadDebtPct-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$10-LossToLeasePct-BadDebtPct-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$10-LossToLeasePct-BadDebtPct-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$10-LossToLeasePct-BadDebtPct-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$10-LossToLeasePct-BadDebtPct-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$10-LossToLeasePct-BadDebtPct-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$10-LossToLeasePct-BadDebtPct-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$10-LossToLeasePct-BadDebtPct-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$10-LossToLeasePct-BadDebtPct-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$10-LossToLeasePct-BadDebtPct-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$10-LossToLeasePct-BadDebtPct-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$10-LossToLeasePct-BadDebtPct-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$10-LossToLeasePct-BadDebtPct-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$10-LossToLeasePct-BadDebtPct-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$10-LossToLeasePct-BadDebtPct-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$10-LossToLeasePct-BadDebtPct-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$10-LossToLeasePct-BadDebtPct-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$10-LossToLeasePct-BadDebtPct-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$10-LossToLeasePct-BadDebtPct-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$10-LossToLeasePct-BadDebtPct-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$10-LossToLeasePct-BadDebtPct-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$10-LossToLeasePct-BadDebtPct-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$10-LossToLeasePct-BadDebtPct-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$10-LossToLeasePct-BadDebtPct-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$10-LossToLeasePct-BadDebtPct-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$10-LossToLeasePct-BadDebtPct-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$10-LossToLeasePct-BadDebtPct-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$10-LossToLeasePct-BadDebtPct-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$10-LossToLeasePct-BadDebtPct-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$10-LossToLeasePct-BadDebtPct-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$10-LossToLeasePct-BadDebtPct-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$10-LossToLeasePct-BadDebtPct-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$10-LossToLeasePct-BadDebtPct-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$10-LossToLeasePct-BadDebtPct-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$10-LossToLeasePct-BadDebtPct-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$10-LossToLeasePct-BadDebtPct-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$10-LossToLeasePct-BadDebtPct-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$10-LossToLeasePct-BadDebtPct-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$10-LossToLeasePct-BadDebtPct-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$10-LossToLeasePct-BadDebtPct-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$10-LossToLeasePct-BadDebtPct-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$10-LossToLeasePct-BadDebtPct-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$10-LossToLeasePct-BadDebtPct-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$10-LossToLeasePct-BadDebtPct-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$10-LossToLeasePct-BadDebtPct-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$10-LossToLeasePct-BadDebtPct-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$10-LossToLeasePct-BadDebtPct-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$10-LossToLeasePct-BadDebtPct-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$10-LossToLeasePct-BadDebtPct-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$10-LossToLeasePct-BadDebtPct-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$10-LossToLeasePct-BadDebtPct-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$10-LossToLeasePct-BadDebtPct-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$10-LossToLeasePct-BadDebtPct-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$10-LossToLeasePct-BadDebtPct-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$10-LossToLeasePct-BadDebtPct-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$10-LossToLeasePct-BadDebtPct-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$10-LossToLeasePct-BadDebtPct-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$10-LossToLeasePct-BadDebtPct-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$10-LossToLeasePct-BadDebtPct-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$10-LossToLeasePct-BadDebtPct-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$10-LossToLeasePct-BadDebtPct-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$10-LossToLeasePct-BadDebtPct-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$10-LossToLeasePct-BadDebtPct-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$10-LossToLeasePct-BadDebtPct-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$10-LossToLeasePct-BadDebtPct-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$10-LossToLeasePct-BadDebtPct-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$10-LossToLeasePct-BadDebtPct-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$10-LossToLeasePct-BadDebtPct-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$10-LossToLeasePct-BadDebtPct-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$10-LossToLeasePct-BadDebtPct-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$10-LossToLeasePct-BadDebtPct-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$10-LossToLeasePct-BadDebtPct-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$10-LossToLeasePct-BadDebtPct-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$10-LossToLeasePct-BadDebtPct-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$10-LossToLeasePct-BadDebtPct-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$10-LossToLeasePct-BadDebtPct-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$10-LossToLeasePct-BadDebtPct-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$10-LossToLeasePct-BadDebtPct-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$10-LossToLeasePct-BadDebtPct-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$10-LossToLeasePct-BadDebtPct-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$10-LossToLeasePct-BadDebtPct-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$10-LossToLeasePct-BadDebtPct-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$10-LossToLeasePct-BadDebtPct-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$10-LossToLeasePct-BadDebtPct-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$10-LossToLeasePct-BadDebtPct-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$10-LossToLeasePct-BadDebtPct-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$10-LossToLeasePct-BadDebtPct-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$10-LossToLeasePct-BadDebtPct-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$10-LossToLeasePct-BadDebtPct-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$10-LossToLeasePct-BadDebtPct-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$10-LossToLeasePct-BadDebtPct-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$10-LossToLeasePct-BadDebtPct-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$10-LossToLeasePct-BadDebtPct-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$10-LossToLeasePct-BadDebtPct-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$10-LossToLeasePct-BadDebtPct-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$10-LossToLeasePct-BadDebtPct-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$10-LossToLeasePct-BadDebtPct-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$10-LossToLeasePct-BadDebtPct-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$10-LossToLeasePct-BadDebtPct-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$10-LossToLeasePct-BadDebtPct-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$10-LossToLeasePct-BadDebtPct-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$10-LossToLeasePct-BadDebtPct-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$10-LossToLeasePct-BadDebtPct-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$10-LossToLeasePct-BadDebtPct-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$10-LossToLeasePct-BadDebtPct-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$10-LossToLeasePct-BadDebtPct-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$10-LossToLeasePct-BadDebtPct-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$10-LossToLeasePct-BadDebtPct-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$10-LossToLeasePct-BadDebtPct-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$10-LossToLeasePct-BadDebtPct-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$10-LossToLeasePct-BadDebtPct-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$10-LossToLeasePct-BadDebtPct-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$10-LossToLeasePct-BadDebtPct-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$10-LossToLeasePct-BadDebtPct-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$10-LossToLeasePct-BadDebtPct-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$10-LossToLeasePct-BadDebtPct-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$10-LossToLeasePct-BadDebtPct-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$10-LossToLeasePct-BadDebtPct-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$10-LossToLeasePct-BadDebtPct-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$10-LossToLeasePct-BadDebtPct-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4">
      <c r="B74" s="189" t="inlineStr">
        <is>
          <t>Static (No-Growth) Property-Tax Basis</t>
        </is>
      </c>
    </row>
    <row r="75">
      <c r="B75" s="190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190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190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B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</cols>
  <sheetData>
    <row r="1" ht="21" customHeight="1" s="97">
      <c r="B1" s="1" t="inlineStr">
        <is>
          <t>Permanent Loan / Refinance Engine</t>
        </is>
      </c>
    </row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B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B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</cols>
  <sheetData>
    <row r="1" ht="21" customHeight="1" s="97">
      <c r="B1" s="1" t="inlineStr">
        <is>
          <t>Levered &amp; Unlevered Cash Flows (monthly)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DevSpend!E$34+DevSpend!E$35+DevSpend!E$38+IF(1=MS_Initial_Closing_Start,OpReserve,0)</f>
        <v/>
      </c>
      <c r="F5" s="218">
        <f>DevSpend!F$34+DevSpend!F$35+DevSpend!F$38+IF(2=MS_Initial_Closing_Start,OpReserve,0)</f>
        <v/>
      </c>
      <c r="G5" s="218">
        <f>DevSpend!G$34+DevSpend!G$35+DevSpend!G$38+IF(3=MS_Initial_Closing_Start,OpReserve,0)</f>
        <v/>
      </c>
      <c r="H5" s="218">
        <f>DevSpend!H$34+DevSpend!H$35+DevSpend!H$38+IF(4=MS_Initial_Closing_Start,OpReserve,0)</f>
        <v/>
      </c>
      <c r="I5" s="218">
        <f>DevSpend!I$34+DevSpend!I$35+DevSpend!I$38+IF(5=MS_Initial_Closing_Start,OpReserve,0)</f>
        <v/>
      </c>
      <c r="J5" s="218">
        <f>DevSpend!J$34+DevSpend!J$35+DevSpend!J$38+IF(6=MS_Initial_Closing_Start,OpReserve,0)</f>
        <v/>
      </c>
      <c r="K5" s="218">
        <f>DevSpend!K$34+DevSpend!K$35+DevSpend!K$38+IF(7=MS_Initial_Closing_Start,OpReserve,0)</f>
        <v/>
      </c>
      <c r="L5" s="218">
        <f>DevSpend!L$34+DevSpend!L$35+DevSpend!L$38+IF(8=MS_Initial_Closing_Start,OpReserve,0)</f>
        <v/>
      </c>
      <c r="M5" s="218">
        <f>DevSpend!M$34+DevSpend!M$35+DevSpend!M$38+IF(9=MS_Initial_Closing_Start,OpReserve,0)</f>
        <v/>
      </c>
      <c r="N5" s="218">
        <f>DevSpend!N$34+DevSpend!N$35+DevSpend!N$38+IF(10=MS_Initial_Closing_Start,OpReserve,0)</f>
        <v/>
      </c>
      <c r="O5" s="218">
        <f>DevSpend!O$34+DevSpend!O$35+DevSpend!O$38+IF(11=MS_Initial_Closing_Start,OpReserve,0)</f>
        <v/>
      </c>
      <c r="P5" s="218">
        <f>DevSpend!P$34+DevSpend!P$35+DevSpend!P$38+IF(12=MS_Initial_Closing_Start,OpReserve,0)</f>
        <v/>
      </c>
      <c r="Q5" s="218">
        <f>DevSpend!Q$34+DevSpend!Q$35+DevSpend!Q$38+IF(13=MS_Initial_Closing_Start,OpReserve,0)</f>
        <v/>
      </c>
      <c r="R5" s="218">
        <f>DevSpend!R$34+DevSpend!R$35+DevSpend!R$38+IF(14=MS_Initial_Closing_Start,OpReserve,0)</f>
        <v/>
      </c>
      <c r="S5" s="218">
        <f>DevSpend!S$34+DevSpend!S$35+DevSpend!S$38+IF(15=MS_Initial_Closing_Start,OpReserve,0)</f>
        <v/>
      </c>
      <c r="T5" s="218">
        <f>DevSpend!T$34+DevSpend!T$35+DevSpend!T$38+IF(16=MS_Initial_Closing_Start,OpReserve,0)</f>
        <v/>
      </c>
      <c r="U5" s="218">
        <f>DevSpend!U$34+DevSpend!U$35+DevSpend!U$38+IF(17=MS_Initial_Closing_Start,OpReserve,0)</f>
        <v/>
      </c>
      <c r="V5" s="218">
        <f>DevSpend!V$34+DevSpend!V$35+DevSpend!V$38+IF(18=MS_Initial_Closing_Start,OpReserve,0)</f>
        <v/>
      </c>
      <c r="W5" s="218">
        <f>DevSpend!W$34+DevSpend!W$35+DevSpend!W$38+IF(19=MS_Initial_Closing_Start,OpReserve,0)</f>
        <v/>
      </c>
      <c r="X5" s="218">
        <f>DevSpend!X$34+DevSpend!X$35+DevSpend!X$38+IF(20=MS_Initial_Closing_Start,OpReserve,0)</f>
        <v/>
      </c>
      <c r="Y5" s="218">
        <f>DevSpend!Y$34+DevSpend!Y$35+DevSpend!Y$38+IF(21=MS_Initial_Closing_Start,OpReserve,0)</f>
        <v/>
      </c>
      <c r="Z5" s="218">
        <f>DevSpend!Z$34+DevSpend!Z$35+DevSpend!Z$38+IF(22=MS_Initial_Closing_Start,OpReserve,0)</f>
        <v/>
      </c>
      <c r="AA5" s="218">
        <f>DevSpend!AA$34+DevSpend!AA$35+DevSpend!AA$38+IF(23=MS_Initial_Closing_Start,OpReserve,0)</f>
        <v/>
      </c>
      <c r="AB5" s="218">
        <f>DevSpend!AB$34+DevSpend!AB$35+DevSpend!AB$38+IF(24=MS_Initial_Closing_Start,OpReserve,0)</f>
        <v/>
      </c>
      <c r="AC5" s="218">
        <f>DevSpend!AC$34+DevSpend!AC$35+DevSpend!AC$38+IF(25=MS_Initial_Closing_Start,OpReserve,0)</f>
        <v/>
      </c>
      <c r="AD5" s="218">
        <f>DevSpend!AD$34+DevSpend!AD$35+DevSpend!AD$38+IF(26=MS_Initial_Closing_Start,OpReserve,0)</f>
        <v/>
      </c>
      <c r="AE5" s="218">
        <f>DevSpend!AE$34+DevSpend!AE$35+DevSpend!AE$38+IF(27=MS_Initial_Closing_Start,OpReserve,0)</f>
        <v/>
      </c>
      <c r="AF5" s="218">
        <f>DevSpend!AF$34+DevSpend!AF$35+DevSpend!AF$38+IF(28=MS_Initial_Closing_Start,OpReserve,0)</f>
        <v/>
      </c>
      <c r="AG5" s="218">
        <f>DevSpend!AG$34+DevSpend!AG$35+DevSpend!AG$38+IF(29=MS_Initial_Closing_Start,OpReserve,0)</f>
        <v/>
      </c>
      <c r="AH5" s="218">
        <f>DevSpend!AH$34+DevSpend!AH$35+DevSpend!AH$38+IF(30=MS_Initial_Closing_Start,OpReserve,0)</f>
        <v/>
      </c>
      <c r="AI5" s="218">
        <f>DevSpend!AI$34+DevSpend!AI$35+DevSpend!AI$38+IF(31=MS_Initial_Closing_Start,OpReserve,0)</f>
        <v/>
      </c>
      <c r="AJ5" s="218">
        <f>DevSpend!AJ$34+DevSpend!AJ$35+DevSpend!AJ$38+IF(32=MS_Initial_Closing_Start,OpReserve,0)</f>
        <v/>
      </c>
      <c r="AK5" s="218">
        <f>DevSpend!AK$34+DevSpend!AK$35+DevSpend!AK$38+IF(33=MS_Initial_Closing_Start,OpReserve,0)</f>
        <v/>
      </c>
      <c r="AL5" s="218">
        <f>DevSpend!AL$34+DevSpend!AL$35+DevSpend!AL$38+IF(34=MS_Initial_Closing_Start,OpReserve,0)</f>
        <v/>
      </c>
      <c r="AM5" s="218">
        <f>DevSpend!AM$34+DevSpend!AM$35+DevSpend!AM$38+IF(35=MS_Initial_Closing_Start,OpReserve,0)</f>
        <v/>
      </c>
      <c r="AN5" s="218">
        <f>DevSpend!AN$34+DevSpend!AN$35+DevSpend!AN$38+IF(36=MS_Initial_Closing_Start,OpReserve,0)</f>
        <v/>
      </c>
      <c r="AO5" s="218">
        <f>DevSpend!AO$34+DevSpend!AO$35+DevSpend!AO$38+IF(37=MS_Initial_Closing_Start,OpReserve,0)</f>
        <v/>
      </c>
      <c r="AP5" s="218">
        <f>DevSpend!AP$34+DevSpend!AP$35+DevSpend!AP$38+IF(38=MS_Initial_Closing_Start,OpReserve,0)</f>
        <v/>
      </c>
      <c r="AQ5" s="218">
        <f>DevSpend!AQ$34+DevSpend!AQ$35+DevSpend!AQ$38+IF(39=MS_Initial_Closing_Start,OpReserve,0)</f>
        <v/>
      </c>
      <c r="AR5" s="218">
        <f>DevSpend!AR$34+DevSpend!AR$35+DevSpend!AR$38+IF(40=MS_Initial_Closing_Start,OpReserve,0)</f>
        <v/>
      </c>
      <c r="AS5" s="218">
        <f>DevSpend!AS$34+DevSpend!AS$35+DevSpend!AS$38+IF(41=MS_Initial_Closing_Start,OpReserve,0)</f>
        <v/>
      </c>
      <c r="AT5" s="218">
        <f>DevSpend!AT$34+DevSpend!AT$35+DevSpend!AT$38+IF(42=MS_Initial_Closing_Start,OpReserve,0)</f>
        <v/>
      </c>
      <c r="AU5" s="218">
        <f>DevSpend!AU$34+DevSpend!AU$35+DevSpend!AU$38+IF(43=MS_Initial_Closing_Start,OpReserve,0)</f>
        <v/>
      </c>
      <c r="AV5" s="218">
        <f>DevSpend!AV$34+DevSpend!AV$35+DevSpend!AV$38+IF(44=MS_Initial_Closing_Start,OpReserve,0)</f>
        <v/>
      </c>
      <c r="AW5" s="218">
        <f>DevSpend!AW$34+DevSpend!AW$35+DevSpend!AW$38+IF(45=MS_Initial_Closing_Start,OpReserve,0)</f>
        <v/>
      </c>
      <c r="AX5" s="218">
        <f>DevSpend!AX$34+DevSpend!AX$35+DevSpend!AX$38+IF(46=MS_Initial_Closing_Start,OpReserve,0)</f>
        <v/>
      </c>
      <c r="AY5" s="218">
        <f>DevSpend!AY$34+DevSpend!AY$35+DevSpend!AY$38+IF(47=MS_Initial_Closing_Start,OpReserve,0)</f>
        <v/>
      </c>
      <c r="AZ5" s="218">
        <f>DevSpend!AZ$34+DevSpend!AZ$35+DevSpend!AZ$38+IF(48=MS_Initial_Closing_Start,OpReserve,0)</f>
        <v/>
      </c>
      <c r="BA5" s="218">
        <f>DevSpend!BA$34+DevSpend!BA$35+DevSpend!BA$38+IF(49=MS_Initial_Closing_Start,OpReserve,0)</f>
        <v/>
      </c>
      <c r="BB5" s="218">
        <f>DevSpend!BB$34+DevSpend!BB$35+DevSpend!BB$38+IF(50=MS_Initial_Closing_Start,OpReserve,0)</f>
        <v/>
      </c>
      <c r="BC5" s="218">
        <f>DevSpend!BC$34+DevSpend!BC$35+DevSpend!BC$38+IF(51=MS_Initial_Closing_Start,OpReserve,0)</f>
        <v/>
      </c>
      <c r="BD5" s="218">
        <f>DevSpend!BD$34+DevSpend!BD$35+DevSpend!BD$38+IF(52=MS_Initial_Closing_Start,OpReserve,0)</f>
        <v/>
      </c>
      <c r="BE5" s="218">
        <f>DevSpend!BE$34+DevSpend!BE$35+DevSpend!BE$38+IF(53=MS_Initial_Closing_Start,OpReserve,0)</f>
        <v/>
      </c>
      <c r="BF5" s="218">
        <f>DevSpend!BF$34+DevSpend!BF$35+DevSpend!BF$38+IF(54=MS_Initial_Closing_Start,OpReserve,0)</f>
        <v/>
      </c>
      <c r="BG5" s="218">
        <f>DevSpend!BG$34+DevSpend!BG$35+DevSpend!BG$38+IF(55=MS_Initial_Closing_Start,OpReserve,0)</f>
        <v/>
      </c>
      <c r="BH5" s="218">
        <f>DevSpend!BH$34+DevSpend!BH$35+DevSpend!BH$38+IF(56=MS_Initial_Closing_Start,OpReserve,0)</f>
        <v/>
      </c>
      <c r="BI5" s="218">
        <f>DevSpend!BI$34+DevSpend!BI$35+DevSpend!BI$38+IF(57=MS_Initial_Closing_Start,OpReserve,0)</f>
        <v/>
      </c>
      <c r="BJ5" s="218">
        <f>DevSpend!BJ$34+DevSpend!BJ$35+DevSpend!BJ$38+IF(58=MS_Initial_Closing_Start,OpReserve,0)</f>
        <v/>
      </c>
      <c r="BK5" s="218">
        <f>DevSpend!BK$34+DevSpend!BK$35+DevSpend!BK$38+IF(59=MS_Initial_Closing_Start,OpReserve,0)</f>
        <v/>
      </c>
      <c r="BL5" s="218">
        <f>DevSpend!BL$34+DevSpend!BL$35+DevSpend!BL$38+IF(60=MS_Initial_Closing_Start,OpReserve,0)</f>
        <v/>
      </c>
      <c r="BM5" s="218">
        <f>DevSpend!BM$34+DevSpend!BM$35+DevSpend!BM$38+IF(61=MS_Initial_Closing_Start,OpReserve,0)</f>
        <v/>
      </c>
      <c r="BN5" s="218">
        <f>DevSpend!BN$34+DevSpend!BN$35+DevSpend!BN$38+IF(62=MS_Initial_Closing_Start,OpReserve,0)</f>
        <v/>
      </c>
      <c r="BO5" s="218">
        <f>DevSpend!BO$34+DevSpend!BO$35+DevSpend!BO$38+IF(63=MS_Initial_Closing_Start,OpReserve,0)</f>
        <v/>
      </c>
      <c r="BP5" s="218">
        <f>DevSpend!BP$34+DevSpend!BP$35+DevSpend!BP$38+IF(64=MS_Initial_Closing_Start,OpReserve,0)</f>
        <v/>
      </c>
      <c r="BQ5" s="218">
        <f>DevSpend!BQ$34+DevSpend!BQ$35+DevSpend!BQ$38+IF(65=MS_Initial_Closing_Start,OpReserve,0)</f>
        <v/>
      </c>
      <c r="BR5" s="218">
        <f>DevSpend!BR$34+DevSpend!BR$35+DevSpend!BR$38+IF(66=MS_Initial_Closing_Start,OpReserve,0)</f>
        <v/>
      </c>
      <c r="BS5" s="218">
        <f>DevSpend!BS$34+DevSpend!BS$35+DevSpend!BS$38+IF(67=MS_Initial_Closing_Start,OpReserve,0)</f>
        <v/>
      </c>
      <c r="BT5" s="218">
        <f>DevSpend!BT$34+DevSpend!BT$35+DevSpend!BT$38+IF(68=MS_Initial_Closing_Start,OpReserve,0)</f>
        <v/>
      </c>
      <c r="BU5" s="218">
        <f>DevSpend!BU$34+DevSpend!BU$35+DevSpend!BU$38+IF(69=MS_Initial_Closing_Start,OpReserve,0)</f>
        <v/>
      </c>
      <c r="BV5" s="218">
        <f>DevSpend!BV$34+DevSpend!BV$35+DevSpend!BV$38+IF(70=MS_Initial_Closing_Start,OpReserve,0)</f>
        <v/>
      </c>
      <c r="BW5" s="218">
        <f>DevSpend!BW$34+DevSpend!BW$35+DevSpend!BW$38+IF(71=MS_Initial_Closing_Start,OpReserve,0)</f>
        <v/>
      </c>
      <c r="BX5" s="218">
        <f>DevSpend!BX$34+DevSpend!BX$35+DevSpend!BX$38+IF(72=MS_Initial_Closing_Start,OpReserve,0)</f>
        <v/>
      </c>
      <c r="BY5" s="218">
        <f>DevSpend!BY$34+DevSpend!BY$35+DevSpend!BY$38+IF(73=MS_Initial_Closing_Start,OpReserve,0)</f>
        <v/>
      </c>
      <c r="BZ5" s="218">
        <f>DevSpend!BZ$34+DevSpend!BZ$35+DevSpend!BZ$38+IF(74=MS_Initial_Closing_Start,OpReserve,0)</f>
        <v/>
      </c>
      <c r="CA5" s="218">
        <f>DevSpend!CA$34+DevSpend!CA$35+DevSpend!CA$38+IF(75=MS_Initial_Closing_Start,OpReserve,0)</f>
        <v/>
      </c>
      <c r="CB5" s="218">
        <f>DevSpend!CB$34+DevSpend!CB$35+DevSpend!CB$38+IF(76=MS_Initial_Closing_Start,OpReserve,0)</f>
        <v/>
      </c>
      <c r="CC5" s="218">
        <f>DevSpend!CC$34+DevSpend!CC$35+DevSpend!CC$38+IF(77=MS_Initial_Closing_Start,OpReserve,0)</f>
        <v/>
      </c>
      <c r="CD5" s="218">
        <f>DevSpend!CD$34+DevSpend!CD$35+DevSpend!CD$38+IF(78=MS_Initial_Closing_Start,OpReserve,0)</f>
        <v/>
      </c>
      <c r="CE5" s="218">
        <f>DevSpend!CE$34+DevSpend!CE$35+DevSpend!CE$38+IF(79=MS_Initial_Closing_Start,OpReserve,0)</f>
        <v/>
      </c>
      <c r="CF5" s="218">
        <f>DevSpend!CF$34+DevSpend!CF$35+DevSpend!CF$38+IF(80=MS_Initial_Closing_Start,OpReserve,0)</f>
        <v/>
      </c>
      <c r="CG5" s="218">
        <f>DevSpend!CG$34+DevSpend!CG$35+DevSpend!CG$38+IF(81=MS_Initial_Closing_Start,OpReserve,0)</f>
        <v/>
      </c>
      <c r="CH5" s="218">
        <f>DevSpend!CH$34+DevSpend!CH$35+DevSpend!CH$38+IF(82=MS_Initial_Closing_Start,OpReserve,0)</f>
        <v/>
      </c>
      <c r="CI5" s="218">
        <f>DevSpend!CI$34+DevSpend!CI$35+DevSpend!CI$38+IF(83=MS_Initial_Closing_Start,OpReserve,0)</f>
        <v/>
      </c>
      <c r="CJ5" s="218">
        <f>DevSpend!CJ$34+DevSpend!CJ$35+DevSpend!CJ$38+IF(84=MS_Initial_Closing_Start,OpReserve,0)</f>
        <v/>
      </c>
      <c r="CK5" s="218">
        <f>DevSpend!CK$34+DevSpend!CK$35+DevSpend!CK$38+IF(85=MS_Initial_Closing_Start,OpReserve,0)</f>
        <v/>
      </c>
      <c r="CL5" s="218">
        <f>DevSpend!CL$34+DevSpend!CL$35+DevSpend!CL$38+IF(86=MS_Initial_Closing_Start,OpReserve,0)</f>
        <v/>
      </c>
      <c r="CM5" s="218">
        <f>DevSpend!CM$34+DevSpend!CM$35+DevSpend!CM$38+IF(87=MS_Initial_Closing_Start,OpReserve,0)</f>
        <v/>
      </c>
      <c r="CN5" s="218">
        <f>DevSpend!CN$34+DevSpend!CN$35+DevSpend!CN$38+IF(88=MS_Initial_Closing_Start,OpReserve,0)</f>
        <v/>
      </c>
      <c r="CO5" s="218">
        <f>DevSpend!CO$34+DevSpend!CO$35+DevSpend!CO$38+IF(89=MS_Initial_Closing_Start,OpReserve,0)</f>
        <v/>
      </c>
      <c r="CP5" s="218">
        <f>DevSpend!CP$34+DevSpend!CP$35+DevSpend!CP$38+IF(90=MS_Initial_Closing_Start,OpReserve,0)</f>
        <v/>
      </c>
      <c r="CQ5" s="218">
        <f>DevSpend!CQ$34+DevSpend!CQ$35+DevSpend!CQ$38+IF(91=MS_Initial_Closing_Start,OpReserve,0)</f>
        <v/>
      </c>
      <c r="CR5" s="218">
        <f>DevSpend!CR$34+DevSpend!CR$35+DevSpend!CR$38+IF(92=MS_Initial_Closing_Start,OpReserve,0)</f>
        <v/>
      </c>
      <c r="CS5" s="218">
        <f>DevSpend!CS$34+DevSpend!CS$35+DevSpend!CS$38+IF(93=MS_Initial_Closing_Start,OpReserve,0)</f>
        <v/>
      </c>
      <c r="CT5" s="218">
        <f>DevSpend!CT$34+DevSpend!CT$35+DevSpend!CT$38+IF(94=MS_Initial_Closing_Start,OpReserve,0)</f>
        <v/>
      </c>
      <c r="CU5" s="218">
        <f>DevSpend!CU$34+DevSpend!CU$35+DevSpend!CU$38+IF(95=MS_Initial_Closing_Start,OpReserve,0)</f>
        <v/>
      </c>
      <c r="CV5" s="218">
        <f>DevSpend!CV$34+DevSpend!CV$35+DevSpend!CV$38+IF(96=MS_Initial_Closing_Start,OpReserve,0)</f>
        <v/>
      </c>
      <c r="CW5" s="218">
        <f>DevSpend!CW$34+DevSpend!CW$35+DevSpend!CW$38+IF(97=MS_Initial_Closing_Start,OpReserve,0)</f>
        <v/>
      </c>
      <c r="CX5" s="218">
        <f>DevSpend!CX$34+DevSpend!CX$35+DevSpend!CX$38+IF(98=MS_Initial_Closing_Start,OpReserve,0)</f>
        <v/>
      </c>
      <c r="CY5" s="218">
        <f>DevSpend!CY$34+DevSpend!CY$35+DevSpend!CY$38+IF(99=MS_Initial_Closing_Start,OpReserve,0)</f>
        <v/>
      </c>
      <c r="CZ5" s="218">
        <f>DevSpend!CZ$34+DevSpend!CZ$35+DevSpend!CZ$38+IF(100=MS_Initial_Closing_Start,OpReserve,0)</f>
        <v/>
      </c>
      <c r="DA5" s="218">
        <f>DevSpend!DA$34+DevSpend!DA$35+DevSpend!DA$38+IF(101=MS_Initial_Closing_Start,OpReserve,0)</f>
        <v/>
      </c>
      <c r="DB5" s="218">
        <f>DevSpend!DB$34+DevSpend!DB$35+DevSpend!DB$38+IF(102=MS_Initial_Closing_Start,OpReserve,0)</f>
        <v/>
      </c>
      <c r="DC5" s="218">
        <f>DevSpend!DC$34+DevSpend!DC$35+DevSpend!DC$38+IF(103=MS_Initial_Closing_Start,OpReserve,0)</f>
        <v/>
      </c>
      <c r="DD5" s="218">
        <f>DevSpend!DD$34+DevSpend!DD$35+DevSpend!DD$38+IF(104=MS_Initial_Closing_Start,OpReserve,0)</f>
        <v/>
      </c>
      <c r="DE5" s="218">
        <f>DevSpend!DE$34+DevSpend!DE$35+DevSpend!DE$38+IF(105=MS_Initial_Closing_Start,OpReserve,0)</f>
        <v/>
      </c>
      <c r="DF5" s="218">
        <f>DevSpend!DF$34+DevSpend!DF$35+DevSpend!DF$38+IF(106=MS_Initial_Closing_Start,OpReserve,0)</f>
        <v/>
      </c>
      <c r="DG5" s="218">
        <f>DevSpend!DG$34+DevSpend!DG$35+DevSpend!DG$38+IF(107=MS_Initial_Closing_Start,OpReserve,0)</f>
        <v/>
      </c>
      <c r="DH5" s="218">
        <f>DevSpend!DH$34+DevSpend!DH$35+DevSpend!DH$38+IF(108=MS_Initial_Closing_Start,OpReserve,0)</f>
        <v/>
      </c>
      <c r="DI5" s="218">
        <f>DevSpend!DI$34+DevSpend!DI$35+DevSpend!DI$38+IF(109=MS_Initial_Closing_Start,OpReserve,0)</f>
        <v/>
      </c>
      <c r="DJ5" s="218">
        <f>DevSpend!DJ$34+DevSpend!DJ$35+DevSpend!DJ$38+IF(110=MS_Initial_Closing_Start,OpReserve,0)</f>
        <v/>
      </c>
      <c r="DK5" s="218">
        <f>DevSpend!DK$34+DevSpend!DK$35+DevSpend!DK$38+IF(111=MS_Initial_Closing_Start,OpReserve,0)</f>
        <v/>
      </c>
      <c r="DL5" s="218">
        <f>DevSpend!DL$34+DevSpend!DL$35+DevSpend!DL$38+IF(112=MS_Initial_Closing_Start,OpReserve,0)</f>
        <v/>
      </c>
      <c r="DM5" s="218">
        <f>DevSpend!DM$34+DevSpend!DM$35+DevSpend!DM$38+IF(113=MS_Initial_Closing_Start,OpReserve,0)</f>
        <v/>
      </c>
      <c r="DN5" s="218">
        <f>DevSpend!DN$34+DevSpend!DN$35+DevSpend!DN$38+IF(114=MS_Initial_Closing_Start,OpReserve,0)</f>
        <v/>
      </c>
      <c r="DO5" s="218">
        <f>DevSpend!DO$34+DevSpend!DO$35+DevSpend!DO$38+IF(115=MS_Initial_Closing_Start,OpReserve,0)</f>
        <v/>
      </c>
      <c r="DP5" s="218">
        <f>DevSpend!DP$34+DevSpend!DP$35+DevSpend!DP$38+IF(116=MS_Initial_Closing_Start,OpReserve,0)</f>
        <v/>
      </c>
      <c r="DQ5" s="218">
        <f>DevSpend!DQ$34+DevSpend!DQ$35+DevSpend!DQ$38+IF(117=MS_Initial_Closing_Start,OpReserve,0)</f>
        <v/>
      </c>
      <c r="DR5" s="218">
        <f>DevSpend!DR$34+DevSpend!DR$35+DevSpend!DR$38+IF(118=MS_Initial_Closing_Start,OpReserve,0)</f>
        <v/>
      </c>
      <c r="DS5" s="218">
        <f>DevSpend!DS$34+DevSpend!DS$35+DevSpend!DS$38+IF(119=MS_Initial_Closing_Start,OpReserve,0)</f>
        <v/>
      </c>
      <c r="DT5" s="218">
        <f>DevSpend!DT$34+DevSpend!DT$35+DevSpend!DT$38+IF(120=MS_Initial_Closing_Start,OpReserve,0)</f>
        <v/>
      </c>
      <c r="DU5" s="218">
        <f>DevSpend!DU$34+DevSpend!DU$35+DevSpend!DU$38+IF(121=MS_Initial_Closing_Start,OpReserve,0)</f>
        <v/>
      </c>
      <c r="DV5" s="218">
        <f>DevSpend!DV$34+DevSpend!DV$35+DevSpend!DV$38+IF(122=MS_Initial_Closing_Start,OpReserve,0)</f>
        <v/>
      </c>
      <c r="DW5" s="218">
        <f>DevSpend!DW$34+DevSpend!DW$35+DevSpend!DW$38+IF(123=MS_Initial_Closing_Start,OpReserve,0)</f>
        <v/>
      </c>
      <c r="DX5" s="218">
        <f>DevSpend!DX$34+DevSpend!DX$35+DevSpend!DX$38+IF(124=MS_Initial_Closing_Start,OpReserve,0)</f>
        <v/>
      </c>
      <c r="DY5" s="218">
        <f>DevSpend!DY$34+DevSpend!DY$35+DevSpend!DY$38+IF(125=MS_Initial_Closing_Start,OpReserve,0)</f>
        <v/>
      </c>
      <c r="DZ5" s="218">
        <f>DevSpend!DZ$34+DevSpend!DZ$35+DevSpend!DZ$38+IF(126=MS_Initial_Closing_Start,OpReserve,0)</f>
        <v/>
      </c>
      <c r="EA5" s="218">
        <f>DevSpend!EA$34+DevSpend!EA$35+DevSpend!EA$38+IF(127=MS_Initial_Closing_Start,OpReserve,0)</f>
        <v/>
      </c>
      <c r="EB5" s="218">
        <f>DevSpend!EB$34+DevSpend!EB$35+DevSpend!EB$38+IF(128=MS_Initial_Closing_Start,OpReserve,0)</f>
        <v/>
      </c>
      <c r="EC5" s="218">
        <f>DevSpend!EC$34+DevSpend!EC$35+DevSpend!EC$38+IF(129=MS_Initial_Closing_Start,OpReserve,0)</f>
        <v/>
      </c>
      <c r="ED5" s="218">
        <f>DevSpend!ED$34+DevSpend!ED$35+DevSpend!ED$38+IF(130=MS_Initial_Closing_Start,OpReserve,0)</f>
        <v/>
      </c>
      <c r="EE5" s="218">
        <f>DevSpend!EE$34+DevSpend!EE$35+DevSpend!EE$38+IF(131=MS_Initial_Closing_Start,OpReserve,0)</f>
        <v/>
      </c>
      <c r="EF5" s="218">
        <f>DevSpend!EF$34+DevSpend!EF$35+DevSpend!EF$38+IF(132=MS_Initial_Closing_Start,OpReserve,0)</f>
        <v/>
      </c>
      <c r="EG5" s="218">
        <f>DevSpend!EG$34+DevSpend!EG$35+DevSpend!EG$38+IF(133=MS_Initial_Closing_Start,OpReserve,0)</f>
        <v/>
      </c>
      <c r="EH5" s="218">
        <f>DevSpend!EH$34+DevSpend!EH$35+DevSpend!EH$38+IF(134=MS_Initial_Closing_Start,OpReserve,0)</f>
        <v/>
      </c>
      <c r="EI5" s="218">
        <f>DevSpend!EI$34+DevSpend!EI$35+DevSpend!EI$38+IF(135=MS_Initial_Closing_Start,OpReserve,0)</f>
        <v/>
      </c>
      <c r="EJ5" s="218">
        <f>DevSpend!EJ$34+DevSpend!EJ$35+DevSpend!EJ$38+IF(136=MS_Initial_Closing_Start,OpReserve,0)</f>
        <v/>
      </c>
      <c r="EK5" s="218">
        <f>DevSpend!EK$34+DevSpend!EK$35+DevSpend!EK$38+IF(137=MS_Initial_Closing_Start,OpReserve,0)</f>
        <v/>
      </c>
      <c r="EL5" s="218">
        <f>DevSpend!EL$34+DevSpend!EL$35+DevSpend!EL$38+IF(138=MS_Initial_Closing_Start,OpReserve,0)</f>
        <v/>
      </c>
      <c r="EM5" s="218">
        <f>DevSpend!EM$34+DevSpend!EM$35+DevSpend!EM$38+IF(139=MS_Initial_Closing_Start,OpReserve,0)</f>
        <v/>
      </c>
      <c r="EN5" s="218">
        <f>DevSpend!EN$34+DevSpend!EN$35+DevSpend!EN$38+IF(140=MS_Initial_Closing_Start,OpReserve,0)</f>
        <v/>
      </c>
      <c r="EO5" s="218">
        <f>DevSpend!EO$34+DevSpend!EO$35+DevSpend!EO$38+IF(141=MS_Initial_Closing_Start,OpReserve,0)</f>
        <v/>
      </c>
      <c r="EP5" s="218">
        <f>DevSpend!EP$34+DevSpend!EP$35+DevSpend!EP$38+IF(142=MS_Initial_Closing_Start,OpReserve,0)</f>
        <v/>
      </c>
      <c r="EQ5" s="218">
        <f>DevSpend!EQ$34+DevSpend!EQ$35+DevSpend!EQ$38+IF(143=MS_Initial_Closing_Start,OpReserve,0)</f>
        <v/>
      </c>
      <c r="ER5" s="218">
        <f>DevSpend!ER$34+DevSpend!ER$35+DevSpend!ER$38+IF(144=MS_Initial_Closing_Start,OpReserve,0)</f>
        <v/>
      </c>
      <c r="ES5" s="218">
        <f>DevSpend!ES$34+DevSpend!ES$35+DevSpend!ES$38+IF(145=MS_Initial_Closing_Start,OpReserve,0)</f>
        <v/>
      </c>
      <c r="ET5" s="218">
        <f>DevSpend!ET$34+DevSpend!ET$35+DevSpend!ET$38+IF(146=MS_Initial_Closing_Start,OpReserve,0)</f>
        <v/>
      </c>
      <c r="EU5" s="218">
        <f>DevSpend!EU$34+DevSpend!EU$35+DevSpend!EU$38+IF(147=MS_Initial_Closing_Start,OpReserve,0)</f>
        <v/>
      </c>
      <c r="EV5" s="218">
        <f>DevSpend!EV$34+DevSpend!EV$35+DevSpend!EV$38+IF(148=MS_Initial_Closing_Start,OpReserve,0)</f>
        <v/>
      </c>
      <c r="EW5" s="218">
        <f>DevSpend!EW$34+DevSpend!EW$35+DevSpend!EW$38+IF(149=MS_Initial_Closing_Start,OpReserve,0)</f>
        <v/>
      </c>
      <c r="EX5" s="218">
        <f>DevSpend!EX$34+DevSpend!EX$35+DevSpend!EX$38+IF(150=MS_Initial_Closing_Start,OpReserve,0)</f>
        <v/>
      </c>
      <c r="EY5" s="218">
        <f>DevSpend!EY$34+DevSpend!EY$35+DevSpend!EY$38+IF(151=MS_Initial_Closing_Start,OpReserve,0)</f>
        <v/>
      </c>
      <c r="EZ5" s="218">
        <f>DevSpend!EZ$34+DevSpend!EZ$35+DevSpend!EZ$38+IF(152=MS_Initial_Closing_Start,OpReserve,0)</f>
        <v/>
      </c>
      <c r="FA5" s="218">
        <f>DevSpend!FA$34+DevSpend!FA$35+DevSpend!FA$38+IF(153=MS_Initial_Closing_Start,OpReserve,0)</f>
        <v/>
      </c>
      <c r="FB5" s="218">
        <f>DevSpend!FB$34+DevSpend!FB$35+DevSpend!FB$38+IF(154=MS_Initial_Closing_Start,OpReserve,0)</f>
        <v/>
      </c>
      <c r="FC5" s="218">
        <f>DevSpend!FC$34+DevSpend!FC$35+DevSpend!FC$38+IF(155=MS_Initial_Closing_Start,OpReserve,0)</f>
        <v/>
      </c>
      <c r="FD5" s="218">
        <f>DevSpend!FD$34+DevSpend!FD$35+DevSpend!FD$38+IF(156=MS_Initial_Closing_Start,OpReserve,0)</f>
        <v/>
      </c>
      <c r="FE5" s="218">
        <f>DevSpend!FE$34+DevSpend!FE$35+DevSpend!FE$38+IF(157=MS_Initial_Closing_Start,OpReserve,0)</f>
        <v/>
      </c>
      <c r="FF5" s="218">
        <f>DevSpend!FF$34+DevSpend!FF$35+DevSpend!FF$38+IF(158=MS_Initial_Closing_Start,OpReserve,0)</f>
        <v/>
      </c>
      <c r="FG5" s="218">
        <f>DevSpend!FG$34+DevSpend!FG$35+DevSpend!FG$38+IF(159=MS_Initial_Closing_Start,OpReserve,0)</f>
        <v/>
      </c>
      <c r="FH5" s="218">
        <f>DevSpend!FH$34+DevSpend!FH$35+DevSpend!FH$38+IF(160=MS_Initial_Closing_Start,OpReserve,0)</f>
        <v/>
      </c>
      <c r="FI5" s="218">
        <f>DevSpend!FI$34+DevSpend!FI$35+DevSpend!FI$38+IF(161=MS_Initial_Closing_Start,OpReserve,0)</f>
        <v/>
      </c>
      <c r="FJ5" s="218">
        <f>DevSpend!FJ$34+DevSpend!FJ$35+DevSpend!FJ$38+IF(162=MS_Initial_Closing_Start,OpReserve,0)</f>
        <v/>
      </c>
      <c r="FK5" s="218">
        <f>DevSpend!FK$34+DevSpend!FK$35+DevSpend!FK$38+IF(163=MS_Initial_Closing_Start,OpReserve,0)</f>
        <v/>
      </c>
      <c r="FL5" s="218">
        <f>DevSpend!FL$34+DevSpend!FL$35+DevSpend!FL$38+IF(164=MS_Initial_Closing_Start,OpReserve,0)</f>
        <v/>
      </c>
      <c r="FM5" s="218">
        <f>DevSpend!FM$34+DevSpend!FM$35+DevSpend!FM$38+IF(165=MS_Initial_Closing_Start,OpReserve,0)</f>
        <v/>
      </c>
      <c r="FN5" s="218">
        <f>DevSpend!FN$34+DevSpend!FN$35+DevSpend!FN$38+IF(166=MS_Initial_Closing_Start,OpReserve,0)</f>
        <v/>
      </c>
      <c r="FO5" s="218">
        <f>DevSpend!FO$34+DevSpend!FO$35+DevSpend!FO$38+IF(167=MS_Initial_Closing_Start,OpReserve,0)</f>
        <v/>
      </c>
      <c r="FP5" s="218">
        <f>DevSpend!FP$34+DevSpend!FP$35+DevSpend!FP$38+IF(168=MS_Initial_Closing_Start,OpReserve,0)</f>
        <v/>
      </c>
      <c r="FQ5" s="218">
        <f>DevSpend!FQ$34+DevSpend!FQ$35+DevSpend!FQ$38+IF(169=MS_Initial_Closing_Start,OpReserve,0)</f>
        <v/>
      </c>
      <c r="FR5" s="218">
        <f>DevSpend!FR$34+DevSpend!FR$35+DevSpend!FR$38+IF(170=MS_Initial_Closing_Start,OpReserve,0)</f>
        <v/>
      </c>
      <c r="FS5" s="218">
        <f>DevSpend!FS$34+DevSpend!FS$35+DevSpend!FS$38+IF(171=MS_Initial_Closing_Start,OpReserve,0)</f>
        <v/>
      </c>
      <c r="FT5" s="218">
        <f>DevSpend!FT$34+DevSpend!FT$35+DevSpend!FT$38+IF(172=MS_Initial_Closing_Start,OpReserve,0)</f>
        <v/>
      </c>
      <c r="FU5" s="218">
        <f>DevSpend!FU$34+DevSpend!FU$35+DevSpend!FU$38+IF(173=MS_Initial_Closing_Start,OpReserve,0)</f>
        <v/>
      </c>
      <c r="FV5" s="218">
        <f>DevSpend!FV$34+DevSpend!FV$35+DevSpend!FV$38+IF(174=MS_Initial_Closing_Start,OpReserve,0)</f>
        <v/>
      </c>
      <c r="FW5" s="218">
        <f>DevSpend!FW$34+DevSpend!FW$35+DevSpend!FW$38+IF(175=MS_Initial_Closing_Start,OpReserve,0)</f>
        <v/>
      </c>
      <c r="FX5" s="218">
        <f>DevSpend!FX$34+DevSpend!FX$35+DevSpend!FX$38+IF(176=MS_Initial_Closing_Start,OpReserve,0)</f>
        <v/>
      </c>
      <c r="FY5" s="218">
        <f>DevSpend!FY$34+DevSpend!FY$35+DevSpend!FY$38+IF(177=MS_Initial_Closing_Start,OpReserve,0)</f>
        <v/>
      </c>
      <c r="FZ5" s="218">
        <f>DevSpend!FZ$34+DevSpend!FZ$35+DevSpend!FZ$38+IF(178=MS_Initial_Closing_Start,OpReserve,0)</f>
        <v/>
      </c>
      <c r="GA5" s="218">
        <f>DevSpend!GA$34+DevSpend!GA$35+DevSpend!GA$38+IF(179=MS_Initial_Closing_Start,OpReserve,0)</f>
        <v/>
      </c>
      <c r="GB5" s="218">
        <f>DevSpend!GB$34+DevSpend!GB$35+DevSpend!GB$38+IF(180=MS_Initial_Closing_Start,OpReserve,0)</f>
        <v/>
      </c>
      <c r="GC5" s="218">
        <f>DevSpend!GC$34+DevSpend!GC$35+DevSpend!GC$38+IF(181=MS_Initial_Closing_Start,OpReserve,0)</f>
        <v/>
      </c>
      <c r="GD5" s="218">
        <f>DevSpend!GD$34+DevSpend!GD$35+DevSpend!GD$38+IF(182=MS_Initial_Closing_Start,OpReserve,0)</f>
        <v/>
      </c>
      <c r="GE5" s="218">
        <f>DevSpend!GE$34+DevSpend!GE$35+DevSpend!GE$38+IF(183=MS_Initial_Closing_Start,OpReserve,0)</f>
        <v/>
      </c>
      <c r="GF5" s="218">
        <f>DevSpend!GF$34+DevSpend!GF$35+DevSpend!GF$38+IF(184=MS_Initial_Closing_Start,OpReserve,0)</f>
        <v/>
      </c>
      <c r="GG5" s="218">
        <f>DevSpend!GG$34+DevSpend!GG$35+DevSpend!GG$38+IF(185=MS_Initial_Closing_Start,OpReserve,0)</f>
        <v/>
      </c>
      <c r="GH5" s="218">
        <f>DevSpend!GH$34+DevSpend!GH$35+DevSpend!GH$38+IF(186=MS_Initial_Closing_Start,OpReserve,0)</f>
        <v/>
      </c>
      <c r="GI5" s="218">
        <f>DevSpend!GI$34+DevSpend!GI$35+DevSpend!GI$38+IF(187=MS_Initial_Closing_Start,OpReserve,0)</f>
        <v/>
      </c>
      <c r="GJ5" s="218">
        <f>DevSpend!GJ$34+DevSpend!GJ$35+DevSpend!GJ$38+IF(188=MS_Initial_Closing_Start,OpReserve,0)</f>
        <v/>
      </c>
      <c r="GK5" s="218">
        <f>DevSpend!GK$34+DevSpend!GK$35+DevSpend!GK$38+IF(189=MS_Initial_Closing_Start,OpReserve,0)</f>
        <v/>
      </c>
      <c r="GL5" s="218">
        <f>DevSpend!GL$34+DevSpend!GL$35+DevSpend!GL$38+IF(190=MS_Initial_Closing_Start,OpReserve,0)</f>
        <v/>
      </c>
      <c r="GM5" s="218">
        <f>DevSpend!GM$34+DevSpend!GM$35+DevSpend!GM$38+IF(191=MS_Initial_Closing_Start,OpReserve,0)</f>
        <v/>
      </c>
      <c r="GN5" s="218">
        <f>DevSpend!GN$34+DevSpend!GN$35+DevSpend!GN$38+IF(192=MS_Initial_Closing_Start,OpReserve,0)</f>
        <v/>
      </c>
      <c r="GO5" s="218">
        <f>DevSpend!GO$34+DevSpend!GO$35+DevSpend!GO$38+IF(193=MS_Initial_Closing_Start,OpReserve,0)</f>
        <v/>
      </c>
      <c r="GP5" s="218">
        <f>DevSpend!GP$34+DevSpend!GP$35+DevSpend!GP$38+IF(194=MS_Initial_Closing_Start,OpReserve,0)</f>
        <v/>
      </c>
      <c r="GQ5" s="218">
        <f>DevSpend!GQ$34+DevSpend!GQ$35+DevSpend!GQ$38+IF(195=MS_Initial_Closing_Start,OpReserve,0)</f>
        <v/>
      </c>
      <c r="GR5" s="218">
        <f>DevSpend!GR$34+DevSpend!GR$35+DevSpend!GR$38+IF(196=MS_Initial_Closing_Start,OpReserve,0)</f>
        <v/>
      </c>
      <c r="GS5" s="218">
        <f>DevSpend!GS$34+DevSpend!GS$35+DevSpend!GS$38+IF(197=MS_Initial_Closing_Start,OpReserve,0)</f>
        <v/>
      </c>
      <c r="GT5" s="218">
        <f>DevSpend!GT$34+DevSpend!GT$35+DevSpend!GT$38+IF(198=MS_Initial_Closing_Start,OpReserve,0)</f>
        <v/>
      </c>
      <c r="GU5" s="218">
        <f>DevSpend!GU$34+DevSpend!GU$35+DevSpend!GU$38+IF(199=MS_Initial_Closing_Start,OpReserve,0)</f>
        <v/>
      </c>
      <c r="GV5" s="218">
        <f>DevSpend!GV$34+DevSpend!GV$35+DevSpend!GV$38+IF(200=MS_Initial_Closing_Start,OpReserve,0)</f>
        <v/>
      </c>
      <c r="GW5" s="218">
        <f>DevSpend!GW$34+DevSpend!GW$35+DevSpend!GW$38+IF(201=MS_Initial_Closing_Start,OpReserve,0)</f>
        <v/>
      </c>
      <c r="GX5" s="218">
        <f>DevSpend!GX$34+DevSpend!GX$35+DevSpend!GX$38+IF(202=MS_Initial_Closing_Start,OpReserve,0)</f>
        <v/>
      </c>
      <c r="GY5" s="218">
        <f>DevSpend!GY$34+DevSpend!GY$35+DevSpend!GY$38+IF(203=MS_Initial_Closing_Start,OpReserve,0)</f>
        <v/>
      </c>
      <c r="GZ5" s="218">
        <f>DevSpend!GZ$34+DevSpend!GZ$35+DevSpend!GZ$38+IF(204=MS_Initial_Closing_Start,OpReserve,0)</f>
        <v/>
      </c>
      <c r="HA5" s="218">
        <f>DevSpend!HA$34+DevSpend!HA$35+DevSpend!HA$38+IF(205=MS_Initial_Closing_Start,OpReserve,0)</f>
        <v/>
      </c>
      <c r="HB5" s="218">
        <f>DevSpend!HB$34+DevSpend!HB$35+DevSpend!HB$38+IF(206=MS_Initial_Closing_Start,OpReserve,0)</f>
        <v/>
      </c>
      <c r="HC5" s="218">
        <f>DevSpend!HC$34+DevSpend!HC$35+DevSpend!HC$38+IF(207=MS_Initial_Closing_Start,OpReserve,0)</f>
        <v/>
      </c>
      <c r="HD5" s="218">
        <f>DevSpend!HD$34+DevSpend!HD$35+DevSpend!HD$38+IF(208=MS_Initial_Closing_Start,OpReserve,0)</f>
        <v/>
      </c>
      <c r="HE5" s="218">
        <f>DevSpend!HE$34+DevSpend!HE$35+DevSpend!HE$38+IF(209=MS_Initial_Closing_Start,OpReserve,0)</f>
        <v/>
      </c>
      <c r="HF5" s="218">
        <f>DevSpend!HF$34+DevSpend!HF$35+DevSpend!HF$38+IF(210=MS_Initial_Closing_Start,OpReserve,0)</f>
        <v/>
      </c>
      <c r="HG5" s="218">
        <f>DevSpend!HG$34+DevSpend!HG$35+DevSpend!HG$38+IF(211=MS_Initial_Closing_Start,OpReserve,0)</f>
        <v/>
      </c>
      <c r="HH5" s="218">
        <f>DevSpend!HH$34+DevSpend!HH$35+DevSpend!HH$38+IF(212=MS_Initial_Closing_Start,OpReserve,0)</f>
        <v/>
      </c>
      <c r="HI5" s="218">
        <f>DevSpend!HI$34+DevSpend!HI$35+DevSpend!HI$38+IF(213=MS_Initial_Closing_Start,OpReserve,0)</f>
        <v/>
      </c>
      <c r="HJ5" s="218">
        <f>DevSpend!HJ$34+DevSpend!HJ$35+DevSpend!HJ$38+IF(214=MS_Initial_Closing_Start,OpReserve,0)</f>
        <v/>
      </c>
      <c r="HK5" s="218">
        <f>DevSpend!HK$34+DevSpend!HK$35+DevSpend!HK$38+IF(215=MS_Initial_Closing_Start,OpReserve,0)</f>
        <v/>
      </c>
      <c r="HL5" s="218">
        <f>DevSpend!HL$34+DevSpend!HL$35+DevSpend!HL$38+IF(216=MS_Initial_Closing_Start,OpReserve,0)</f>
        <v/>
      </c>
      <c r="HM5" s="218">
        <f>DevSpend!HM$34+DevSpend!HM$35+DevSpend!HM$38+IF(217=MS_Initial_Closing_Start,OpReserve,0)</f>
        <v/>
      </c>
      <c r="HN5" s="218">
        <f>DevSpend!HN$34+DevSpend!HN$35+DevSpend!HN$38+IF(218=MS_Initial_Closing_Start,OpReserve,0)</f>
        <v/>
      </c>
      <c r="HO5" s="218">
        <f>DevSpend!HO$34+DevSpend!HO$35+DevSpend!HO$38+IF(219=MS_Initial_Closing_Start,OpReserve,0)</f>
        <v/>
      </c>
      <c r="HP5" s="218">
        <f>DevSpend!HP$34+DevSpend!HP$35+DevSpend!HP$38+IF(220=MS_Initial_Closing_Start,OpReserve,0)</f>
        <v/>
      </c>
      <c r="HQ5" s="218">
        <f>DevSpend!HQ$34+DevSpend!HQ$35+DevSpend!HQ$38+IF(221=MS_Initial_Closing_Start,OpReserve,0)</f>
        <v/>
      </c>
      <c r="HR5" s="218">
        <f>DevSpend!HR$34+DevSpend!HR$35+DevSpend!HR$38+IF(222=MS_Initial_Closing_Start,OpReserve,0)</f>
        <v/>
      </c>
      <c r="HS5" s="218">
        <f>DevSpend!HS$34+DevSpend!HS$35+DevSpend!HS$38+IF(223=MS_Initial_Closing_Start,OpReserve,0)</f>
        <v/>
      </c>
      <c r="HT5" s="218">
        <f>DevSpend!HT$34+DevSpend!HT$35+DevSpend!HT$38+IF(224=MS_Initial_Closing_Start,OpReserve,0)</f>
        <v/>
      </c>
      <c r="HU5" s="218">
        <f>DevSpend!HU$34+DevSpend!HU$35+DevSpend!HU$38+IF(225=MS_Initial_Closing_Start,OpReserve,0)</f>
        <v/>
      </c>
      <c r="HV5" s="218">
        <f>DevSpend!HV$34+DevSpend!HV$35+DevSpend!HV$38+IF(226=MS_Initial_Closing_Start,OpReserve,0)</f>
        <v/>
      </c>
      <c r="HW5" s="218">
        <f>DevSpend!HW$34+DevSpend!HW$35+DevSpend!HW$38+IF(227=MS_Initial_Closing_Start,OpReserve,0)</f>
        <v/>
      </c>
      <c r="HX5" s="218">
        <f>DevSpend!HX$34+DevSpend!HX$35+DevSpend!HX$38+IF(228=MS_Initial_Closing_Start,OpReserve,0)</f>
        <v/>
      </c>
      <c r="HY5" s="218">
        <f>DevSpend!HY$34+DevSpend!HY$35+DevSpend!HY$38+IF(229=MS_Initial_Closing_Start,OpReserve,0)</f>
        <v/>
      </c>
      <c r="HZ5" s="218">
        <f>DevSpend!HZ$34+DevSpend!HZ$35+DevSpend!HZ$38+IF(230=MS_Initial_Closing_Start,OpReserve,0)</f>
        <v/>
      </c>
      <c r="IA5" s="218">
        <f>DevSpend!IA$34+DevSpend!IA$35+DevSpend!IA$38+IF(231=MS_Initial_Closing_Start,OpReserve,0)</f>
        <v/>
      </c>
      <c r="IB5" s="218">
        <f>DevSpend!IB$34+DevSpend!IB$35+DevSpend!IB$38+IF(232=MS_Initial_Closing_Start,OpReserve,0)</f>
        <v/>
      </c>
      <c r="IC5" s="218">
        <f>DevSpend!IC$34+DevSpend!IC$35+DevSpend!IC$38+IF(233=MS_Initial_Closing_Start,OpReserve,0)</f>
        <v/>
      </c>
      <c r="ID5" s="218">
        <f>DevSpend!ID$34+DevSpend!ID$35+DevSpend!ID$38+IF(234=MS_Initial_Closing_Start,OpReserve,0)</f>
        <v/>
      </c>
      <c r="IE5" s="218">
        <f>DevSpend!IE$34+DevSpend!IE$35+DevSpend!IE$38+IF(235=MS_Initial_Closing_Start,OpReserve,0)</f>
        <v/>
      </c>
      <c r="IF5" s="218">
        <f>DevSpend!IF$34+DevSpend!IF$35+DevSpend!IF$38+IF(236=MS_Initial_Closing_Start,OpReserve,0)</f>
        <v/>
      </c>
      <c r="IG5" s="218">
        <f>DevSpend!IG$34+DevSpend!IG$35+DevSpend!IG$38+IF(237=MS_Initial_Closing_Start,OpReserve,0)</f>
        <v/>
      </c>
      <c r="IH5" s="218">
        <f>DevSpend!IH$34+DevSpend!IH$35+DevSpend!IH$38+IF(238=MS_Initial_Closing_Start,OpReserve,0)</f>
        <v/>
      </c>
      <c r="II5" s="218">
        <f>DevSpend!II$34+DevSpend!II$35+DevSpend!II$38+IF(239=MS_Initial_Closing_Start,OpReserve,0)</f>
        <v/>
      </c>
      <c r="IJ5" s="218">
        <f>DevSpend!IJ$34+DevSpend!IJ$35+DevSpend!IJ$38+IF(240=MS_Initial_Closing_Start,OpReserve,0)</f>
        <v/>
      </c>
      <c r="IK5" s="218">
        <f>DevSpend!IK$34+DevSpend!IK$35+DevSpend!IK$38+IF(241=MS_Initial_Closing_Start,OpReserve,0)</f>
        <v/>
      </c>
      <c r="IL5" s="218">
        <f>DevSpend!IL$34+DevSpend!IL$35+DevSpend!IL$38+IF(242=MS_Initial_Closing_Start,OpReserve,0)</f>
        <v/>
      </c>
      <c r="IM5" s="218">
        <f>DevSpend!IM$34+DevSpend!IM$35+DevSpend!IM$38+IF(243=MS_Initial_Closing_Start,OpReserve,0)</f>
        <v/>
      </c>
      <c r="IN5" s="218">
        <f>DevSpend!IN$34+DevSpend!IN$35+DevSpend!IN$38+IF(244=MS_Initial_Closing_Start,OpReserve,0)</f>
        <v/>
      </c>
      <c r="IO5" s="218">
        <f>DevSpend!IO$34+DevSpend!IO$35+DevSpend!IO$38+IF(245=MS_Initial_Closing_Start,OpReserve,0)</f>
        <v/>
      </c>
      <c r="IP5" s="218">
        <f>DevSpend!IP$34+DevSpend!IP$35+DevSpend!IP$38+IF(246=MS_Initial_Closing_Start,OpReserve,0)</f>
        <v/>
      </c>
      <c r="IQ5" s="218">
        <f>DevSpend!IQ$34+DevSpend!IQ$35+DevSpend!IQ$38+IF(247=MS_Initial_Closing_Start,OpReserve,0)</f>
        <v/>
      </c>
      <c r="IR5" s="218">
        <f>DevSpend!IR$34+DevSpend!IR$35+DevSpend!IR$38+IF(248=MS_Initial_Closing_Start,OpReserve,0)</f>
        <v/>
      </c>
      <c r="IS5" s="218">
        <f>DevSpend!IS$34+DevSpend!IS$35+DevSpend!IS$38+IF(249=MS_Initial_Closing_Start,OpReserve,0)</f>
        <v/>
      </c>
      <c r="IT5" s="218">
        <f>DevSpend!IT$34+DevSpend!IT$35+DevSpend!IT$38+IF(250=MS_Initial_Closing_Start,OpReserve,0)</f>
        <v/>
      </c>
      <c r="IU5" s="218">
        <f>DevSpend!IU$34+DevSpend!IU$35+DevSpend!IU$38+IF(251=MS_Initial_Closing_Start,OpReserve,0)</f>
        <v/>
      </c>
      <c r="IV5" s="218">
        <f>DevSpend!IV$34+DevSpend!IV$35+DevSpend!IV$38+IF(252=MS_Initial_Closing_Start,OpReserve,0)</f>
        <v/>
      </c>
      <c r="IW5" s="218">
        <f>DevSpend!IW$34+DevSpend!IW$35+DevSpend!IW$38+IF(253=MS_Initial_Closing_Start,OpReserve,0)</f>
        <v/>
      </c>
      <c r="IX5" s="218">
        <f>DevSpend!IX$34+DevSpend!IX$35+DevSpend!IX$38+IF(254=MS_Initial_Closing_Start,OpReserve,0)</f>
        <v/>
      </c>
      <c r="IY5" s="218">
        <f>DevSpend!IY$34+DevSpend!IY$35+DevSpend!IY$38+IF(255=MS_Initial_Closing_Start,OpReserve,0)</f>
        <v/>
      </c>
      <c r="IZ5" s="218">
        <f>DevSpend!IZ$34+DevSpend!IZ$35+DevSpend!IZ$38+IF(256=MS_Initial_Closing_Start,OpReserve,0)</f>
        <v/>
      </c>
      <c r="JA5" s="218">
        <f>DevSpend!JA$34+DevSpend!JA$35+DevSpend!JA$38+IF(257=MS_Initial_Closing_Start,OpReserve,0)</f>
        <v/>
      </c>
      <c r="JB5" s="218">
        <f>DevSpend!JB$34+DevSpend!JB$35+DevSpend!JB$38+IF(258=MS_Initial_Closing_Start,OpReserve,0)</f>
        <v/>
      </c>
      <c r="JC5" s="218">
        <f>DevSpend!JC$34+DevSpend!JC$35+DevSpend!JC$38+IF(259=MS_Initial_Closing_Start,OpReserve,0)</f>
        <v/>
      </c>
      <c r="JD5" s="218">
        <f>DevSpend!JD$34+DevSpend!JD$35+DevSpend!JD$38+IF(260=MS_Initial_Closing_Start,OpReserve,0)</f>
        <v/>
      </c>
      <c r="JE5" s="218">
        <f>DevSpend!JE$34+DevSpend!JE$35+DevSpend!JE$38+IF(261=MS_Initial_Closing_Start,OpReserve,0)</f>
        <v/>
      </c>
      <c r="JF5" s="218">
        <f>DevSpend!JF$34+DevSpend!JF$35+DevSpend!JF$38+IF(262=MS_Initial_Closing_Start,OpReserve,0)</f>
        <v/>
      </c>
      <c r="JG5" s="218">
        <f>DevSpend!JG$34+DevSpend!JG$35+DevSpend!JG$38+IF(263=MS_Initial_Closing_Start,OpReserve,0)</f>
        <v/>
      </c>
      <c r="JH5" s="218">
        <f>DevSpend!JH$34+DevSpend!JH$35+DevSpend!JH$38+IF(264=MS_Initial_Closing_Start,OpReserve,0)</f>
        <v/>
      </c>
      <c r="JI5" s="218">
        <f>DevSpend!JI$34+DevSpend!JI$35+DevSpend!JI$38+IF(265=MS_Initial_Closing_Start,OpReserve,0)</f>
        <v/>
      </c>
      <c r="JJ5" s="218">
        <f>DevSpend!JJ$34+DevSpend!JJ$35+DevSpend!JJ$38+IF(266=MS_Initial_Closing_Start,OpReserve,0)</f>
        <v/>
      </c>
      <c r="JK5" s="218">
        <f>DevSpend!JK$34+DevSpend!JK$35+DevSpend!JK$38+IF(267=MS_Initial_Closing_Start,OpReserve,0)</f>
        <v/>
      </c>
      <c r="JL5" s="218">
        <f>DevSpend!JL$34+DevSpend!JL$35+DevSpend!JL$38+IF(268=MS_Initial_Closing_Start,OpReserve,0)</f>
        <v/>
      </c>
      <c r="JM5" s="218">
        <f>DevSpend!JM$34+DevSpend!JM$35+DevSpend!JM$38+IF(269=MS_Initial_Closing_Start,OpReserve,0)</f>
        <v/>
      </c>
      <c r="JN5" s="218">
        <f>DevSpend!JN$34+DevSpend!JN$35+DevSpend!JN$38+IF(270=MS_Initial_Closing_Start,OpReserve,0)</f>
        <v/>
      </c>
      <c r="JO5" s="218">
        <f>DevSpend!JO$34+DevSpend!JO$35+DevSpend!JO$38+IF(271=MS_Initial_Closing_Start,OpReserve,0)</f>
        <v/>
      </c>
      <c r="JP5" s="218">
        <f>DevSpend!JP$34+DevSpend!JP$35+DevSpend!JP$38+IF(272=MS_Initial_Closing_Start,OpReserve,0)</f>
        <v/>
      </c>
      <c r="JQ5" s="218">
        <f>DevSpend!JQ$34+DevSpend!JQ$35+DevSpend!JQ$38+IF(273=MS_Initial_Closing_Start,OpReserve,0)</f>
        <v/>
      </c>
      <c r="JR5" s="218">
        <f>DevSpend!JR$34+DevSpend!JR$35+DevSpend!JR$38+IF(274=MS_Initial_Closing_Start,OpReserve,0)</f>
        <v/>
      </c>
      <c r="JS5" s="218">
        <f>DevSpend!JS$34+DevSpend!JS$35+DevSpend!JS$38+IF(275=MS_Initial_Closing_Start,OpReserve,0)</f>
        <v/>
      </c>
      <c r="JT5" s="218">
        <f>DevSpend!JT$34+DevSpend!JT$35+DevSpend!JT$38+IF(276=MS_Initial_Closing_Start,OpReserve,0)</f>
        <v/>
      </c>
      <c r="JU5" s="218">
        <f>DevSpend!JU$34+DevSpend!JU$35+DevSpend!JU$38+IF(277=MS_Initial_Closing_Start,OpReserve,0)</f>
        <v/>
      </c>
      <c r="JV5" s="218">
        <f>DevSpend!JV$34+DevSpend!JV$35+DevSpend!JV$38+IF(278=MS_Initial_Closing_Start,OpReserve,0)</f>
        <v/>
      </c>
      <c r="JW5" s="218">
        <f>DevSpend!JW$34+DevSpend!JW$35+DevSpend!JW$38+IF(279=MS_Initial_Closing_Start,OpReserve,0)</f>
        <v/>
      </c>
      <c r="JX5" s="218">
        <f>DevSpend!JX$34+DevSpend!JX$35+DevSpend!JX$38+IF(280=MS_Initial_Closing_Start,OpReserve,0)</f>
        <v/>
      </c>
      <c r="JY5" s="218">
        <f>DevSpend!JY$34+DevSpend!JY$35+DevSpend!JY$38+IF(281=MS_Initial_Closing_Start,OpReserve,0)</f>
        <v/>
      </c>
      <c r="JZ5" s="218">
        <f>DevSpend!JZ$34+DevSpend!JZ$35+DevSpend!JZ$38+IF(282=MS_Initial_Closing_Start,OpReserve,0)</f>
        <v/>
      </c>
      <c r="KA5" s="218">
        <f>DevSpend!KA$34+DevSpend!KA$35+DevSpend!KA$38+IF(283=MS_Initial_Closing_Start,OpReserve,0)</f>
        <v/>
      </c>
      <c r="KB5" s="218">
        <f>DevSpend!KB$34+DevSpend!KB$35+DevSpend!KB$38+IF(284=MS_Initial_Closing_Start,OpReserve,0)</f>
        <v/>
      </c>
      <c r="KC5" s="218">
        <f>DevSpend!KC$34+DevSpend!KC$35+DevSpend!KC$38+IF(285=MS_Initial_Closing_Start,OpReserve,0)</f>
        <v/>
      </c>
      <c r="KD5" s="218">
        <f>DevSpend!KD$34+DevSpend!KD$35+DevSpend!KD$38+IF(286=MS_Initial_Closing_Start,OpReserve,0)</f>
        <v/>
      </c>
      <c r="KE5" s="218">
        <f>DevSpend!KE$34+DevSpend!KE$35+DevSpend!KE$38+IF(287=MS_Initial_Closing_Start,OpReserve,0)</f>
        <v/>
      </c>
      <c r="KF5" s="218">
        <f>DevSpend!KF$34+DevSpend!KF$35+DevSpend!KF$38+IF(288=MS_Initial_Closing_Start,OpReserve,0)</f>
        <v/>
      </c>
      <c r="KG5" s="218">
        <f>DevSpend!KG$34+DevSpend!KG$35+DevSpend!KG$38+IF(289=MS_Initial_Closing_Start,OpReserve,0)</f>
        <v/>
      </c>
      <c r="KH5" s="218">
        <f>DevSpend!KH$34+DevSpend!KH$35+DevSpend!KH$38+IF(290=MS_Initial_Closing_Start,OpReserve,0)</f>
        <v/>
      </c>
      <c r="KI5" s="218">
        <f>DevSpend!KI$34+DevSpend!KI$35+DevSpend!KI$38+IF(291=MS_Initial_Closing_Start,OpReserve,0)</f>
        <v/>
      </c>
      <c r="KJ5" s="218">
        <f>DevSpend!KJ$34+DevSpend!KJ$35+DevSpend!KJ$38+IF(292=MS_Initial_Closing_Start,OpReserve,0)</f>
        <v/>
      </c>
      <c r="KK5" s="218">
        <f>DevSpend!KK$34+DevSpend!KK$35+DevSpend!KK$38+IF(293=MS_Initial_Closing_Start,OpReserve,0)</f>
        <v/>
      </c>
      <c r="KL5" s="218">
        <f>DevSpend!KL$34+DevSpend!KL$35+DevSpend!KL$38+IF(294=MS_Initial_Closing_Start,OpReserve,0)</f>
        <v/>
      </c>
      <c r="KM5" s="218">
        <f>DevSpend!KM$34+DevSpend!KM$35+DevSpend!KM$38+IF(295=MS_Initial_Closing_Start,OpReserve,0)</f>
        <v/>
      </c>
      <c r="KN5" s="218">
        <f>DevSpend!KN$34+DevSpend!KN$35+DevSpend!KN$38+IF(296=MS_Initial_Closing_Start,OpReserve,0)</f>
        <v/>
      </c>
      <c r="KO5" s="218">
        <f>DevSpend!KO$34+DevSpend!KO$35+DevSpend!KO$38+IF(297=MS_Initial_Closing_Start,OpReserve,0)</f>
        <v/>
      </c>
      <c r="KP5" s="218">
        <f>DevSpend!KP$34+DevSpend!KP$35+DevSpend!KP$38+IF(298=MS_Initial_Closing_Start,OpReserve,0)</f>
        <v/>
      </c>
      <c r="KQ5" s="218">
        <f>DevSpend!KQ$34+DevSpend!KQ$35+DevSpend!KQ$38+IF(299=MS_Initial_Closing_Start,OpReserve,0)</f>
        <v/>
      </c>
      <c r="KR5" s="218">
        <f>DevSpend!KR$34+DevSpend!KR$35+DevSpend!KR$38+IF(300=MS_Initial_Closing_Start,OpReserve,0)</f>
        <v/>
      </c>
      <c r="KS5" s="218">
        <f>DevSpend!KS$34+DevSpend!KS$35+DevSpend!KS$38+IF(301=MS_Initial_Closing_Start,OpReserve,0)</f>
        <v/>
      </c>
      <c r="KT5" s="218">
        <f>DevSpend!KT$34+DevSpend!KT$35+DevSpend!KT$38+IF(302=MS_Initial_Closing_Start,OpReserve,0)</f>
        <v/>
      </c>
      <c r="KU5" s="218">
        <f>DevSpend!KU$34+DevSpend!KU$35+DevSpend!KU$38+IF(303=MS_Initial_Closing_Start,OpReserve,0)</f>
        <v/>
      </c>
      <c r="KV5" s="218">
        <f>DevSpend!KV$34+DevSpend!KV$35+DevSpend!KV$38+IF(304=MS_Initial_Closing_Start,OpReserve,0)</f>
        <v/>
      </c>
      <c r="KW5" s="218">
        <f>DevSpend!KW$34+DevSpend!KW$35+DevSpend!KW$38+IF(305=MS_Initial_Closing_Start,OpReserve,0)</f>
        <v/>
      </c>
      <c r="KX5" s="218">
        <f>DevSpend!KX$34+DevSpend!KX$35+DevSpend!KX$38+IF(306=MS_Initial_Closing_Start,OpReserve,0)</f>
        <v/>
      </c>
      <c r="KY5" s="218">
        <f>DevSpend!KY$34+DevSpend!KY$35+DevSpend!KY$38+IF(307=MS_Initial_Closing_Start,OpReserve,0)</f>
        <v/>
      </c>
      <c r="KZ5" s="218">
        <f>DevSpend!KZ$34+DevSpend!KZ$35+DevSpend!KZ$38+IF(308=MS_Initial_Closing_Start,OpReserve,0)</f>
        <v/>
      </c>
      <c r="LA5" s="218">
        <f>DevSpend!LA$34+DevSpend!LA$35+DevSpend!LA$38+IF(309=MS_Initial_Closing_Start,OpReserve,0)</f>
        <v/>
      </c>
      <c r="LB5" s="218">
        <f>DevSpend!LB$34+DevSpend!LB$35+DevSpend!LB$38+IF(310=MS_Initial_Closing_Start,OpReserve,0)</f>
        <v/>
      </c>
      <c r="LC5" s="218">
        <f>DevSpend!LC$34+DevSpend!LC$35+DevSpend!LC$38+IF(311=MS_Initial_Closing_Start,OpReserve,0)</f>
        <v/>
      </c>
      <c r="LD5" s="218">
        <f>DevSpend!LD$34+DevSpend!LD$35+DevSpend!LD$38+IF(312=MS_Initial_Closing_Start,OpReserve,0)</f>
        <v/>
      </c>
      <c r="LE5" s="218">
        <f>DevSpend!LE$34+DevSpend!LE$35+DevSpend!LE$38+IF(313=MS_Initial_Closing_Start,OpReserve,0)</f>
        <v/>
      </c>
      <c r="LF5" s="218">
        <f>DevSpend!LF$34+DevSpend!LF$35+DevSpend!LF$38+IF(314=MS_Initial_Closing_Start,OpReserve,0)</f>
        <v/>
      </c>
      <c r="LG5" s="218">
        <f>DevSpend!LG$34+DevSpend!LG$35+DevSpend!LG$38+IF(315=MS_Initial_Closing_Start,OpReserve,0)</f>
        <v/>
      </c>
      <c r="LH5" s="218">
        <f>DevSpend!LH$34+DevSpend!LH$35+DevSpend!LH$38+IF(316=MS_Initial_Closing_Start,OpReserve,0)</f>
        <v/>
      </c>
      <c r="LI5" s="218">
        <f>DevSpend!LI$34+DevSpend!LI$35+DevSpend!LI$38+IF(317=MS_Initial_Closing_Start,OpReserve,0)</f>
        <v/>
      </c>
      <c r="LJ5" s="218">
        <f>DevSpend!LJ$34+DevSpend!LJ$35+DevSpend!LJ$38+IF(318=MS_Initial_Closing_Start,OpReserve,0)</f>
        <v/>
      </c>
      <c r="LK5" s="218">
        <f>DevSpend!LK$34+DevSpend!LK$35+DevSpend!LK$38+IF(319=MS_Initial_Closing_Start,OpReserve,0)</f>
        <v/>
      </c>
      <c r="LL5" s="218">
        <f>DevSpend!LL$34+DevSpend!LL$35+DevSpend!LL$38+IF(320=MS_Initial_Closing_Start,OpReserve,0)</f>
        <v/>
      </c>
      <c r="LM5" s="218">
        <f>DevSpend!LM$34+DevSpend!LM$35+DevSpend!LM$38+IF(321=MS_Initial_Closing_Start,OpReserve,0)</f>
        <v/>
      </c>
      <c r="LN5" s="218">
        <f>DevSpend!LN$34+DevSpend!LN$35+DevSpend!LN$38+IF(322=MS_Initial_Closing_Start,OpReserve,0)</f>
        <v/>
      </c>
      <c r="LO5" s="218">
        <f>DevSpend!LO$34+DevSpend!LO$35+DevSpend!LO$38+IF(323=MS_Initial_Closing_Start,OpReserve,0)</f>
        <v/>
      </c>
      <c r="LP5" s="218">
        <f>DevSpend!LP$34+DevSpend!LP$35+DevSpend!LP$38+IF(324=MS_Initial_Closing_Start,OpReserve,0)</f>
        <v/>
      </c>
      <c r="LQ5" s="218">
        <f>DevSpend!LQ$34+DevSpend!LQ$35+DevSpend!LQ$38+IF(325=MS_Initial_Closing_Start,OpReserve,0)</f>
        <v/>
      </c>
      <c r="LR5" s="218">
        <f>DevSpend!LR$34+DevSpend!LR$35+DevSpend!LR$38+IF(326=MS_Initial_Closing_Start,OpReserve,0)</f>
        <v/>
      </c>
      <c r="LS5" s="218">
        <f>DevSpend!LS$34+DevSpend!LS$35+DevSpend!LS$38+IF(327=MS_Initial_Closing_Start,OpReserve,0)</f>
        <v/>
      </c>
      <c r="LT5" s="218">
        <f>DevSpend!LT$34+DevSpend!LT$35+DevSpend!LT$38+IF(328=MS_Initial_Closing_Start,OpReserve,0)</f>
        <v/>
      </c>
      <c r="LU5" s="218">
        <f>DevSpend!LU$34+DevSpend!LU$35+DevSpend!LU$38+IF(329=MS_Initial_Closing_Start,OpReserve,0)</f>
        <v/>
      </c>
      <c r="LV5" s="218">
        <f>DevSpend!LV$34+DevSpend!LV$35+DevSpend!LV$38+IF(330=MS_Initial_Closing_Start,OpReserve,0)</f>
        <v/>
      </c>
      <c r="LW5" s="218">
        <f>DevSpend!LW$34+DevSpend!LW$35+DevSpend!LW$38+IF(331=MS_Initial_Closing_Start,OpReserve,0)</f>
        <v/>
      </c>
      <c r="LX5" s="218">
        <f>DevSpend!LX$34+DevSpend!LX$35+DevSpend!LX$38+IF(332=MS_Initial_Closing_Start,OpReserve,0)</f>
        <v/>
      </c>
      <c r="LY5" s="218">
        <f>DevSpend!LY$34+DevSpend!LY$35+DevSpend!LY$38+IF(333=MS_Initial_Closing_Start,OpReserve,0)</f>
        <v/>
      </c>
      <c r="LZ5" s="218">
        <f>DevSpend!LZ$34+DevSpend!LZ$35+DevSpend!LZ$38+IF(334=MS_Initial_Closing_Start,OpReserve,0)</f>
        <v/>
      </c>
      <c r="MA5" s="218">
        <f>DevSpend!MA$34+DevSpend!MA$35+DevSpend!MA$38+IF(335=MS_Initial_Closing_Start,OpReserve,0)</f>
        <v/>
      </c>
      <c r="MB5" s="218">
        <f>DevSpend!MB$34+DevSpend!MB$35+DevSpend!MB$38+IF(336=MS_Initial_Closing_Start,OpReserve,0)</f>
        <v/>
      </c>
      <c r="MC5" s="218">
        <f>DevSpend!MC$34+DevSpend!MC$35+DevSpend!MC$38+IF(337=MS_Initial_Closing_Start,OpReserve,0)</f>
        <v/>
      </c>
      <c r="MD5" s="218">
        <f>DevSpend!MD$34+DevSpend!MD$35+DevSpend!MD$38+IF(338=MS_Initial_Closing_Start,OpReserve,0)</f>
        <v/>
      </c>
      <c r="ME5" s="218">
        <f>DevSpend!ME$34+DevSpend!ME$35+DevSpend!ME$38+IF(339=MS_Initial_Closing_Start,OpReserve,0)</f>
        <v/>
      </c>
      <c r="MF5" s="218">
        <f>DevSpend!MF$34+DevSpend!MF$35+DevSpend!MF$38+IF(340=MS_Initial_Closing_Start,OpReserve,0)</f>
        <v/>
      </c>
      <c r="MG5" s="218">
        <f>DevSpend!MG$34+DevSpend!MG$35+DevSpend!MG$38+IF(341=MS_Initial_Closing_Start,OpReserve,0)</f>
        <v/>
      </c>
      <c r="MH5" s="218">
        <f>DevSpend!MH$34+DevSpend!MH$35+DevSpend!MH$38+IF(342=MS_Initial_Closing_Start,OpReserve,0)</f>
        <v/>
      </c>
      <c r="MI5" s="218">
        <f>DevSpend!MI$34+DevSpend!MI$35+DevSpend!MI$38+IF(343=MS_Initial_Closing_Start,OpReserve,0)</f>
        <v/>
      </c>
      <c r="MJ5" s="218">
        <f>DevSpend!MJ$34+DevSpend!MJ$35+DevSpend!MJ$38+IF(344=MS_Initial_Closing_Start,OpReserve,0)</f>
        <v/>
      </c>
      <c r="MK5" s="218">
        <f>DevSpend!MK$34+DevSpend!MK$35+DevSpend!MK$38+IF(345=MS_Initial_Closing_Start,OpReserve,0)</f>
        <v/>
      </c>
      <c r="ML5" s="218">
        <f>DevSpend!ML$34+DevSpend!ML$35+DevSpend!ML$38+IF(346=MS_Initial_Closing_Start,OpReserve,0)</f>
        <v/>
      </c>
      <c r="MM5" s="218">
        <f>DevSpend!MM$34+DevSpend!MM$35+DevSpend!MM$38+IF(347=MS_Initial_Closing_Start,OpReserve,0)</f>
        <v/>
      </c>
      <c r="MN5" s="218">
        <f>DevSpend!MN$34+DevSpend!MN$35+DevSpend!MN$38+IF(348=MS_Initial_Closing_Start,OpReserve,0)</f>
        <v/>
      </c>
      <c r="MO5" s="218">
        <f>DevSpend!MO$34+DevSpend!MO$35+DevSpend!MO$38+IF(349=MS_Initial_Closing_Start,OpReserve,0)</f>
        <v/>
      </c>
      <c r="MP5" s="218">
        <f>DevSpend!MP$34+DevSpend!MP$35+DevSpend!MP$38+IF(350=MS_Initial_Closing_Start,OpReserve,0)</f>
        <v/>
      </c>
      <c r="MQ5" s="218">
        <f>DevSpend!MQ$34+DevSpend!MQ$35+DevSpend!MQ$38+IF(351=MS_Initial_Closing_Start,OpReserve,0)</f>
        <v/>
      </c>
      <c r="MR5" s="218">
        <f>DevSpend!MR$34+DevSpend!MR$35+DevSpend!MR$38+IF(352=MS_Initial_Closing_Start,OpReserve,0)</f>
        <v/>
      </c>
      <c r="MS5" s="218">
        <f>DevSpend!MS$34+DevSpend!MS$35+DevSpend!MS$38+IF(353=MS_Initial_Closing_Start,OpReserve,0)</f>
        <v/>
      </c>
      <c r="MT5" s="218">
        <f>DevSpend!MT$34+DevSpend!MT$35+DevSpend!MT$38+IF(354=MS_Initial_Closing_Start,OpReserve,0)</f>
        <v/>
      </c>
      <c r="MU5" s="218">
        <f>DevSpend!MU$34+DevSpend!MU$35+DevSpend!MU$38+IF(355=MS_Initial_Closing_Start,OpReserve,0)</f>
        <v/>
      </c>
      <c r="MV5" s="218">
        <f>DevSpend!MV$34+DevSpend!MV$35+DevSpend!MV$38+IF(356=MS_Initial_Closing_Start,OpReserve,0)</f>
        <v/>
      </c>
      <c r="MW5" s="218">
        <f>DevSpend!MW$34+DevSpend!MW$35+DevSpend!MW$38+IF(357=MS_Initial_Closing_Start,OpReserve,0)</f>
        <v/>
      </c>
      <c r="MX5" s="218">
        <f>DevSpend!MX$34+DevSpend!MX$35+DevSpend!MX$38+IF(358=MS_Initial_Closing_Start,OpReserve,0)</f>
        <v/>
      </c>
      <c r="MY5" s="218">
        <f>DevSpend!MY$34+DevSpend!MY$35+DevSpend!MY$38+IF(359=MS_Initial_Closing_Start,OpReserve,0)</f>
        <v/>
      </c>
      <c r="MZ5" s="218">
        <f>DevSpend!MZ$34+DevSpend!MZ$35+DevSpend!MZ$38+IF(360=MS_Initial_Closing_Start,OpReserve,0)</f>
        <v/>
      </c>
      <c r="NA5" s="218">
        <f>DevSpend!NA$34+DevSpend!NA$35+DevSpend!NA$38+IF(361=MS_Initial_Closing_Start,OpReserve,0)</f>
        <v/>
      </c>
      <c r="NB5" s="218">
        <f>DevSpend!NB$34+DevSpend!NB$35+DevSpend!NB$38+IF(362=MS_Initial_Closing_Start,OpReserve,0)</f>
        <v/>
      </c>
      <c r="NC5" s="218">
        <f>DevSpend!NC$34+DevSpend!NC$35+DevSpend!NC$38+IF(363=MS_Initial_Closing_Start,OpReserve,0)</f>
        <v/>
      </c>
      <c r="ND5" s="218">
        <f>DevSpend!ND$34+DevSpend!ND$35+DevSpend!ND$38+IF(364=MS_Initial_Closing_Start,OpReserve,0)</f>
        <v/>
      </c>
      <c r="NE5" s="218">
        <f>DevSpend!NE$34+DevSpend!NE$35+DevSpend!NE$38+IF(365=MS_Initial_Closing_Start,OpReserve,0)</f>
        <v/>
      </c>
      <c r="NF5" s="218">
        <f>DevSpend!NF$34+DevSpend!NF$35+DevSpend!NF$38+IF(366=MS_Initial_Closing_Start,OpReserve,0)</f>
        <v/>
      </c>
      <c r="NG5" s="218">
        <f>DevSpend!NG$34+DevSpend!NG$35+DevSpend!NG$38+IF(367=MS_Initial_Closing_Start,OpReserve,0)</f>
        <v/>
      </c>
      <c r="NH5" s="218">
        <f>DevSpend!NH$34+DevSpend!NH$35+DevSpend!NH$38+IF(368=MS_Initial_Closing_Start,OpReserve,0)</f>
        <v/>
      </c>
      <c r="NI5" s="218">
        <f>DevSpend!NI$34+DevSpend!NI$35+DevSpend!NI$38+IF(369=MS_Initial_Closing_Start,OpReserve,0)</f>
        <v/>
      </c>
      <c r="NJ5" s="218">
        <f>DevSpend!NJ$34+DevSpend!NJ$35+DevSpend!NJ$38+IF(370=MS_Initial_Closing_Start,OpReserve,0)</f>
        <v/>
      </c>
      <c r="NK5" s="218">
        <f>DevSpend!NK$34+DevSpend!NK$35+DevSpend!NK$38+IF(371=MS_Initial_Closing_Start,OpReserve,0)</f>
        <v/>
      </c>
      <c r="NL5" s="225">
        <f>DevSpend!NL$34+DevSpend!NL$35+DevSpend!NL$38+IF(372=MS_Initial_Closing_Start,OpReserve,0)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375623"/>
    <outlinePr summaryBelow="1" summaryRight="1"/>
    <pageSetUpPr/>
  </sheetPr>
  <dimension ref="B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</cols>
  <sheetData>
    <row r="1" ht="21" customHeight="1" s="97">
      <c r="B1" s="1" t="inlineStr">
        <is>
          <t>Return Calculations</t>
        </is>
      </c>
    </row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B1:G40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DevSpend!$D$34-DirectCosts</f>
        <v/>
      </c>
      <c r="D5" s="172">
        <f>IF(ABS(DevSpend!$D$34-DirectCosts)&lt;1,"PASS","FAIL")</f>
        <v/>
      </c>
      <c r="F5" s="294">
        <f>SUMPRODUCT(--ISERROR(DevSpend!E34:NL34))+SUMPRODUCT(--ISERROR(DevSpend!E38:NL38))+SUMPRODUCT(--ISERROR(DevSpend!D34:D43))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SUMPRODUCT(--ISERROR(Budget!J5:J39))+SUMPRODUCT(--ISERROR(Budget!D5:D32))</f>
        <v/>
      </c>
      <c r="G15" s="289" t="inlineStr">
        <is>
          <t>Budget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SUMPRODUCT(--ISERROR(Inputs!C16:C27))+SUMPRODUCT(--ISERROR(Inputs!C119:C145))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190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190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190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4">
      <c r="B34" s="189" t="inlineStr">
        <is>
          <t>Input Hygiene</t>
        </is>
      </c>
      <c r="C34" s="155" t="n"/>
      <c r="D34" s="155" t="n"/>
    </row>
    <row r="35">
      <c r="B35" s="190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7">
      <c r="B37" s="189" t="inlineStr">
        <is>
          <t>Summary</t>
        </is>
      </c>
      <c r="C37" s="155" t="n"/>
      <c r="D37" s="155" t="n"/>
    </row>
    <row r="38">
      <c r="B38" s="303" t="inlineStr">
        <is>
          <t>TOTAL ERRORS FOUND</t>
        </is>
      </c>
      <c r="C38" s="304">
        <f>COUNTIF(D4:D25,"FAIL")+COUNTIF(Proforma!$D$46:$D$46,"FAIL")</f>
        <v/>
      </c>
    </row>
    <row r="39">
      <c r="B39" s="303" t="inlineStr">
        <is>
          <t>TOTAL WARNINGS</t>
        </is>
      </c>
      <c r="C39" s="304">
        <f>COUNTIF(D28:D32,"WARN")+COUNTIF(D35:D35,"WARN")</f>
        <v/>
      </c>
    </row>
    <row r="40">
      <c r="B40" s="303" t="inlineStr">
        <is>
          <t>MODEL STATUS</t>
        </is>
      </c>
      <c r="C40" s="305">
        <f>IF(C38=0,"ALL CHECKS PASS","REVIEW FAILURES")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2026-07-14T03:06:05Z</dcterms:modified>
  <cp:lastModifiedBy>Thomas Holben</cp:lastModifiedBy>
</cp:coreProperties>
</file>